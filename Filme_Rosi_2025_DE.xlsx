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DieseArbeitsmappe"/>
  <mc:AlternateContent xmlns:mc="http://schemas.openxmlformats.org/markup-compatibility/2006">
    <mc:Choice Requires="x15">
      <x15ac:absPath xmlns:x15ac="http://schemas.microsoft.com/office/spreadsheetml/2010/11/ac" url="I:\01_Listen\"/>
    </mc:Choice>
  </mc:AlternateContent>
  <xr:revisionPtr revIDLastSave="0" documentId="13_ncr:1_{3B83EE69-76C9-4F74-9B0E-EDAC3F5BE840}" xr6:coauthVersionLast="47" xr6:coauthVersionMax="47" xr10:uidLastSave="{00000000-0000-0000-0000-000000000000}"/>
  <bookViews>
    <workbookView xWindow="-120" yWindow="-120" windowWidth="24240" windowHeight="13020" tabRatio="872" firstSheet="5" activeTab="14" xr2:uid="{00000000-000D-0000-FFFF-FFFF00000000}"/>
  </bookViews>
  <sheets>
    <sheet name="Abenteuer" sheetId="1" r:id="rId1"/>
    <sheet name="Action" sheetId="2" r:id="rId2"/>
    <sheet name="Collection Schauspieler" sheetId="3" r:id="rId3"/>
    <sheet name="Disney" sheetId="4" r:id="rId4"/>
    <sheet name="DDR Schwank" sheetId="5" r:id="rId5"/>
    <sheet name="DDR Serien" sheetId="6" r:id="rId6"/>
    <sheet name="DDR Filme DEFA Synchro_Ostblock" sheetId="7" r:id="rId7"/>
    <sheet name="Drama" sheetId="8" r:id="rId8"/>
    <sheet name="Filmklassiker" sheetId="9" r:id="rId9"/>
    <sheet name="Komoedie" sheetId="10" r:id="rId10"/>
    <sheet name="Romanze" sheetId="11" r:id="rId11"/>
    <sheet name="Thriller" sheetId="12" r:id="rId12"/>
    <sheet name="TV Aufnahmen Rar" sheetId="13" r:id="rId13"/>
    <sheet name="Weihnachten" sheetId="14" r:id="rId14"/>
    <sheet name=" usbshare1-2 01_NEU" sheetId="15" r:id="rId15"/>
    <sheet name="NEU_2025_USB Stick_1" sheetId="16" r:id="rId1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270" i="7" l="1"/>
  <c r="A269" i="7"/>
  <c r="A268" i="7"/>
  <c r="A267" i="7"/>
  <c r="A257" i="7"/>
  <c r="A143" i="7"/>
  <c r="A108" i="7"/>
  <c r="A104" i="7"/>
  <c r="A100" i="7"/>
  <c r="A28" i="7"/>
  <c r="A11" i="7"/>
  <c r="A3" i="7"/>
</calcChain>
</file>

<file path=xl/sharedStrings.xml><?xml version="1.0" encoding="utf-8"?>
<sst xmlns="http://schemas.openxmlformats.org/spreadsheetml/2006/main" count="19927" uniqueCount="11614">
  <si>
    <t>Filmtitel</t>
  </si>
  <si>
    <t>Originaltitel</t>
  </si>
  <si>
    <t>Jahr</t>
  </si>
  <si>
    <t>Land</t>
  </si>
  <si>
    <t>Genre</t>
  </si>
  <si>
    <t>imdbRating</t>
  </si>
  <si>
    <t>Bewertung_â˜…</t>
  </si>
  <si>
    <t>imdbID</t>
  </si>
  <si>
    <t>Schauspieler</t>
  </si>
  <si>
    <t>Handlung</t>
  </si>
  <si>
    <t>imdbVotes</t>
  </si>
  <si>
    <t>Bewertung</t>
  </si>
  <si>
    <t>A.I. – Künstliche Intelligenz</t>
  </si>
  <si>
    <t>A.I. Artificial Intelligence</t>
  </si>
  <si>
    <t>2001</t>
  </si>
  <si>
    <t>US</t>
  </si>
  <si>
    <t>Scifi</t>
  </si>
  <si>
    <t>7.2</t>
  </si>
  <si>
    <t>★★★½</t>
  </si>
  <si>
    <t>tt0212720</t>
  </si>
  <si>
    <t>Haley Joel Osment; Jude Law; Frances O'Connor</t>
  </si>
  <si>
    <t>Der elfjährige David ist der erste Androide mit menschlichen Gefühlen. Um seine Funktionalität zu testen, lebt er als Adoptivkind bei der Familie Swinton. Als diese nicht mehr mit ihm fertig werden, setzen sie David alleine aus. Besessen von dem Wunsch, ein Mensch zu sein, begibt er sich auf eine Odyssee um das Geheimnis seiner Existenz zu ergründen.</t>
  </si>
  <si>
    <t>333,739</t>
  </si>
  <si>
    <t>Abgestürzt im Dschungel</t>
  </si>
  <si>
    <t>Nurses on the Line: The Crash of Flight 7</t>
  </si>
  <si>
    <t>1993</t>
  </si>
  <si>
    <t>Adventure, Drama</t>
  </si>
  <si>
    <t>4.9</t>
  </si>
  <si>
    <t>★★½</t>
  </si>
  <si>
    <t>tt0107718</t>
  </si>
  <si>
    <t>Lindsay Wagner; Robert Loggia; David Clennon</t>
  </si>
  <si>
    <t>Auf dem Flug von Los Angeles zu einer Urwaldklinik im Süden Mexikos stürzt ein Sportflugzeug mit einem vierköpfigen Team aus Ärzten und Schwesternschülerinnen ab. Zwar gelingt die Bergung der Schwerverletzten, doch in der Urwaldklinik fehlt es an Geräten und Medikamenten. Die mexikanischen Behörden verweigern die Hilfe, weil sie gerade eine Aktion gegen Drogenhändler durchführen, der kalifornische Rettungsdienst erhält keine Flugerlaubnis.</t>
  </si>
  <si>
    <t>374</t>
  </si>
  <si>
    <t>Abseits des Lebens</t>
  </si>
  <si>
    <t>2021</t>
  </si>
  <si>
    <t>Abenteuer</t>
  </si>
  <si>
    <t>6.7</t>
  </si>
  <si>
    <t>tt10265034</t>
  </si>
  <si>
    <t>Robin Wright; Demián Bichir; Sarah Dawn Pledge</t>
  </si>
  <si>
    <t>Nach einem schmerzhaften Verlust bricht die Anwältin Edee Mathis alle Brücken hinter sich ab und zieht sich in die einsame Bergwelt der Rocky Mountains zurück, um ihre Trauer zu überwinden. Doch sie unterschätzt die Gefahren der Wildnis und die speziellen Herausforderungen, wie man - völlig auf sich gestellt - überlebt und gerät in Lebensnot. Ein Jäger, der sie zufällig gerade noch rechtzeitig rettet, bringt ihr zwar die nötige Praxis bei, doch ihren inneren Schmerz muss sie ganz allein besiegen.</t>
  </si>
  <si>
    <t>16,947</t>
  </si>
  <si>
    <t>Animalia Paradoxa löschen</t>
  </si>
  <si>
    <t>Animalia Paradoxa</t>
  </si>
  <si>
    <t>2024</t>
  </si>
  <si>
    <t>CL</t>
  </si>
  <si>
    <t>Animation, Science Fiction, Drama</t>
  </si>
  <si>
    <t>★★★</t>
  </si>
  <si>
    <t>tt31917779</t>
  </si>
  <si>
    <t>Andrea Gómez</t>
  </si>
  <si>
    <t>N/A</t>
  </si>
  <si>
    <t>Antarctica Gefangen im Eis</t>
  </si>
  <si>
    <t>Eight Below</t>
  </si>
  <si>
    <t>2006</t>
  </si>
  <si>
    <t>7.3</t>
  </si>
  <si>
    <t>tt0397313</t>
  </si>
  <si>
    <t>Paul Walker; Jason Biggs; Bruce Greenwood</t>
  </si>
  <si>
    <t>Eine kleine US-Forschungsstation am Ende der Welt: Der Antarktis. Die Crew bereitet sich bereits auf die Rückkehr nach Hause vor, als der ehrgeizige Geologe Davis den erfahrenen Scout Jerry zu einer letzten Mission überredet. Bei der riskanten Expedition vertraut er ganz auf seine tapferen Schlittenhunde und ihren lebensrettenden Instinkt. Als unerwartet eine Sturmfront aufzieht, kann die Station nur noch per Flugzeug evakuiert werden. Jerry muss seine geliebten Hunde schweren Herzens zurücklassen. Doch er verspricht ihnen, zurückzukehren und sie zu holen. Während für die Hunde ein Kampf auf Leben und Tod beginnt, setzt Jerry alle Hebel in Bewegung, um sie zu retten...</t>
  </si>
  <si>
    <t>70,286</t>
  </si>
  <si>
    <t>Arthur der Große</t>
  </si>
  <si>
    <t>Arthur the King</t>
  </si>
  <si>
    <t>7.0</t>
  </si>
  <si>
    <t>tt10720352</t>
  </si>
  <si>
    <t>Mark Wahlberg; Simu Liu; Juliet Rylance</t>
  </si>
  <si>
    <t>Im Laufe von zehn Tagen und einer Strecke von 435 Meilen entsteht zwischen dem Profi-Abenteurer Michael Light (Mark Wahlberg) und seinem rauflustigen Straßenhund Arthur ein unzertrennliches Band. Light sucht verzweifelt nach einer letzten Chance für einen Sieg, als er einen Sponsor davon überzeugt, ihn und ein Team von Athleten (Simu Liu, Nathalie Emmanuel und Ali Suliman) bei der Adventure Racing World Championship in der Dominikanischen Republik zu unterstützen. Während das Team bei dem Rennen an die Grenzen der Belastbarkeit geht, definiert Arthur neu, was Sieg, Loyalität und Freundschaft wirklich bedeuten.</t>
  </si>
  <si>
    <t>36,424</t>
  </si>
  <si>
    <t>Beast - Jäger ohne Gnade</t>
  </si>
  <si>
    <t>Beast</t>
  </si>
  <si>
    <t>2022</t>
  </si>
  <si>
    <t>5.6</t>
  </si>
  <si>
    <t>tt13223398</t>
  </si>
  <si>
    <t>Liyabuya Gongo; Martin Munro; Daniel Hadebe</t>
  </si>
  <si>
    <t>Nach dem tragischen Tod seiner Frau reist Dr. Nate Daniels dorthin, wo er sie einst kennenlernte: in die südafrikanische Savanne. Die lang geplante Reise in das Wildreservat des Biologen und alten Freundes der Familie, Martin Battles, soll ihm und seinen Teenager-Töchtern Meredith und Norah  die Möglichkeit geben, den schweren Verlust zu überwinden.  Viel Gelegenheit dazu bekommen sie allerdings nicht, denn sie werden zum Ziel mehrerer aggressiver Angriffe eines blutrünstigen Löwen, der es scheinbar bewusst auf Menschen abgesehen hat, nachdem er die Attacke brutaler Wilderer überlebt hat. Und ganz plötzlich wird aus der heilenden Reise ein verzweifelter Kampf ums Überleben. Doch Daniels lässt sich und seine vom Schicksal gebeutelte Familie nicht ohne Weiteres zur Beute machen – und nimmt den Kampf gegen die wilde Bestie auf.</t>
  </si>
  <si>
    <t>46,925</t>
  </si>
  <si>
    <t>Beim Sterben ist jeder der Erste</t>
  </si>
  <si>
    <t>Deliverance</t>
  </si>
  <si>
    <t>1972</t>
  </si>
  <si>
    <t>7.6</t>
  </si>
  <si>
    <t>★★★★</t>
  </si>
  <si>
    <t>tt0068473</t>
  </si>
  <si>
    <t>Jon Voight; Burt Reynolds; Ned Beatty</t>
  </si>
  <si>
    <t>Vier zivilisationsmüde Großstädter starten das Abenteuer ihres Lebens. Sie fordern etwas heraus, das an ihre Männlichkeit, Tatkraft und Urinstinkte appelliert: den Chattooga, dessen Stromschnellen keiner je lebend überwunden hat. Ihre einzige Sicherheit sind zwei unsinkbare Aluminium-Kanus. Dennoch paddeln sie geradewegs in die Katastrophe. Aus dem Wochenend-Ausflug wird ein Höllentrip.</t>
  </si>
  <si>
    <t>125,930</t>
  </si>
  <si>
    <t>Blackout - Im Netz des Kartells</t>
  </si>
  <si>
    <t>Blackout</t>
  </si>
  <si>
    <t>Action</t>
  </si>
  <si>
    <t>3.9</t>
  </si>
  <si>
    <t>★★</t>
  </si>
  <si>
    <t>tt8363392</t>
  </si>
  <si>
    <t>Josh Duhamel; Abbie Cornish; Omar Chaparro</t>
  </si>
  <si>
    <t>John Cain wacht nach einem schweren Autounfall, bei dem er sein Gedächtnis verloren hat, in einem mexikanischen Krankenhaus auf. Schnell bemerkt er, dass es dort nicht mit rechten Dingen zugeht und die Erinnerungen, die ihm seine Frau Anna und sein bester Freund Eddie einreden wollen, nicht stimmen können. Beim Versuch, aus der Klinik zu fliehen, wird er von Eddie und seinen Handlangern, die Mitglieder eines Drogenkartells sind, angegriffen. Cain sucht nach Antworten und findet zwischen seinen persönlichen Gegenständen eine Telefonnummer: Sie führt zu DEA-Agent McCoy, für den Cain seit fünf Jahren als verdeckter Ermittler arbeitet. Während McCoy alles daran setzt, seinen besten Undercoveragenten aus dem Krankenhaus zu befreien, beginnt Cain, sich langsam wieder an seine Vergangenheit zu erinnern ...</t>
  </si>
  <si>
    <t>5,266</t>
  </si>
  <si>
    <t>Broad Peak</t>
  </si>
  <si>
    <t>Poland, Italy</t>
  </si>
  <si>
    <t>Adventure, Biography, Drama</t>
  </si>
  <si>
    <t>6.0</t>
  </si>
  <si>
    <t>tt8983230</t>
  </si>
  <si>
    <t>Ireneusz Czop; Maja Ostaszewska; Piotr Glowacki</t>
  </si>
  <si>
    <t>Maciej Berbeka (Ireneusz Czop) entging 1988 bei seiner Erstbesteigung des Broad Peak nur knapp dem Tod. Der Leiter der Expedition, Andrzej Zawada (Tomasz Sapryk), sorgt dafür, dass alle von dieser großartigen Leistung erfahren. Doch als sie nach Polen zurückkehren, stellt sich heraus, dass Maciej den eine Stunde entfernten Rocky Peak erreicht hat, der dreiundzwanzig Meter unter dem ursprünglichen Gipfel liegt. Berbeka, der sich über die Lügen seiner Freunde ärgert, zieht sich vom Bergsteigen zurück. Vierundzwanzig Jahre später erhält Maciej einen Anruf von Krzysztof Wielicki (Lukasz Simlat), der an der ersten Expedition teilgenommen hat. Krzysztof sagt Maciej, dass "wir beenden müssen, was wir angefangen haben" und überzeugt ihn, sich der Broad Peak-Expedition anzuschließen.  Auf einer wahren Begebenheit beruhendes Drama.</t>
  </si>
  <si>
    <t>2,292</t>
  </si>
  <si>
    <t>Camp der Verlorenen</t>
  </si>
  <si>
    <t>Camp de Thiaroye</t>
  </si>
  <si>
    <t>7.7</t>
  </si>
  <si>
    <t>tt0092716</t>
  </si>
  <si>
    <t>Sidiki Bakaba; Hamed Camara; Ismaila Cissé</t>
  </si>
  <si>
    <t>622</t>
  </si>
  <si>
    <t>Captain Ron</t>
  </si>
  <si>
    <t>1992</t>
  </si>
  <si>
    <t>Adventure, Comedy</t>
  </si>
  <si>
    <t>5.8</t>
  </si>
  <si>
    <t>tt0103924</t>
  </si>
  <si>
    <t>Kurt Russell; Martin Short; Mary Kay Place</t>
  </si>
  <si>
    <t>Als Familie Harvey aus Chicago erfährt, daß sie ein Schiff geerbt hat, ist sie zunächst voller Vorfreude. Um Kosten zu sparen will er sie mit seiner Familie selbst nach Chicago bringen. Bei der Überführung des alten Kahns aus der Karibik muß sie allerdings auf den eigenartigen Skipper Ron zurückgreifen, der auch gerne mal ein Schluck zuviel trinkt. Ron steuert sie von einem Schlamassel hin zum nächsten und dann müssen sie sich auch noch gegen Piraten wehren.</t>
  </si>
  <si>
    <t>23,530</t>
  </si>
  <si>
    <t>Das Geheimnis des Bärenfelsens</t>
  </si>
  <si>
    <t>Gold Diggers: The Secret of Bear Mountain</t>
  </si>
  <si>
    <t>1995</t>
  </si>
  <si>
    <t>tt0113188</t>
  </si>
  <si>
    <t>Christina Ricci; Anna Chlumsky; Polly Draper</t>
  </si>
  <si>
    <t>Beth zieht mit ihrer Mutter in eine verschlafene Kleinstadt. Dort lernt sie als erste neue Freundin Jody kennen, die von dem alkoholsüchtigen Freund ihrer Mutter regelmäßig verprügelt wird. Jody sammelt schon lange alles, was sie zu der legendären Goldgräberin Molly Morgan finden kann. Eines Nachts flieht Jody von zu Hause und die beiden Freundinnen machen sich auf die abenteuerliche Reise zum Bear Mountain, in dem ein riesiger Goldschatz verborgen sein soll.</t>
  </si>
  <si>
    <t>5,098</t>
  </si>
  <si>
    <t>Das Geheimnis von Green Lake</t>
  </si>
  <si>
    <t>Holes</t>
  </si>
  <si>
    <t>2003</t>
  </si>
  <si>
    <t>tt0311289</t>
  </si>
  <si>
    <t>Shia LaBeouf; Sigourney Weaver; Jon Voight</t>
  </si>
  <si>
    <t>Unschuldig wird der junge Stanley zu 18 Monaten Umerziehung im Straflager Camp Green Lake verurteilt, wo er und seine Mithäftlinge Löcher graben müssen. Unerbittlich wacht die eiskalte Campleiterin Walker, die einen vergrabenen Schatz finden will, zusammen mit dem ebenso herzlosen Aufseher Mr. Sir über die Plackerei der Jugendlichen. Langsam freundet sich Stanley mit dem Außenseiter Zero an, der dennoch nicht verhindern kann, dass dieser zu fliehen versucht. Es beginnt eine dramatische Jagd mit überraschendem Ausgang.</t>
  </si>
  <si>
    <t>106,468</t>
  </si>
  <si>
    <t>Day Shift</t>
  </si>
  <si>
    <t>Action, Comedy, Fantasy</t>
  </si>
  <si>
    <t>6.1</t>
  </si>
  <si>
    <t>tt13314558</t>
  </si>
  <si>
    <t>Jamie Foxx; Dave Franco; Natasha Liu Bordizzo</t>
  </si>
  <si>
    <t>Bud braucht dringend Geld, um nicht von seiner witzigen und fröhlichen achtjährigen Tochter getrennt zu werden. Denn deren Mutter will das San Fernando Valley verlassen, um an einem günstigeren Ort zu leben. Mit seinem Job als Poolreiniger könnte Bud die nötigen 10.000 Dollar nie in einer Woche auftreiben. Zum Glück ist das nur sein Tarnberuf. In Wirklichkeit ist er ein Vampirjäger. Doch Bud hat ein Problem. Weil er aus der Gewerkschaft geflogen ist, kann er die sonst so wertvollen Zähne der erlegten Vampire nur für wenig Geld an einen zwielichtigen Schwarzmarkthändler verkaufen. Daher bietet er seinen alten Kumpel Big John Elliott um Hilfe - mit einem Haken. Bud bekommt nur die weniger einträgliche Tagesschicht zugeteilt und muss zudem den Bürokraten Seth an seiner Seite ertragen. Der soll aufpassen, dass er nicht gegen die Regeln verstößt. Doch das ist in seinem Job unmöglich, aber bald Buds kleinstes Problem...</t>
  </si>
  <si>
    <t>95,863</t>
  </si>
  <si>
    <t>Der König der Löwen</t>
  </si>
  <si>
    <t>The Lion King</t>
  </si>
  <si>
    <t>2019</t>
  </si>
  <si>
    <t>6.8</t>
  </si>
  <si>
    <t>tt6105098</t>
  </si>
  <si>
    <t>Donald Glover; Beyoncé; Seth Rogen</t>
  </si>
  <si>
    <t>Der König der Löwen, Mufasa, ist überglücklich, als die Löwin Sarabi einen Sohn zur Welt bringt: Simba. Seinem Onkel Scar ist der junge Thronfolger allerdings ein Dorn im Auge. Der kleine Löwe soll einst die Herrschaft über alle Tiere der Savanne innehaben und kann es, während er mit seiner Freundin Nala so einige Dummheiten anstellt, kaum erwarten, bis es so weit ist.  Doch durch Scars Intrigen verstirbt Mufasa und der junge Simba gibt sich die Schuld am Tod seines Vaters. Er ergreift die Flucht und landet im Dschungel, wo er vom Erdmännchen Timon und vom Warzenschwein Pumbaa aufgenommen wird. Sorgenfrei reift Simba zum erwachsenen Löwen, der gar nicht daran denkt, nach Hause zurückzukehren. Doch das Schicksal hat andere Pläne.</t>
  </si>
  <si>
    <t>286,086</t>
  </si>
  <si>
    <t>Der weisse Hai</t>
  </si>
  <si>
    <t>Jaws</t>
  </si>
  <si>
    <t>1975</t>
  </si>
  <si>
    <t>8.1</t>
  </si>
  <si>
    <t>tt0073195</t>
  </si>
  <si>
    <t>Roy Scheider; Robert Shaw; Richard Dreyfuss</t>
  </si>
  <si>
    <t>Ein weißer Hai terrorisiert eine Badeinsel an der amerikanischen Atlantikküste. Besonnene Einheimische unter Führung von Polizeichef Brody wollen alle Strände schließen und zur großen Jagd blasen, während die Schar der Kaufleute und Gastwirte angesichts der einträglichen Badesaison lieber zur Tagesordnung übergeht und sich damit auch durchsetzt. Als der Hai erneut zuschlägt, bildet Brody mit dem erfahrenen Haifänger Quint und dem Ozeanologen Hooper ein Jagd-Team und rückt dem Gegner auf See zu Leibe.</t>
  </si>
  <si>
    <t>719,617</t>
  </si>
  <si>
    <t>Der weisse Hai 2</t>
  </si>
  <si>
    <t>Jaws 2</t>
  </si>
  <si>
    <t>1978</t>
  </si>
  <si>
    <t>tt0077766</t>
  </si>
  <si>
    <t>Roy Scheider; Lorraine Gary; Murray Hamilton</t>
  </si>
  <si>
    <t>Aus dem kleinen Küstenort Amity soll ein modernes Seebad gemacht werden. Plötzlich geschehen schreckliche Unglücksfälle. Polizeichef Brody befürchtet, dass so wie vor einigen Jahren wieder ein Hai dafür verantwortlich sein könnte. Aber keiner reagiert auf seine Warnungen. Auf sich allein gestellt, versucht er, die mörderische Bestie zu bekämpfen...</t>
  </si>
  <si>
    <t>90,907</t>
  </si>
  <si>
    <t>Der weisse Hai 3</t>
  </si>
  <si>
    <t>Jaws 3-D</t>
  </si>
  <si>
    <t>1983</t>
  </si>
  <si>
    <t>3.7</t>
  </si>
  <si>
    <t>tt0085750</t>
  </si>
  <si>
    <t>Dennis Quaid; Bess Armstrong; Simon MacCorkindale</t>
  </si>
  <si>
    <t>Der Sohn von Polizeichef Brody, Michael, ist Ingenieur. Seine Arbeitsstätte: ein Unterwasser-Vergnügungspark im sonnigen Florida. Michael hat eine Freundin, Kathryn  die sich als Trainerin um die Meeresbewohner des Parks kümmert. Der kundige Filmfreund weiß, dass jetzt nur noch einer fehlt, damit der Plot halbwegs interessant wird - der weiße Hai! Er ist in diesem Fall eine Sie, ein trächtiges Weibchen. Das schwimmt in die Anlage, wo es sein drei Meter langes Junges gebärt. Mutter und Kind gehen fortan getrennt auf die Jagd. Nur wenig Zeit vergeht, bis sich Michael und Kathryn mit den ersten Leichen konfrontiert sehen. Währenddessen rückt der Eröffnungstermin des Wasserparks näher und näher...</t>
  </si>
  <si>
    <t>51,901</t>
  </si>
  <si>
    <t>Der Weisse Hai 4 - Die Abrechnung</t>
  </si>
  <si>
    <t>Jaws: The Revenge</t>
  </si>
  <si>
    <t>1987</t>
  </si>
  <si>
    <t>3.0</t>
  </si>
  <si>
    <t>★½</t>
  </si>
  <si>
    <t>tt0093300</t>
  </si>
  <si>
    <t>Lorraine Gary; Lance Guest; Mario Van Peebles</t>
  </si>
  <si>
    <t>Ellen Brody lebt mit ihrem Sohn Sean noch immer in dem Ferienort Amity. Kurz vor Weihnachten geschieht das Unglaubliche: Sean wird, wie sein Vater Jahre zuvor, von einem weißen Hai zerfleischt. Keiner hört seine Schreie, keiner kommt ihm zu Hilfe. Seine Mutter lässt sich nun endlich von ihrem ältesten Sohn Michael überreden, mit auf die Bahamas zu ziehen – weit weg von allen Killer-Haien. Doch der Frieden währt nicht lange: schon kurze Zeit später taucht plötzlich eine spitze, dreieckige Flosse am Strand auf. Das Monstrum ist Ellen gefolgt – und es ist hungrig! Ein letzter dramatischer Kampf zwischen Mensch und Bestie beginnt – die Zeit der Abrechnung ist gekommen …</t>
  </si>
  <si>
    <t>51,517</t>
  </si>
  <si>
    <t>Die fantastische Reise des Dr.Dolittle</t>
  </si>
  <si>
    <t>Dolittle</t>
  </si>
  <si>
    <t>US, China, Japan</t>
  </si>
  <si>
    <t>Adventure, Comedy, Family</t>
  </si>
  <si>
    <t>tt6673612</t>
  </si>
  <si>
    <t>Robert Downey Jr.; Antonio Banderas; Michael Sheen</t>
  </si>
  <si>
    <t>Auch sieben Jahre nach ihrem Tod hat der exzentrische Arzt Dr. Dolittle den Verlust seiner Frau nicht überwunden. Gemeinsam mit einer bunt zusammengewürfelten Truppe exotischer Tiere hat er sich aus der viktorianischen Welt Englands zurückgezogen und hinter den hohen Mauern seines Familienanwesens Dolittle Manor verschanzt. Als die junge Queen Victoria aber schwer erkrankt, muss Dolittle zunächst widerwillig sein Heim verlassen und sich auf der Suche nach einem Heilmittel auf die Reise zu einem sagenumwobenen Eiland begeben. Es ist eine gefährliche Mission, doch während er sich alten Feinden stellen muss und neuen wundersamen Kreaturen begegnet, erwachen Stück für Stück auch wieder sein Lebensmut und Witz. Begleitet wird Dolittle auf dieser halsbrecherischen Odyssee von seinem selbst ernannten Lehrling und natürlich von seiner lautstarken tierischen Familie.</t>
  </si>
  <si>
    <t>76,594</t>
  </si>
  <si>
    <t>Die Insel der besonderen Kinder</t>
  </si>
  <si>
    <t>Miss Peregrine's Home for Peculiar Children</t>
  </si>
  <si>
    <t>2016</t>
  </si>
  <si>
    <t>tt1935859</t>
  </si>
  <si>
    <t>Eva Green; Asa Butterfield; Samuel L. Jackson</t>
  </si>
  <si>
    <t>Seit frühester Kindheit hört Jacob von seinem Großvater Abraham immer wieder wundervolle und fantasiereiche Geschichten von einer Insel, auf der er sich vor Monstern versteckte und mit Kindern lebte, die alle außergewöhnliche Fähigkeiten besaßen. Als kleiner Junge liebt Jacob diese Geschichten, die er für bare Münze nimmt, später glaubt er seinem Opa jedoch kein Wort mehr. Als der Junge 16 ist, stirbt sein Großvater, scheinbar zerfleischt von einem wilden Tier. Doch Jacob meint, etwas anderes gesehen zu haben und wird neugierig: Er ringt seinen Eltern die Erlaubnis ab, zu der Insel zu reisen, auf der sein Opa zur Zeit des Zweiten Weltkrieges in einem Waisenhaus wohnte. Das alte Haus in Großbritannien ist längst eine verlassene Ruine, doch Jacob findet Anhaltspunkte dafür, dass die "besonderen Kinder" aus Abrahams Geschichten noch leben, gut behütet von der resoluten Miss Peregrine – aber die Gefahr, die Abraham das Leben kostete, ist noch immer nicht gebannt...</t>
  </si>
  <si>
    <t>204,494</t>
  </si>
  <si>
    <t>Die Legende vom Tigernest</t>
  </si>
  <si>
    <t>The Tiger's Nest</t>
  </si>
  <si>
    <t>IT</t>
  </si>
  <si>
    <t>5.7</t>
  </si>
  <si>
    <t>tt7527028</t>
  </si>
  <si>
    <t>Claudia Gerini; Sunny Pawar; Amandeep Singh</t>
  </si>
  <si>
    <t>Eines Nachts rettet der Waisenjunge Balmani in den Tälern des Himalaya einen jungen Tiger vor skrupellosen Wilderern. Beide entkommen und der Junge nimmt das Tigerjunge, das er Mukti nennt, unter seine Fittiche. Gemeinsam machen sie sich auf eine lange und gefährliche Reise zum Taktsang-Kloster in Bhutan, das auch als „The Tiger’s Nest“ bekannt ist. Das Tigernest ist ein von Mönchen geführtes Refugium für verwaiste Tiger, und soll Muktis neues und sicheres Zuhause werden.</t>
  </si>
  <si>
    <t>505</t>
  </si>
  <si>
    <t>Die Rückkehr der Musketiere</t>
  </si>
  <si>
    <t>The Return of the Musketeers</t>
  </si>
  <si>
    <t>1989</t>
  </si>
  <si>
    <t>Action, Adventure, Romance</t>
  </si>
  <si>
    <t>5.9</t>
  </si>
  <si>
    <t>tt0098194</t>
  </si>
  <si>
    <t>Michael York; Oliver Reed; Frank Finlay</t>
  </si>
  <si>
    <t>Wir werden erneut in die wildeste Zeit der Weltgeschichte versetzt. Unsere vier Draufgänger sind wieder "voll drauf". In Frankreich versuchen sie den 10 Jahre alten König Ludwig IXV und seine Mutter Königin Anna dem Einfluß des skrupellosen Kardinals Mazarin zu entreißen. In England gilt es König Karl I vor der Hinrichtung durch den Rebellen Oliver Cromwell  zu retten. Sie stürzen von einem Abenteuer ins andere, doch bei der schönen Spionin Justine laufen alle Gefahr ihr Herz...und somit Kopf und Kragen zu verlieren.</t>
  </si>
  <si>
    <t>4,013</t>
  </si>
  <si>
    <t>Die Schneegesellschaft</t>
  </si>
  <si>
    <t>La sociedad de la nieve</t>
  </si>
  <si>
    <t>2023</t>
  </si>
  <si>
    <t>ESP</t>
  </si>
  <si>
    <t>7.8</t>
  </si>
  <si>
    <t>tt16277242</t>
  </si>
  <si>
    <t>Enzo Vogrincic; Agustín Pardella; Matías Recalt</t>
  </si>
  <si>
    <t>Am 13. Oktober 1972 stürzt der Flug 571 der uruguayischen Luftwaffe, der eine Rugbymannschaft nach Chile bringen sollte, auf einen Gletscher im Herzen der Anden.</t>
  </si>
  <si>
    <t>164,568</t>
  </si>
  <si>
    <t>Die unglaublichen Abenteuer von Bella</t>
  </si>
  <si>
    <t>A Dog's Way Home</t>
  </si>
  <si>
    <t>tt7616798</t>
  </si>
  <si>
    <t>Ashley Judd; Jonah Hauer-King; Edward James Olmos</t>
  </si>
  <si>
    <t>Die Hündin Bella wurde unter einem verlassenen Haus geboren. Eines Tages greift die Tierfürsorge ein und trennt Bella vom Rest ihrer Familie. Ganz alleine zurückgelassen wird sie von einer Katze adoptiert und kann so ihr Leben unter dem Haus weiterführen. Bis der junge Arzt Lucas auftaucht, der seiner Freundin Olivia die Katzen unter dem Haus zeigen will, in der Hoffnung, sie zu retten. Als die junge Bella aber hervorkommt, entscheidet Lucas, dass er sie mit zu sich nimmt, damit sie seiner Mutter Terri Gesellschaft leistet. Um einem Eichhörnchen hinterherzujagen, entwischt Bella eines Tages aus dem Haus und wird prompt von der Tierfürsorge eingefangen. Damit Lucas Bella behalten kann, ist er nun gezwungen, an den Rand der Stadt zu ziehen, bis es soweit ist, kommt Bella bei Olivias Onkel und Tante in New Mexico unter. Doch Bella vermisst ihren Besitzer sehr und rennt weg. Um ihr Herrchen wiederzufinden, steht Bella nun vor der Aufgabe, eine lange Heimreise anzutreten.</t>
  </si>
  <si>
    <t>21,810</t>
  </si>
  <si>
    <t>Ella und der schwarze Jaguar</t>
  </si>
  <si>
    <t>Le Dernier Jaguar</t>
  </si>
  <si>
    <t>tt16740144</t>
  </si>
  <si>
    <t>Emily Bett Rickards; Lumi Pollack; Paul Greene</t>
  </si>
  <si>
    <t>Ella ist keine gewöhnliche Teenagerin: Ihre Kindheit hat sie im Dschungel des Amazonas verbracht und ihre beste Freundin ist Hope – ein schwarzer Jaguar, den sie als verwaistes Jungtier aufgezogen hat. Doch nach dem tragischen Tod von Ellas Mutter beschloss ihr Vater, dem Amazonas den Rücken zu kehren und nach New York zu ziehen. Ellas größter Traum ist es seitdem, an den Ort zurückzukehren, an dem sie aufgewachsen ist. Als sie erfährt, dass Wilderer im Amazonas Jagd auf seltene Tiere machen und Hope in Gefahr ist, hält Ella es nicht mehr aus: Sie entscheidet, sich auf ein Abenteuer einzulassen, das ihr Leben für immer verändern wird.</t>
  </si>
  <si>
    <t>1,048</t>
  </si>
  <si>
    <t>Elliot der Drache</t>
  </si>
  <si>
    <t>Pete's Dragon</t>
  </si>
  <si>
    <t>tt2788732</t>
  </si>
  <si>
    <t>Bryce Dallas Howard; Robert Redford; Oakes Fegley</t>
  </si>
  <si>
    <t>Seit Jahren erfreut Holzschnitzer Mr. Meacham  die Kinder aus der Nachbarschaft mit Geschichten über einen wilden Drachen, der in den tiefen Wäldern des Pazifischen Nordwestens lebt. Für seine Tochter Grace, Försterin in der Umgebung, waren diese Geschichten nie mehr als Legenden, bis sie den Jungen Pete kennenlernt ... Der mysteriöse Zehnjährige hat weder Familie noch ein Zuhause und behauptet, zusammen mit einem gigantischen grünen Drachen namens Elliot in den Wäldern zu leben. Auf wundersame Weise hat das Wesen aus Petes Beschreibungen große Ähnlichkeit mit dem Drachen aus Mr. Meachams Geschichten. Zusammen mit der elfjährigen Natalie, der Tochter von Sägewerkbesitzer Jack, macht es sich Grace zur Aufgabe, Petes Herkunft und das Geheimnis seines Drachens zu lüften ...</t>
  </si>
  <si>
    <t>63,653</t>
  </si>
  <si>
    <t>Everest</t>
  </si>
  <si>
    <t>2015</t>
  </si>
  <si>
    <t>UK, Iceland, US</t>
  </si>
  <si>
    <t>7.1</t>
  </si>
  <si>
    <t>tt2719848</t>
  </si>
  <si>
    <t>Jason Clarke; Ang Phula Sherpa; Thomas M. Wright</t>
  </si>
  <si>
    <t>Der Mount Everest - ein Mythos und gleichzeitig eines der größten Abenteuer dieses Planeten. Für die Teilnehmer zweier Expeditionen ist er die Herausforderung ihres Lebens. Als die beiden Gruppen der erfahrenen Bergsteiger Scott Fischer und Rob Hall die Gipfelerstürmung in Angriff nehmen, gerät diese zu einem dramatischen Kampf ums Überleben. Denn selbst die beste Vorbereitung und das härteste Training ist keine Garantie, wenn plötzlich das Leben nur noch an einem seidenen Faden hängt...</t>
  </si>
  <si>
    <t>241,475</t>
  </si>
  <si>
    <t>Flipper</t>
  </si>
  <si>
    <t>1996</t>
  </si>
  <si>
    <t>Adventure, Crime, Drama</t>
  </si>
  <si>
    <t>5.3</t>
  </si>
  <si>
    <t>tt0116322</t>
  </si>
  <si>
    <t>Paul Hogan; Elijah Wood; Jonathan Banks</t>
  </si>
  <si>
    <t>Sandy hat null Bock, den Sommer bei seinem Althippie-Onkel in der Nähe von Key West zu verbringen. Erst als er ein Delphinjunges rettet und den neuen Freund Flipper nennt, steigt seine Urlaubslaune beträchtlich. Bald wird das Tier durch leckgeschlagene Giftfässer krank. Sandy pflegt Flipper gesund und fahndet gemeinsam mit seinem Onkel nach den Öko-Verbrechern …</t>
  </si>
  <si>
    <t>12,093</t>
  </si>
  <si>
    <t>Free Willy</t>
  </si>
  <si>
    <t>France, US</t>
  </si>
  <si>
    <t>Adventure, Drama, Family</t>
  </si>
  <si>
    <t>tt0106965</t>
  </si>
  <si>
    <t>Jason James Richter; Lori Petty; Michael Madsen</t>
  </si>
  <si>
    <t>Dreieinhalb Tonnen pure Freundschaft: Was kann ein kleiner Junge mehr verlangen? Willy ist ein Orca-Wal, der sein Dasein in einem viel zu kleinen Becken eines Vergnügungsparks an der amerikanischen Pazifikküste fristet, getrennt von seiner Familie in einer nahegelegenen Bucht. Trotzdem versteht niemand, warum Willy so traurig ist - außer einem zwölfjährigen Jungen, der aus eigener Erfahrung weiß, was es bedeutet von seiner Familie getrennt zu sein. Der Straßenjunge Jesse findet in Willy den Freund seines Lebens. Um ihn zu befreien, setzt er alles aufs Spiel...</t>
  </si>
  <si>
    <t>86,948</t>
  </si>
  <si>
    <t>Greenland</t>
  </si>
  <si>
    <t>2020</t>
  </si>
  <si>
    <t>US, UK</t>
  </si>
  <si>
    <t>Action, Thriller</t>
  </si>
  <si>
    <t>6.4</t>
  </si>
  <si>
    <t>tt7737786</t>
  </si>
  <si>
    <t>Gerard Butler; Morena Baccarin; Roger Dale Floyd</t>
  </si>
  <si>
    <t>Ein riesiger Komet rast in hoher Geschwindigkeit auf die Erde zu und soll Berechnungen zufolge vor Eintritt in die Erdatmosphäre verglühen. Doch die Prognosen stimmen nicht – ein erstes Fragment des Kometen stürzt nicht ins Meer, sondern zerstört stattdessen ganz Florida. Gerüchte, dass nur ein ausgewählter Kreis von Personen in Sicherheit gebracht werden kann, machen bereits die Runde, als Ingenieur John Garrity von der US-Regierung aufgefordert wird, sich sofort gemeinsam mit seiner Frau Allison und Sohn Nathan zu einer Militärbasis zu begeben. Von dort aus sollen sie an einen Ort ausgeflogen werden, an dem das Überleben möglich sein soll: Grönland. Doch die Fahrt dorthin wird zum Spießrutenlauf und die Familie im Chaos verzweifelnd fliehender Menschen und plündernden Horden auseinandergerissen. Wie sollen sie sich je wiederfinden, und wo ist man überhaupt noch sicher?</t>
  </si>
  <si>
    <t>150,010</t>
  </si>
  <si>
    <t>Greystoke – Die Legende von Tarzan</t>
  </si>
  <si>
    <t>Greystoke: The Legend of Tarzan, Lord of the Apes</t>
  </si>
  <si>
    <t>1984</t>
  </si>
  <si>
    <t>tt0087365</t>
  </si>
  <si>
    <t>Christopher Lambert; Andie MacDowell; Ralph Richardson</t>
  </si>
  <si>
    <t>Im Jahr 1886 kommen Lord und Lady Greystoke in Afrika ums Leben. Ihr kleiner Sohn wird von Affen aufgezogen. Jahre später spürt eine Expedition den inzwischen erwachsenen Greystoke auf und bringt ihn zurück nach England. Doch der "Herr der Affen" kommt in der Zivilisation nicht zurecht.</t>
  </si>
  <si>
    <t>21,583</t>
  </si>
  <si>
    <t>High Lane - Schau nicht nach unten!</t>
  </si>
  <si>
    <t>Vertige</t>
  </si>
  <si>
    <t>2009</t>
  </si>
  <si>
    <t>tt1433562</t>
  </si>
  <si>
    <t>Fanny Valette; Johan Libéreau; Raphaël Lenglet</t>
  </si>
  <si>
    <t>Zwei junge, befreundete Pärchen machen sich auf den Weg zu einer Kletterpartie im Hochgebirge. Dies soll ihr letztes Abenteuer werden, bevor sie sich in den stressigen Berufsalltag stürzen. Das fünfte Rad am Wagen ist Loic, der Ex-Freund von Chloe, der von Anfang an Probleme bereitet. Nachdem sich ihre Routenplanung nicht umsetzen lässt, beschließen die Fünf, freestyle Richtung Himmel zu klettern. Als sie bei dem lebensbedrohlichen Aufstieg feststellen, dass sie nicht allein sind, wird der Kletterausflug schnell zum Albtraum...</t>
  </si>
  <si>
    <t>8,461</t>
  </si>
  <si>
    <t>Hundert Minuten Ferien</t>
  </si>
  <si>
    <t>Sto minut wakacji</t>
  </si>
  <si>
    <t>1998</t>
  </si>
  <si>
    <t>PL</t>
  </si>
  <si>
    <t>6.2</t>
  </si>
  <si>
    <t>tt0365790</t>
  </si>
  <si>
    <t>Jolanta Fraszynska, Andrzej Zielinski, Kamila Natkaniec</t>
  </si>
  <si>
    <t>64</t>
  </si>
  <si>
    <t>Indiana Jones und das Königreich des Kristallschädels</t>
  </si>
  <si>
    <t>Indiana Jones and the Kingdom of the Crystal Skull</t>
  </si>
  <si>
    <t>2008</t>
  </si>
  <si>
    <t>tt0367882</t>
  </si>
  <si>
    <t>Harrison Ford; Cate Blanchett; Shia LaBeouf</t>
  </si>
  <si>
    <t>1957 in der Wüste Nevadas, der Kalte Krieg ist in vollem Gange und Indiana Jones den Russen in die Hände gefallen. Indy gelingt die Flucht, doch die Russen – unter der Führung von Irina Spalko, Stalins Lieblingsagentin und ihres Zeichens Parapsychologin, - entwenden ein mysteriöses Skelett, das offenbar in Verbindung mit dem Verschwinden von Indys altem Freund und Kollegen Harold Oxleys steht, der in Peru verschollen ist. Gemeinsam mit Oxleys Ziehsohn Mutt macht sich Indy im Dschungel des Amazonas auf die Suche nach dem legendären Kristallschädel, dem magische Kräfte nachgesagt werden und der Oxley offenbar in den Wahnsinn getrieben hat. Eine Schatzsuche auf Leben und Tod beginnt.</t>
  </si>
  <si>
    <t>506,461</t>
  </si>
  <si>
    <t>Indiana Jones und das Rad des Schicksals</t>
  </si>
  <si>
    <t>Indiana Jones and the Dial of Destiny</t>
  </si>
  <si>
    <t>6.5</t>
  </si>
  <si>
    <t>tt1462764</t>
  </si>
  <si>
    <t>Harrison Ford; Phoebe Waller-Bridge; Antonio Banderas</t>
  </si>
  <si>
    <t>Indy befindet sich in einer neuen Ära und nähert sich dem Ruhestand. Er ringt damit, sich in eine Welt einzufügen, die über ihn hinausgewachsen zu sein scheint. Doch als die Tentakel eines allzu vertrauten Bösen in Form eines alten Rivalen zurückkehren, muss Indy erneut seinen Hut aufsetzen und seine Peitsche in die Hand nehmen, um sicherzustellen, dass ein uraltes und mächtiges Artefakt nicht in die falschen Hände gerät.</t>
  </si>
  <si>
    <t>225,449</t>
  </si>
  <si>
    <t>Into the Wild</t>
  </si>
  <si>
    <t>2007</t>
  </si>
  <si>
    <t>8.0</t>
  </si>
  <si>
    <t>tt0758758</t>
  </si>
  <si>
    <t>Emile Hirsch; Vince Vaughn; Catherine Keener</t>
  </si>
  <si>
    <t>Ein behütetes Elternhaus, finanzielle Sicherheit, eine außergewöhnliche Begabung und umwerfender Charme – eigentlich ist der Anfang 20-jährige Student Christopher so etwas wie ein Vorzeige-Amerikaner mit glänzenden Zukunftsperspektiven. Doch dann plötzlich, von heute auf morgen, bricht er aus seiner privilegierten Existenz aus und lässt alles hinter sich. Ohne einen Cent in der Tasche trampt er quer durch die Staaten, Richtung Alaska, in die Wildnis. Unterwegs trifft er auf andere Aussteiger, die wie er am Rande der Gesellschaft leben, und spürt die menschliche Nähe, die er bei seinen Eltern immer vermisste. Doch vier Monate später findet das Abenteuer ein jähes Ende.</t>
  </si>
  <si>
    <t>686,109</t>
  </si>
  <si>
    <t>Josh and S.A.M.</t>
  </si>
  <si>
    <t>Josh &amp; S.A.M.</t>
  </si>
  <si>
    <t>Adventure, Comedy, Drama</t>
  </si>
  <si>
    <t>tt0107277</t>
  </si>
  <si>
    <t>Jacob Tierney; Noah Fleiss; Martha Plimpton</t>
  </si>
  <si>
    <t>Seit der Scheidung ihrer Eltern fühlen sich Josh (12) und Sam (10) vernachlässigt. Deshalb erfindet Josh eine eigene, neue, lebenswerte Welt. Er überzeugt seinen kleinen Bruder davon, dass er ein „Strategically Altered Mutant“ (S.A.M.) ist, ein Mutant, der mit speziellen Fähigkeiten ausgestattet wurde, um einen wichtigen Regierungsauftrag auszuführen. Es braucht nicht viel, um Sam von seiner ungeahnten Macht zu überzeugen und von der Notwendigkeit, nach Kanada zu fliehen, damit die Armee ihn nicht schnappt. Unterwegs treffen sie eine junge Anhalterin, in die sie sich prompt verlieben. Jede Minute erleben die Brüder ein neues Abenteuer und bleiben dabei ihren Eltern und der Polizei, die inzwischen die Verfolgung aufgenommen haben, immer einen Schritt voraus.</t>
  </si>
  <si>
    <t>1,643</t>
  </si>
  <si>
    <t>Jumanji</t>
  </si>
  <si>
    <t>tt0113497</t>
  </si>
  <si>
    <t>Robin Williams; Kirsten Dunst; Bonnie Hunt</t>
  </si>
  <si>
    <t>Jumanji ist das geheimnisvolle, uralte Spiel, aus dem der unberechenbare Geist des Dschungels ausbricht, um die Welt zu beherrschen. Alle, die dieses Spiel je gespielt haben, kennen nur zu gut seine Gefahren. So auch Alan Parrish, der bereits als kleiner Junge in die gefährliche Welt von Jumanji entführt wurde. Jetzt, 26 Jahre später, werfen Sarah, Judy und Peter die Würfel - und können Alan befreien. Doch das ist erst der Anfang! Ob sie wollen oder nicht, Jumanji geht weiter: die vier müssen sich gegen wilde Horden von Löwen, Affen, Elefanten, Nashörnern, fleischfressenden Schlingpflanzen, Riesenspinnen, Monsunregen und Erdbeben wehren. Nur so können sie die Kräfte von Jumanji bezwingen. Bis zum nächsten Spiel.</t>
  </si>
  <si>
    <t>401,045</t>
  </si>
  <si>
    <t>Jumanji - Willkommen im Dschungel</t>
  </si>
  <si>
    <t>Jumanji: Welcome to the Jungle</t>
  </si>
  <si>
    <t>2017</t>
  </si>
  <si>
    <t>US, Australia, Canada, Mexico, India, UK</t>
  </si>
  <si>
    <t>Action, Adventure, Comedy</t>
  </si>
  <si>
    <t>tt2283362</t>
  </si>
  <si>
    <t>Dwayne Johnson; Karen Gillan; Kevin Hart</t>
  </si>
  <si>
    <t>Vier Teenager entdecken beim Nachsitzen ein altes Videospiel, doch statt einem ungefährlichen Spaß vorm Fernseher wird das Quartett in die Dschungelwelt von Jumanji gezogen! In dieser unwirtlichen Umgebung bekommen es die Schüler mit Nashörnern, schwarzen Mambas und einer unendlichen Vielfalt an Dschungel-Fallen und -Puzzeln zu tun – allerdings in den Körpern der Figuren des Games. Der bescheidene Spencer wird zum Abenteurer Dr. Smolder Bravestone, Football-Spieler Anthony „Fridge“ Johnson zum Zoologen und Waffenspezialisten Moose Finbar, It-Girl Bethany zum Kartografen/Kryptografen Shelly Oberon und die unsportliche Außenseiterin Martha zur Kämpferin Ruby Roundhouse. Um das Spiel zu gewinnen, müssen sie in ihren neuen Körpern allerlei gefährliche Abenteuer überstehen...</t>
  </si>
  <si>
    <t>488,679</t>
  </si>
  <si>
    <t>Jumanji: The Next Level</t>
  </si>
  <si>
    <t>US, India, Australia, New Zealand, Thailand, Canada, South Korea, China, Netherlands</t>
  </si>
  <si>
    <t>6.6</t>
  </si>
  <si>
    <t>tt7975244</t>
  </si>
  <si>
    <t>Dwayne Johnson; Jack Black; Kevin Hart</t>
  </si>
  <si>
    <t>Als Spencer verschwindet, ist Martha schnell klar: Der Junge, in den sie sich einst verliebte, der aber nun doch nur noch ein guter Freund ist, ist erneut im Videospiel Jumanji gelandet. Gemeinsam mit dem Footballspieler Anthony „Fridge“ Johnson will sie ihn retten und erneut in das Spiel eintauchen. Doch leider landen dabei auch Spencers Großvater Eddie und dessen Kumpel Milo in der wundersamen Welt von Jumanji. Während Martha nun wieder im Körper von Bad-Ass Kämpferin Ruby Roundhouse steckt, wird das Abenteuer dadurch erschwert und gefährlicher, dass die Senioren als Abenteurer Dr. Smolder Bravestone sowie Zoologe und Waffenspezialist Moose Finbar nicht gerade eine große Hilfe sind. Auch Fridge muss sich erst einmal daran gewöhnen, nun den dicken Bauch von Kartograf Shelly Oberon zu haben…</t>
  </si>
  <si>
    <t>310,945</t>
  </si>
  <si>
    <t>Jurassic World - Ein neues Zeitalter</t>
  </si>
  <si>
    <t>Jurassic World Dominion</t>
  </si>
  <si>
    <t>tt8041270</t>
  </si>
  <si>
    <t>Chris Pratt; Bryce Dallas Howard; Laura Dern</t>
  </si>
  <si>
    <t>Die Isla Nublar und ihr Park wurden zerstört, aber die Probleme sind noch nicht vorbei. Da sich die Dinosaurier auf der ganzen Welt ausgebreitet haben, führen die angespannten Beziehungen zwischen der Gegenwart und der Vergangenheit zu neuen Konflikten. Das zerbrechliche Gleichgewicht wird dabei auf die Probe gestellt und die Zukunft steht vor einer neuen Ausrichtung. Es wird ein für alle Mal entschieden, welche Spezies auf der Erde existieren soll.</t>
  </si>
  <si>
    <t>236,518</t>
  </si>
  <si>
    <t>Lampo - Ein Vierbeiner auf Reisen</t>
  </si>
  <si>
    <t>O psie, który jeździł koleją</t>
  </si>
  <si>
    <t>tt27695172</t>
  </si>
  <si>
    <t>Mateusz Damiecki; Liliana Zajbert; Monika Pikula</t>
  </si>
  <si>
    <t>Die 11-jährige Zuzia hat den Kopf voller Träume, aber leidet an einer Herzkrankheit, die sie in vielen Dingen einschränkt. Als ihre Eltern erfahren, dass Zuzia in einer Schweizer Klinik geholfen werden kann, versuchen sie alles, um das für die Operation nötige Geld aufzutreiben. Doch eines Tages taucht ein Hund namens Lampo auf und stellt das Leben der ganzen Familie auf den Kopf.</t>
  </si>
  <si>
    <t>146</t>
  </si>
  <si>
    <t>Leben ist jetzt - Die Real Life Guys</t>
  </si>
  <si>
    <t>2025</t>
  </si>
  <si>
    <t>D</t>
  </si>
  <si>
    <t>Biography</t>
  </si>
  <si>
    <t>tt29122111</t>
  </si>
  <si>
    <t>Kya-Celina Barucki; Richard Fuchs; Anton Fuchs</t>
  </si>
  <si>
    <t>Die technikbegeisterten Zwillinge Philipp und Johannes sowie ihre Schwester Elli wachsen in einem christlich geprägten Umfeld auf. Als bei Philipp jedoch Krebs diagnostiziert wird, beschließen sie, ihr Leben radikal zu ändern und es ab sofort richtig krachen zu lassen. Zusammen mit ihrer Schwester gründen sie den YouTube-Kanal „The Real Life Guys" und stürzen sich in spektakuläre Abenteuer. Dabei bauen sie unter anderem eine Raketen-Badewanne, ein selbst zusammengeschweißtes U-Boot und eine bemannte Drohne. Die Real Life Guys stecken eine schnell wachsende Community mit ihrer Lebenslust an. Doch als Elli verunglückt und Philipp erneut an Krebs erkrankt, lernen die Zwillinge in überwältigender Intensität, was wirklich zählt und wie man das Leben mit all seinen Facetten umarmt.</t>
  </si>
  <si>
    <t>57</t>
  </si>
  <si>
    <t>Luckys große Abenteuer</t>
  </si>
  <si>
    <t>Running Free</t>
  </si>
  <si>
    <t>1999</t>
  </si>
  <si>
    <t>5.4</t>
  </si>
  <si>
    <t>tt0173910</t>
  </si>
  <si>
    <t>Chase Moore; Maria Geelbooi; Arie Verveen</t>
  </si>
  <si>
    <t>Anfang des 20. Jahrhunderts werden deutsche Pferde mit Schiffen nach Südafrika gebracht, um dort als Arbeitstiere in den Kupferminen eingesetzt zu werden. Auf eines dieser Dampfer kommt das Fohlen "Lucky" auf die Welt. Nach der Ankunft wird Lucky von seiner Mutter getrennt. In den Waisenjungen Richard (Chase Moore), der als Stallbursche arbeitet, findet er seinen besten Freund. Doch dann bricht Krieg über das Land herein und die beiden Freunde werden getrennt. Lucky muß nun lernen in der Wüste zu überleben.</t>
  </si>
  <si>
    <t>745</t>
  </si>
  <si>
    <t>Madison - Ungebremste Girlpower</t>
  </si>
  <si>
    <t>Madison</t>
  </si>
  <si>
    <t>6.3</t>
  </si>
  <si>
    <t>tt10397306</t>
  </si>
  <si>
    <t>Felice Ahrens; Florian Lukas; Maxi Warwel</t>
  </si>
  <si>
    <t>Madison ist 12 und schon eine richtige Radrennfahrerin. Doch die ehrgeizige Sportlerin wird auf den Boden der Tatsachen geholt, als sie von einem sehr wichtigen Trainingscamp ausgeschlossen wird. Als ihr Vater Wind davon bekommt, ist er rasend vor Wut, schließlich ist er selbst ein international bekannter Radprofi und seine Tochter soll ihm einmal in nichts nachstehen. Anders als vorgesehen, steht Madison nun ein sehr langweiliger Sommer mit ihrer Mutter Katharina in den Bergen Tirols bevor. Als sie dann auch noch das Rennrad an den Nagel und auf ein Mountainbike umsatteln soll, scheint für Madison der Sommer endgültig gelaufen. Es dauert aber nicht lange und Madison findet mit Vicky, Jo und Luggi Verbündete, eigentlich sind es sogar die ersten richtigen Freunde, die sie je hatte.</t>
  </si>
  <si>
    <t>73</t>
  </si>
  <si>
    <t>Monster Summer</t>
  </si>
  <si>
    <t>Adventure, Fantasy, Mystery</t>
  </si>
  <si>
    <t>tt3954936</t>
  </si>
  <si>
    <t>Mel Gibson; Mason Thames; Julian Lerner</t>
  </si>
  <si>
    <t>Noah und seine Freunde entdecken während der Sommerferien in ihrer kleinen Stadt eine düstere, unerklärliche Macht, die ihren unbeschwerten Sommerspaß zu zerstören droht. Gemeinsam müssen sie sich dieser dunklen Gefahr stellen, und entdecken dabei, dass wahre Freundschaft und Teamarbeit die stärksten Waffen gegen das geheimnisvolle Unbekannte sind. Tatkräftige Unterstützung bekommen sie von dem pensionierten Polizisten Gene Carruthers. Zusammen erleben sie ein wahrlich monströses Abenteuer, in dem sie versuchen, ihre Heimat vor dieser mysteriösen und zerstörerischen Kraft zu retten.</t>
  </si>
  <si>
    <t>3,735</t>
  </si>
  <si>
    <t>The Adam Project</t>
  </si>
  <si>
    <t>tt2463208</t>
  </si>
  <si>
    <t>Ryan Reynolds; Walker Scobell; Mark Ruffalo</t>
  </si>
  <si>
    <t>Der 12-jährige Adam Reed, der immer noch den plötzlichen Tod seines Vaters ein Jahr zuvor betrauert, betritt eines Nachts seine Garage und stellt fest, dass sich dort ein verwundeter Pilot versteckt. Dieser Pilot entpuppt sich als eine ältere Version von ihm selbst – aus einer Zukunft, in der die Zeitreiserei noch in den Kinderschuhen steckt. Er hat alles riskiert, um auf einer geheimen Mission in der Zeit zurückzureisen. Zusammen müssen sie sich auf ein Abenteuer in die Vergangenheit begeben, um ihren Vater zu finden und alles in Ordnung zu bringen. Erschwerend kommt hinzu, dass sich die zwei Adams nicht wirklich mögen. Wenn sie die Welt retten wollen, werden sie zuerst lernen müssen, miteinander auszukommen.</t>
  </si>
  <si>
    <t>249,837</t>
  </si>
  <si>
    <t>The Beach</t>
  </si>
  <si>
    <t>2000</t>
  </si>
  <si>
    <t>UK, US</t>
  </si>
  <si>
    <t>Adventure, Drama, Romance</t>
  </si>
  <si>
    <t>tt0163978</t>
  </si>
  <si>
    <t>Leonardo DiCaprio; Tilda Swinton; Daniel York Loh</t>
  </si>
  <si>
    <t>Der junge Amerikaner Richard kommt nach Thailand, um das große Abenteuer zu entdecken. Von einer duchgeknallten Engländerin erfährt er von einer geheimen Insel, einem entlegene, völlig unbekannten Strand: das Paradies. Mit einer handgezeichneten Karte machen sich Richard und das französische Pärchen Francoise und Etienne auf den Weg, diesen fabelhaften Ort zu finden. Nach zahllosen Abenteuern und Gefahren gelangen sie tatsächlich auf die Insel, doch auf der Anhöhe eines Wasserfalls ist der Weg zu Ende. Sie wagen den Sprung in die Tiefe und ahnen nicht, daß es der Beginn einer Reise ins Herz der Finsternis ist…</t>
  </si>
  <si>
    <t>264,267</t>
  </si>
  <si>
    <t>Tommy und der Luchs</t>
  </si>
  <si>
    <t>Poika ja ilves</t>
  </si>
  <si>
    <t>5.5</t>
  </si>
  <si>
    <t>tt0167341</t>
  </si>
  <si>
    <t>Konsta Hietanen; Risto Tuorila; Jarmo Mäkinen</t>
  </si>
  <si>
    <t>Tommy und sein Vater leben in einem Naturschutzreservat in Lappland. Sie möchten den Luchs Leevi, der in Gefangenschaft aufgewachsen ist, in die Freiheit entlassen. Aber das Projekt scheitert und der Luchs soll verkauft werden. Da nimmt Tommy, der sich mit dem Luchs angefreundet hat, die Sache selbst in die Hand. Geduldig versucht er, das Tier an das harte Leben in der Wildnis zu gewöhnen. Doch als der Winter hereinbricht, kehrt der Luchs zurück. In seiner Not greift er einige Rentiere im nahegelegenen Dorf an. Die Jagd auf Leevi beginnt und Tommy setzt sein Leben aufs Spiel, um seinen Freund zu retten.</t>
  </si>
  <si>
    <t>1,216</t>
  </si>
  <si>
    <t>Überleben an der Wickelfront</t>
  </si>
  <si>
    <t>2012</t>
  </si>
  <si>
    <t>Comedy</t>
  </si>
  <si>
    <t>tt2050678</t>
  </si>
  <si>
    <t>Uwe Ochsenknecht; Valerie Niehaus; Emil Kresse</t>
  </si>
  <si>
    <t>Endlich hat sich der Kinderwunsch von Dieter und Esther erfüllt - und sie können sich gleich doppelt freuen: Esther erwartet Zwillinge. Aber wer bleibt während der Elternzeit zu Hause? Esther ist Anwältin und leitet eine eigene Kanzlei, die sie gerade erst übernommen hat. Kein guter Zeitpunkt, um sich aus dem Beruf zurückzuziehen. Für Dieter ist es als angestellter Journalist einfacher. Doch der Ehekrach ist vorprogrammiert.</t>
  </si>
  <si>
    <t>38</t>
  </si>
  <si>
    <t>Uncharted</t>
  </si>
  <si>
    <t>Spain, US</t>
  </si>
  <si>
    <t>Action, Adventure</t>
  </si>
  <si>
    <t>tt1464335</t>
  </si>
  <si>
    <t>Tom Holland; Mark Wahlberg; Antonio Banderas</t>
  </si>
  <si>
    <t>Der Waisenjunge Nathan Drake hat sich schon seit frühester Kindheit für Schatzsuche begeistert. Als er als junger Erwachsener auf den erfahrenen Abenteurer Victor Sullivan trifft, wird aus den einstigen Tagträumen Realität. Gemeinsam wollen die beiden den riesigen Goldschatz des berühmten Entdeckers Ferdinand Magellan bergen, der seit 500 Jahren irgendwo auf der Welt verborgen liegt. Dafür müssen sie jedoch mit der schlagfertigen und undurchsichtigen Chloe Frazer zusammenarbeiten. Auch der skrupellose Moncada, dessen Familie vor vielen Jahrhunderten im Besitz des Schatzes war, erhebt Anspruch auf die Beute. Um das Erbe Magellans in seinen Besitz zu bringen, ist ihm jedes Mittel recht. Es beginnt ein Wettlauf um das Gold: Nate und Sully müssen ihr Kombiniergeschick beweisen, um den Schatz vor dem Schurken zu erreichen.</t>
  </si>
  <si>
    <t>290,605</t>
  </si>
  <si>
    <t>30 Minuten oder weniger</t>
  </si>
  <si>
    <t>30 Minutes or Less</t>
  </si>
  <si>
    <t>United States</t>
  </si>
  <si>
    <t>tt1622547</t>
  </si>
  <si>
    <t>Jesse Eisenberg, Danny McBride, Aziz Ansari, Nick Swardson, Dilshad Vadsaria</t>
  </si>
  <si>
    <t>Nick arbeitet in einer Kleinstadt als Pizza-Lieferant. Sein Leben ist ziemlich eintönig, bis er eines Tages auf zwei Möchtegern-Kriminelle stößt. Das unberechenbare Duo kidnappt Nick und zwingt ihn dazu, eine Bank zu überfallen. Weil ihm nur wenige Stunden bleiben, um das Unmögliche möglich zu machen, bittet Nick seinen ehemals besten Freund Chet um Hilfe. Während die Uhr tickt, müssen sich die beiden mit der Polizei, Auftragskillern, Feuerwerfern sowie – nicht zuletzt – ihrer eigenen gestörten Beziehung herumschlagen.</t>
  </si>
  <si>
    <t>Action Jackson</t>
  </si>
  <si>
    <t>Action, Comedy, Crime</t>
  </si>
  <si>
    <t>tt0094612</t>
  </si>
  <si>
    <t>Carl Weathers; Craig T. Nelson; Vanity</t>
  </si>
  <si>
    <t>Bei der Verhaftung des Sohnes des unsympathischen Industriellen Peter Dellaplane vor zwei Jahren ist der als Rauhbein gefürchtete Cop Jericho Jackson zu brutal vorgegangen und seitdem zum Schreibtischdienst verurteilt. Als zwei Gewerkschaftsführer von einem Killerkommando umgebracht werden und Jackson von seinem Jugendfreund Tony erfährt, dass Dellaplane die Anschläge befohlen haben soll, hält es ihn aber nicht länger an seinem Schreibtisch. Jackson beginnt zu ermitteln und nachdem wenig später auch Tony, der ebenfalls für die Gewerkschaft arbeitet, den Killern zum Opfer fällt, gibt es für Jackson nur noch ein Ziel: Dellaplane zur Strecke bringen, koste es was es wolle!</t>
  </si>
  <si>
    <t>Bad Boys for Life</t>
  </si>
  <si>
    <t>tt1502397</t>
  </si>
  <si>
    <t>Will Smith; Martin Lawrence; Vanessa Hudgens</t>
  </si>
  <si>
    <t>Draufgänger Mike Lowrey und sein Partner Marcus Burnett stehen immer noch im Dienst der Polizei und treiben Captain Howard nach wie vor mit Missionen zur Weißglut, die in Destruktionsorgien enden. Während Einzelgänger Mike immer noch mit seinem Job verheiratet ist, wird Familienmensch Marcus zunehmend klar, dass er seine zweite Lebenshälfte lieber im Kreis seiner Liebsten verbringen will - anstatt sich Hals über Kopf von einer waghalsigen Mission in die nächste zu stürzen. Nachdem Mike eines Tages allerdings Ziel eines Attentats wird, überschlagen sich die Ereignisse, sodass den beiden nichts anderes übrig bleibt, als Jagd auf dessen Angreifer zu machen, der ein dunkles Geheimnis birgt und alles in seiner Macht stehende tut, um die Befehle seiner Mutter erfolgreich auszuführen. Und die will vor allem eines: den Tod von Mike Lowrey.</t>
  </si>
  <si>
    <t>Bad Company – Die Welt ist in guten Händen</t>
  </si>
  <si>
    <t>Bad Company</t>
  </si>
  <si>
    <t>Czech Republic, United States</t>
  </si>
  <si>
    <t>tt0280486</t>
  </si>
  <si>
    <t>Anthony Hopkins, Chris Rock, Gabriel Macht, Peter Stormare, John Slattery</t>
  </si>
  <si>
    <t>Der kleinkriminelle Buchmacher Jake Hayes wird mit der schwierigsten Aufgabe seines Lebens konfrontiert. Er soll anstelle seines im Dienst ermordeten, bis dato unbekannten Zwillingsbruders, dessen letzten Agentenjob zu Ende bringen. CIA-Veteran Gaylord Oakes wird engagiert, um der nervigen Quasselstrippe die nötigen Finessen beizubringen. Nur neun Tage bleiben dem erfahrenen Agenten, um aus dem ausgebufften Gauner einen seriösen Spion zu machen. Für beide Männer eine Aufgabe, die sie an den Rand der Verzweiflung treibt...</t>
  </si>
  <si>
    <t>Bullet - Auge um Auge</t>
  </si>
  <si>
    <t>Bullet</t>
  </si>
  <si>
    <t>tt0115781</t>
  </si>
  <si>
    <t>Mickey Rourke, Tupac Shakur, Adrien Brody, Ted Levine, Matthew Powers</t>
  </si>
  <si>
    <t>Butch Bullet" Stein war ein hoffnungsvoller Sportler, bevor er sich entschloß, die "einträglichere" Laufbahn eines Kriminellen einzuschlagen. Und doch saß er acht Jahre im Gefängnis, für ein Verbrechen, daß er nicht begangen hatte. Jetzt ist er wieder draußen und will seine Straße wiederhaben. Doch hier ist kein Platz mehr für ihn. Tank, der allmächtige Drogenboß, regiert sein altes Revier und duldet keinen Rivalen. Er befiehlt Bullets Tod, doch manche Menschen haben scheinbar mehr Leben als eine Katze..."</t>
  </si>
  <si>
    <t>Bullet Train</t>
  </si>
  <si>
    <t>United States, Japan</t>
  </si>
  <si>
    <t>Action, Comedy, Thriller</t>
  </si>
  <si>
    <t>tt12593682</t>
  </si>
  <si>
    <t>Brad Pitt; Joey King; Aaron Taylor-Johnson</t>
  </si>
  <si>
    <t>Der vom Pech verfolgte Auftragskiller Ladybug ist entschlossen, seinen Job in Ruhe und Frieden zu erledigen, nachdem in letzter Zeit zu viele Dinge aus dem Ruder gelaufen sind. Das Schicksal hat jedoch andere Pläne, denn Ladybugs neueste Mission setzt ihn auf einen direkten Kollisionskurs mit tödlichen Gegnern aus der ganzen Welt – die alle irgendwie miteinander verbunden sind, dabei aber gegensätzliche Ziele verfolgen. Das alles passiert an Bord des schnellsten Zuges, den es gibt - und Ladybug muss einen Weg finden, wie er ihn verlassen kann.</t>
  </si>
  <si>
    <t>Chase löschen</t>
  </si>
  <si>
    <t>Cliffhanger – Nur die Starken überleben</t>
  </si>
  <si>
    <t>Cliffhanger</t>
  </si>
  <si>
    <t>France, Italy, Japan, United States</t>
  </si>
  <si>
    <t>tt0106582</t>
  </si>
  <si>
    <t>Sylvester Stallone, John Lithgow, Michael Rooker, Janine Turner, Rex Linn</t>
  </si>
  <si>
    <t>Gabe Walker, der beste Ranger des Rocky Mountain Rescue Teams, ist nach einem tragischen Unfall traumatisiert. Nie wieder will er einen Fuß in die Berge setzen. Als er nach einem Jahr sein ehemaliges Team besucht, trifft plötzlich ein Notruf ein. Gabe muss zu den tödlichen Gipfeln zurückkehren. Doch bald entpuppen sich die Opfer als brutale Verbrecher.</t>
  </si>
  <si>
    <t>Code 3</t>
  </si>
  <si>
    <t>Action, Comedy</t>
  </si>
  <si>
    <t>tt26394837</t>
  </si>
  <si>
    <t>Rainn Wilson; Lil Rel Howery; Aimee Carrero</t>
  </si>
  <si>
    <t>Randy ist ein talentierter, aber erschöpfter Notfallsanitäter, der kurz vor dem beruflichen Neuanfang steht. Ein Bürojob mit festen Arbeitszeiten, echter Mittagspause und fairer Bezahlung scheint endlich greifbar. Doch bevor er endgültig den Dienstwagen gegen den Schreibtisch tauschen kann, liegt noch eine letzte 24-Stunden-Schicht in Los Angeles vor ihm. Gemeinsam mit seinem Kollegen Mike navigiert er durch das übliche Chaos - bis ihre Vorgesetzte ihm zusätzlich Jessica zuteilt, eine Medizinstudentin mit unerschütterlichem Idealismus. Während die Nacht voranschreitet, prallen Weltbilder aufeinander, und zwischen überforderten Ärzten, ungewöhnlichen Einsätzen und Randys wachsender Erschöpfung wird klar: Der Abschied fällt schwerer als gedacht.</t>
  </si>
  <si>
    <t>Collateral</t>
  </si>
  <si>
    <t>Action, Crime, Drama</t>
  </si>
  <si>
    <t>tt0369339</t>
  </si>
  <si>
    <t>Tom Cruise; Jamie Foxx; Jada Pinkett Smith</t>
  </si>
  <si>
    <t>Vincent ist ein cooler, berechnender Auftragskiller und sehr gefragt im Business. Max ist ein Taxifahrer mit großen Träumen und ohne Erfolg. In dieser schicksalhaften Nacht fährt Max Vincent zu seinem nächsten Job – eine Nacht, fünf Stopps, fünf Treffer, eine Flucht. In dieser zufälligen Begegnung prallen zwei Leben aufeinander – und keiner der Männer wird jemals wieder derselbe sein. Heute Nacht wird sich alles ändern.</t>
  </si>
  <si>
    <t>Der Staatsfeind Nr. 1</t>
  </si>
  <si>
    <t>Enemy of the State</t>
  </si>
  <si>
    <t>tt0120660</t>
  </si>
  <si>
    <t>Will Smith, Gene Hackman, Jon Voight, Regina King, Loren Dean</t>
  </si>
  <si>
    <t>Der bedingungslose Schutz der US-Demokratie - so lautet der Auftrag des mächtigen amerikanischen Geheimdienstes NSA. Thomas Brian Reynolds, ein Mitglied der NSA, sieht die Realisierung dieses Auftrages gefährdet. Denn ein Politiker bringt die Verabschiedung eines Gesetzes in Gefahr, das dem Geheimdienst uneingeschränkte Freiheit bei Lauschangriffen und Abhöraktionen einräumen soll. Eiskalt läßt er den Widersacher aus dem Weg räumen. Doch der Mord wird zufällig gefilmt. Ein Beweismittel, das dem jungen Staranwalt Robert Dean unbemerkt zugesteckt wird. Ohne die genauen Hintergründe zu kennen, gerät Dean ins Visier der NSA und verliert alles: seinen Job, seine Frau, seinen Ruf, seine Identität...Doch auf der Flucht vor den unbekannten Gegnern bekommt Dean Hilfe. Der im Untergrund arbeitende Überwachungsexperte Brill macht ihm klar, wer so skrupellos Jagd auf ihn macht.</t>
  </si>
  <si>
    <t>Die üblichen Verdächtigen</t>
  </si>
  <si>
    <t>The Usual Suspects</t>
  </si>
  <si>
    <t>United States, Germany</t>
  </si>
  <si>
    <t>Drama, Krimi, Thriller</t>
  </si>
  <si>
    <t>tt0114814</t>
  </si>
  <si>
    <t>Stephen Baldwin, Gabriel Byrne, Benicio del Toro, Kevin Pollak, Kevin Spacey</t>
  </si>
  <si>
    <t>Nach einem Massaker am Hafen erzählt der Krüppel Roger „Verbal“ Kint seine Geschichte: Einige Wochen zuvor suchte die Polizei für eine Gegenüberstellung wegen eines gestohlenen Lastwagens fünf Kriminelle zusammen, neben Kint noch den Ex-Cop Keaton, den Sprengstoffspezialisten Hockney, sowie die Profi-Räuber McManus und Fenster. Aus Rache tun sich die Männer zusammen und drehen ein kleines Ding. Keiner ahnt, daß sie damit dem großen Unbekannten im Hintergrund auf die Füße treten, der Verbrecherlegende Keyser Söze, von dem niemand weiß, ob es ihn überhaupt gibt. Doch Söze zieht schon längst die Fäden im Hintergrund zu einem Netz, aus dem scheinbar niemand entkommen kann. Und so werden die fünf üblichen Verdächtigen zu Erfüllungsgehilfen in einem Spiel, das niemand durchschauen kann.</t>
  </si>
  <si>
    <t>Drive</t>
  </si>
  <si>
    <t>Action, Drama</t>
  </si>
  <si>
    <t>tt0780504</t>
  </si>
  <si>
    <t>Ryan Gosling; Carey Mulligan; Bryan Cranston</t>
  </si>
  <si>
    <t>Tagsüber arbeitet "Driver" unauffällig als Stuntfahrer in Hollywood, abends holt er sich seinen Kick, indem er Aufträge für die Mafia erledigt und sein Können als halsbrecherischer Fahrer von Fluchtautos unter Beweis stellt. Als einer der Raubzüge schiefgeht, gerät er unter Verdacht seiner Auftraggeber, die ein Kopfgeld auf ihn aussetzen. Fortan muss er beweisen, wie viel ihm an seinem Überleben gelegen ist.</t>
  </si>
  <si>
    <t>End of Watch</t>
  </si>
  <si>
    <t>United States, United Kingdom</t>
  </si>
  <si>
    <t>tt1855199</t>
  </si>
  <si>
    <t>Jake Gyllenhaal; Michael Peña; Anna Kendrick</t>
  </si>
  <si>
    <t>Der Bezirk South Central in L.A. ist für Cops ein gefährliches Pflaster. Wer hier als Gesetzeshüter den Kampf gegen den alltäglichen Wahnsinn aus Hass und Gewalt aufnimmt, muss aus einem harten Holz geschnitzt sein. So wie Officer Brian Taylor und Officer Mike Zavala. Die beiden Polizisten sind nicht nur langjährige Kollegen, sondern auch beste Freunde. Und bei aller Härte, die der Beruf ihnen abverlangt, haben sie ihren Humor nicht verloren. Doch mit ihren unkonventionellen Methoden und unbeirrbarem Gerechtigkeitssinn stoßen die Cops nicht nur auf Widerstand bei ihren Vorgesetzten, sondern geraten auch immer mehr ins Fadenkreuz der skrupellosen Drogenmafia. Und die lockt die unbequemen Gesetzeshüter schließlich in einen Hinterhalt...</t>
  </si>
  <si>
    <t>Escape from Mogadishu</t>
  </si>
  <si>
    <t>South Korea</t>
  </si>
  <si>
    <t>Action, Drama, Thriller</t>
  </si>
  <si>
    <t>tt14810692</t>
  </si>
  <si>
    <t>Kim Yoon-seok; Zo In-sung; Huh Joon-ho</t>
  </si>
  <si>
    <t>Durch den Ausbruch des Bürgerkriegs 1991 in Somalia wird das ganze Land gespalten und isoliert. In der Hauptstadt Mogadischu sind die Angestellten der südkoreanischen Botschaft komplett von der Außenwelt abgeschottet und auf sich allein gestellt. Als die Angestellten der nordkoreanischen Botschaft unerwartet an deren Tür klopfen und um Hilfe bitten, vereinigen sich die Diplomaten beider Staaten mit einem Ziel: aus Mogadischu zu entkommen.</t>
  </si>
  <si>
    <t>Escape Plan 3 - The Extractors</t>
  </si>
  <si>
    <t>Escape Plan: The Extractors</t>
  </si>
  <si>
    <t>Action, Thriller, Krimi</t>
  </si>
  <si>
    <t>tt6772804</t>
  </si>
  <si>
    <t>Sylvester Stallone, Dave Bautista, 50 Cent, Zhang Jin, Harry Shum Jr.</t>
  </si>
  <si>
    <t>Die Tochter eines hochrangigen Führungsmitgliedes eines Hongkonger Technikkonzerns wird entführt. Doch schnell zeigt sich, dass dahinter deutlich mehr steckt. Ray Breslin findet heraus, dass der Verantwortliche der Sohn eines seiner alten Feinde ist und auch Breslins große Liebe entführt hat. Er hält seine Opfer in einem großen Gefängnis, das nur als „Devil’s Station“ bekannt ist, gefangen.</t>
  </si>
  <si>
    <t>Fast &amp; Furious</t>
  </si>
  <si>
    <t>Japan, United States</t>
  </si>
  <si>
    <t>tt1013752</t>
  </si>
  <si>
    <t>Vin Diesel; Paul Walker; Michelle Rodriguez</t>
  </si>
  <si>
    <t>Schnelle Autos und schnelles Geld hat Dom Toretto auch nach seiner Flucht nicht hinter sich gelassen. Er klaut in der dominikanischen Republik Tanklastzüge - während der Fahrt. Ein Mord sorgt für das Wiedertreffen von Toretto und Brian O'Conner in L.A. und gemeinsam - wenn auch widerwillig - stellen sie sich einem übermächtigen Drogenkartell. Bei packenden Rennen durchs nächtliche L.A. und auf wilden Verfolgungsjagden durch die mexikanische Wüste gibt es aufheulende Motoren und eine deftige Beschleunigung.</t>
  </si>
  <si>
    <t>Fear Below</t>
  </si>
  <si>
    <t>Australia</t>
  </si>
  <si>
    <t>Action, Adventure, Horror</t>
  </si>
  <si>
    <t>tt13098590</t>
  </si>
  <si>
    <t>Hermione Corfield; Jake Ryan; Josh McConville</t>
  </si>
  <si>
    <t>Ein Team von Berufstauchern soll in Australien in den 1940er-Jahren ein versunkenes Auto in einem Fluss orten und bergen. Bei ihren Bemühungen werden sie von einem äußerst aggressiven Bullenhai gestört, der in den Gewässern jagt.</t>
  </si>
  <si>
    <t>From Paris with Love</t>
  </si>
  <si>
    <t>France, United Kingdom, United States</t>
  </si>
  <si>
    <t>Action, Crime, Thriller</t>
  </si>
  <si>
    <t>tt1179034</t>
  </si>
  <si>
    <t>John Travolta; Jonathan Rhys Meyers; Kasia Smutniak</t>
  </si>
  <si>
    <t>Schon immer träumte James Reese, Assistent des amerikanischen Botschafters in Paris, von einer Karriere als Geheimagent. Unerwartet kommt der schmächtige Bürokrat tatsächlich zu einem Spezialeinsatz, als er CIA-Agent Wax bei dessen Auftrag an der Seine unterstützen soll. Doch die rücksichtslosen Ermittlungsmethoden von Wax gegen Drogengangster und Terroristen sind nicht nur unkonventionell, sondern für die meisten seiner Gegner tödlich. Und sie führen schließlich zu einer Spur, die Reese zu einer schweren Entscheidung zwingt.</t>
  </si>
  <si>
    <t>Gemini Man</t>
  </si>
  <si>
    <t>United States, China, Colombia</t>
  </si>
  <si>
    <t>Action, Sci-Fi, Thriller</t>
  </si>
  <si>
    <t>tt1025100</t>
  </si>
  <si>
    <t>Will Smith; Mary Elizabeth Winstead; Clive Owen</t>
  </si>
  <si>
    <t>Henry Brogan ist ein Weltklasse-Attentäter, der sich in den Ruhestand begeben will. Da setzt sein ehemaliger Vorgesetzter Clay Verris plötzlich einen gefährlichen Assassinen auf ihn an, der sich als Henrys eigener, im Geheimen erzeugter und vor allem viel jüngerer Klon entpuppt. Es entbrennt ein ebenbürtiges Duell zwischen dem menschlichen Original und seiner Kopie, in dem beide immer den nächsten Schritt des jeweils anderen zu kennen scheinen. Brogan wird dabei von der Regierungsagentin Danny Zakarweski und seinem Kollegen Baron  beim Überleben unterstützt, während sein Klon in eine Identitätskrise stürzt. Werden die Profi-Killer den tödlichen Teufelskreis durchbrechen können, den der undurchsichtige Verris in Gang gesetzt hat?</t>
  </si>
  <si>
    <t>Ghostbusters Legacy</t>
  </si>
  <si>
    <t>Ghostbusters: Legacy</t>
  </si>
  <si>
    <t>USA</t>
  </si>
  <si>
    <t>Short, Sci-Fi</t>
  </si>
  <si>
    <t>tt7984650</t>
  </si>
  <si>
    <t>Winston Gantt</t>
  </si>
  <si>
    <t>Die alleinerziehende Mutter Callie zieht mit ihren zwei Kindern Trevor und Phoebe in eine Kleinstadt. Als sie auf einen unterirdischen Stützpunkt stoßen, finden sie heraus, dass ihre Familie eine Verbindung zu den legendären Ghostbusters hat. Als eine dunkle Kraft in einer Mine erwacht, müssen die Kinder in die Fußstapfen ihres Großvaters treten und selbst auf Geisterjagd gehen. Ein großes Abenteuer beginnt.</t>
  </si>
  <si>
    <t>Guns Up</t>
  </si>
  <si>
    <t>tt28026215</t>
  </si>
  <si>
    <t>Kevin James; Christina Ricci; Luis Guzmán</t>
  </si>
  <si>
    <t>Um seiner Familie ein besseres Leben zu bieten, trifft Polizist Ray Hayes eine folgenschwere Entscheidung: er wechselt die Seiten und arbeitet fortan als Schuldeneintreiber und Schläger für das organisierte Verbrechen. Fünf Jahre später sind Ray und seine Ehefrau Alice ihrem großen Traum, ein eigenes Diner zu eröffnen, endlich zum Greifen nah. Ray möchte das Verbrecherdasein kurzerhand an den Nagel hängen. Doch als der neue Gangsterboss Lonny  die Geschäfte übernimmt, überschlagen sich die Ereignisse. Nach einem misslungenen Auftrag wird Ray plötzlich selbst zur Zielscheibe. Verfolgt von der Mafia müssen Ray und Alice in einer turbulenten Nacht ihr ganzes Können unter Beweis stellen, um das Leben ihrer nichtsahnenden Kinder zu schützen. Denn Ray ist nicht der Einzige in der Familie, der ein Geheimnis mit sich trägt.</t>
  </si>
  <si>
    <t>Hai Alarm auf Mallorca</t>
  </si>
  <si>
    <t>Hai-Alarm auf Mallorca 2</t>
  </si>
  <si>
    <t>Germany</t>
  </si>
  <si>
    <t>Thriller</t>
  </si>
  <si>
    <t>tt5085388</t>
  </si>
  <si>
    <t>Ralf Moeller; Stefan Raab</t>
  </si>
  <si>
    <t>Der Traum vom glücklichen Familienleben in Mallorca wird jäh zerstört, als die Frau von Sven Hansen bei einem Tauchgang von einem Hai getötet wird. Erst als immer öfter Wassersportler und sogar kleinere Boote verschwinden, wird der ehemalige Kampfschwimmer aus seiner Lethargie gerissen. In einem der Boote steckt der Zahn eines Megalodon, eines 20 Meter langen Urzeithais. Überzeugt, dass dieser auch für den Tod seiner Frau verantwortlich ist, will Hansen das Ungetüm zur Strecke bringen. Zusammen mit der Meeresbiologin Julia Bennet und seinem besten Freund, dem Polizeichef Carlos Rivera begeben sie sich auf die Suche ...</t>
  </si>
  <si>
    <t>Harte Ziele</t>
  </si>
  <si>
    <t>Hard Target</t>
  </si>
  <si>
    <t>tt0107076</t>
  </si>
  <si>
    <t>Jean-Claude Van Damme, Arnold Vosloo, Lance Henriksen, Yancy Butler, Sven-Ole Thorsen</t>
  </si>
  <si>
    <t>Ein Verbrechersyndikat veranstaltet gnadenlose Menschenjagden in den Strassen New Orleans. Bevorzugte "Opfer" sind Obdachlose, die 10000 Dollar verdienen können, so sie einen gewissen Ort lebendig erreichen. Als der Vietnamveteran Douglas Binder bei einer solchen Jagd ums Leben kommt, stellt seine Tochter Nachforschungen an. Gegen einen Spontan-Lohn steht ihr der arbeitslose Hafenarbeiter Chance zur Seite. Erste Spuren führen sie zu dem schmierigen Zuhälter Randall. Doch je weiter die beiden mit ihren Nachforschungen vorankommen, desto heisser wird die Luft um sie.</t>
  </si>
  <si>
    <t>High Ground - Der Kopfgeldjäger</t>
  </si>
  <si>
    <t>High Ground</t>
  </si>
  <si>
    <t>Western</t>
  </si>
  <si>
    <t>tt9286908</t>
  </si>
  <si>
    <t>Simon Baker, Jacob Junior Nayinggul, Jack Thompson, Callan Mulvey, Caren Pistorius</t>
  </si>
  <si>
    <t>Ordnungshüter Travis verliert im weiten Norden Australiens die Kontrolle über einen Einsatz, der in ein Massaker an einer indigenen Gruppe ausartet. Seine Vorgesetzten bestehen darauf, die Wahrheit zu vertuschen, und Travis quittiert empört den Dienst. Zwölf Jahre später wird er mit dem Auftrag zurückbeordert, den Aborigine-Krieger Baywara zu jagen, der mit Angriffen auf neue Siedler Chaos und Verwüstung anrichtet. Als Travis, der inzwischen als Kopfgeldjäger sein Geld verdient, den jungen Gutjuk als Fährtenleser anheuert, droht der weiße Mann vom Jäger zum Gejagten zu werden: Gutjuk ist der einzige bekannte Überlebende des Massakers.</t>
  </si>
  <si>
    <t>Jagd auf Roter Oktober</t>
  </si>
  <si>
    <t>The Hunt for Red October</t>
  </si>
  <si>
    <t>Action, Abenteuer, Thriller</t>
  </si>
  <si>
    <t>tt0099810</t>
  </si>
  <si>
    <t>Sean Connery, Alec Baldwin, Scott Glenn, Sam Neill, James Earl Jones</t>
  </si>
  <si>
    <t>Der russische Kommandant Ramius setzt sich samt Mannschaft mit seinem dank neuer Antriebssysteme nahezu unortbaren Atom-U-Boot "Roter Oktober" in Richtung Westen ab. Einem US-U-Boot gelingt es, die "Roter Oktober" zu orten. Der Krisenstab befürchtet, Ramius plane auf eigene Faust einen Angriff auf die USA. Nur CIA-Agent Jack Ryan glaubt, dass es sich bei Ramius um einen Überläufer handelt. Er geht an Bord des US-U-Boots und nimmt Kontakt mit Ramius auf, der sich als Überläufer entpuppt, seine Mannschaft aber im Glauben gelassen hat, ihr Einsatz sei ein Angriff. Mit vereinten Kräften gilt es nun, die Attacke eines russischen U-Boots abzuwehren.</t>
  </si>
  <si>
    <t>Karate Kid</t>
  </si>
  <si>
    <t>Philippines</t>
  </si>
  <si>
    <t>Action, Drama, Family</t>
  </si>
  <si>
    <t>tt0426060</t>
  </si>
  <si>
    <t>Jackie Chan; Jaden Smith; Taraji P. Henson</t>
  </si>
  <si>
    <t>Als Dre Parker mit seiner Mutter von Detroit nach Peking umziehen muss, ist für den 12-Jährigen plötzlich nichts mehr so, wie es mal war. Allein ohne Freunde in einem fremden Land, muss sich Dre in der Schule gegen den Klassenrüpel Cheng zur Wehr setzen, der ein geübter Kung-Fu-Kämpfer ist. Da Dre selbst aber nur über ein paar wenige Karate-Kenntnisse verfügt, kann er sich kaum verteidigen und wird von allen als "Karate Kid" verspottet. Dre hat niemanden, an den er sich wenden kann, außer dem Hausmeister Mr. Han, der insgeheim ein berühmter Kung-Fu-Meister ist und bald zu Dres Mentor wird. Han weiht Dre in die Kunst des Kung Fu ein und bereitet ihn auf ein Turnier vor, bei dem er auf seinen Rivalen Cheng treffen wird…</t>
  </si>
  <si>
    <t>Karate Kid Legends</t>
  </si>
  <si>
    <t>Karate Kid: Legends</t>
  </si>
  <si>
    <t>United States, Canada</t>
  </si>
  <si>
    <t>tt1674782</t>
  </si>
  <si>
    <t>Jackie Chan; Ben Wang; Joshua Jackson</t>
  </si>
  <si>
    <t>Nach einer Familientragödie wird das Kung-Fu-Wunderkind Li Fong aus seinem Zuhause in Peking gerissen und muss mit seiner Mutter nach New York City ziehen. Li kämpft damit, seine Vergangenheit hinter sich zu lassen, während er versucht, Anschluss bei seinen neuen Klassenkameraden zu finden. Doch obwohl er nicht kämpfen will, scheint der Ärger ihn zu verfolgen. Als ein neuer Freund seine Hilfe braucht, nimmt Li an einem Karatewettbewerb teil – aber seine Fähigkeiten allein reichen nicht aus. Lis Kung-Fu-Lehrer Mr. Han holt das legendäre Karate Kid Daniel LaRusso zu Hilfe und Li lernt eine neue Art zu kämpfen, indem er die Stile der beiden Meister für den ultimativen Martial-Arts-Showdown miteinander vereint.</t>
  </si>
  <si>
    <t>Kurzer Prozess - Righteous Kill</t>
  </si>
  <si>
    <t>Righteous Kill</t>
  </si>
  <si>
    <t>Drama</t>
  </si>
  <si>
    <t>tt1034331</t>
  </si>
  <si>
    <t>Robert De Niro, Al Pacino, 50 Cent, Carla Gugino, John Leguizamo</t>
  </si>
  <si>
    <t>Turk und Rooster sind zwei altgediente und mehr als erfahrene Polizisten, die im täglichen Kampf gegen das Verbrechen ihren Mann stehen, wenn ihr Job ihnen auch langsam die Illusionen genommen hat. Doch dann sitzen die Kollegen von der internen Ermittlung plötzlich vor einem Videoband, auf dem Turk erzählt, wie er in den letzten Jahren in seinem Job 14 Menschen getötet hat, angefangen bei einem Fall, in dem sie einem von der Justiz nicht verurteilten Kindermörder falsche Beweise untergeschoben haben. Von da werden verschiedene Verbrecher Opfer schneller, brutaler Anschläge und am Tatort findet sich meistens ein kleines Gedicht. Anhand dieser poetischen Verse sitzt das Duo bald selbst an diesem Fall und bekommt auch noch Unterstützung von einer jüngeren Version ihrer selbst, Perez und Riley …</t>
  </si>
  <si>
    <t>Last Boy Scout – Das Ziel ist Überleben</t>
  </si>
  <si>
    <t>The Last Boy Scout</t>
  </si>
  <si>
    <t>tt0102266</t>
  </si>
  <si>
    <t>Bruce Willis, Damon Wayans, Chelsea Field, Noble Willingham, Taylor Negron</t>
  </si>
  <si>
    <t>Seinen schönen Job als Bodyguard des US-Präsidenten hat Joe Hallenbeck vor Jahren verloren. Aber als abgewrackter Privatdetektiv zieht er die Gefahr an wie ein Magnet. Nach “Stirb langsam” geht es für Superstar Bruce Willis im Kampf gegen die millionenschwere Football-Mafia von L.A. jetzt ums nackte Überleben. Bruce Willis und Damon Wayans liefern sich einen Schlagabtausch mit coolen Sprüchen und knallharter Action.</t>
  </si>
  <si>
    <t>Lethal Strike</t>
  </si>
  <si>
    <t>Uri: The Surgical Strike</t>
  </si>
  <si>
    <t>India</t>
  </si>
  <si>
    <t>tt8291224</t>
  </si>
  <si>
    <t>Vicky Kaushal, Paresh Rawal, Yami Gautam, Kirti Kulhari, Mohit Raina</t>
  </si>
  <si>
    <t>Indien, 2016: Bei einem sorgfältig geplanten Anschlag auf eine entlegene Militärbasis in Uri kommen 19 Soldaten brutal ums Leben. Auf der Suche nach den Drahtziehern bringen Satelliten-Aufnahmen eine grausige Wahrheit zutage: In der menschenleeren und unwegsamen Region haben sich fanatische Terroristen auf acht Standorte aufgeteilt und warten nur darauf, wieder zuzuschlagen. Eine Spezialeinheit wird beauftragt, die Terrorzellen auf einen Schlag zu vernichten. Die Geheimmission wird als eine der waghalsigsten und strategisch aufwendigsten Operationen Geschichte schreiben …</t>
  </si>
  <si>
    <t>Life After Fighting</t>
  </si>
  <si>
    <t>tt21478426</t>
  </si>
  <si>
    <t>Bren Foster; Cassie Howarth; Luke Ford</t>
  </si>
  <si>
    <t>Alex Faulkner ist ein ehemaliger MMA-Profikämpfer. Auf der Höhe seines Erfolgs hörte er auf und zog sich in ein zumindest halbwegs normales Leben zurück. Um dieses finanzieren zu können, eröffnete er sein eigenes Dojo – ein Fitnessstudio, in dem er Taekwondo unterrichtet. Während der aktuelle Weltmeister Arrio Gomez mit allen möglichen Tricks versucht, Alex zu einem Comeback und einem Fight gegen ihn zu bewegen, hat dieser kein Interesse daran, noch einmal in den Ring zu steigen. Ist er doch seiner Schülerin Samantha und ihrem Sohn Terry nähergekommen. Zum ersten Mal in seinem Leben kann Alex sich nun vorstellen, ein Familienvater zu werden. Das will Victor, Samanthas Exmann, allerdings um jeden Preis verhindern und hetzt seinen Kumpel, den riesigen Milan, auf Alex...</t>
  </si>
  <si>
    <t>Lift</t>
  </si>
  <si>
    <t>tt14371878</t>
  </si>
  <si>
    <t>Kevin Hart; Gugu Mbatha-Raw; Sam Worthington</t>
  </si>
  <si>
    <t>Ein Dieb wagt mit seiner Expertencrew den ultimativen Coup: Sie wollen Gold im Wert von 500 Millionen US-Dollar aus dem Tresorraum eines Flugzeuges stehlen – in 40.000 Fuß Höhe.</t>
  </si>
  <si>
    <t>London Has Fallen</t>
  </si>
  <si>
    <t>United States, United Kingdom, Bulgaria, India</t>
  </si>
  <si>
    <t>tt3300542</t>
  </si>
  <si>
    <t>Gerard Butler; Aaron Eckhart; Morgan Freeman</t>
  </si>
  <si>
    <t>Nach dem plötzlichen, rätselhaften Tod des britischen Premierministers ist seine Beerdigung ein Pflichttermin für die Staatsoberhäupter der westlichen Welt. Selbstverständlich nimmt auch US-Präsident Benjamin Asher daran teil, begleitet von seinem Leibwächter Mike Banning. Doch was als die bestgeschützte Veranstaltung auf dem Planeten beginnt, entwickelt sich schnell zu einem tödlichen Spießrutenlauf, bei dem das Leben der mächtigsten Anführer der Erde auf dem Spiel steht. Nur mit knapper Not kann Banning das Leben des US-Präsidenten schützen und mit ihm in den Londoner Untergrund fliehen. Doch die Hintermänner der Verschwörung verlangen seine Auslieferung und nehmen die britische Hauptstadt ins Visier. Während Vizepräsident Trumbull versucht, das gnadenlose Ultimatum hinauszuzögern, nimmt Banning den Kampf auf…</t>
  </si>
  <si>
    <t>Lost in London</t>
  </si>
  <si>
    <t>Comedy, Drama</t>
  </si>
  <si>
    <t>tt6338476</t>
  </si>
  <si>
    <t>Daniel Radcliffe, Woody Harrelson, Owen Wilson</t>
  </si>
  <si>
    <t>Die wahre Geschichte von Woody Harrelsons verrückter Partynacht in London. Nachdem Woody mit seinem angeblichen Seitensprung konfrontiert wird, landet er nach einem Streit mit seiner Frau ohne Geld auf der Straße. Auf einer Party trifft er seinen alten Kumpel Owen Wilson. Bei ihrem Streifzug durchs Londoner Nachtleben rufen sie bald schon die Polizei auf den Plan.</t>
  </si>
  <si>
    <t>Martial Law</t>
  </si>
  <si>
    <t>Action, Crime</t>
  </si>
  <si>
    <t>tt0104822</t>
  </si>
  <si>
    <t>Jeff Wincott; Cynthia Rothrock; Paul Johansson; Evan Lurie</t>
  </si>
  <si>
    <t>Billie Blake und Sean Thompson sind das Beste, was die Polizei-Spezialeinheit Martial Law zu bieten hat.  Als sich Drogenhandel, Prostitution und Gewaltverbrechen auch auf die Vororte von Los Angeles ausbreiten,  und die Gangs die Bewohner terrorisieren, wird Sean als Einsatzleiter in eines dieser Reviere versetzt.  Dort trifft er seinen alten Freund Tony wieder, der eines Nachts auf mysteriöse Weise tödlich verunglückt.  Sean ist sicher, daß es kein Unfall war.  Bei dem Versuch, das zu beweisen, entgeht er nur knapp dem Tod.  Jetzt kann nur noch eine helfen Billie Blake, Meisterin aller Kampftechniken, eine menschliche Waffe.  Beide treten ein Heer bewaffneter Killer an.</t>
  </si>
  <si>
    <t>Martial Law II Undercover</t>
  </si>
  <si>
    <t>Martial Law II: Undercover</t>
  </si>
  <si>
    <t>tt0104823</t>
  </si>
  <si>
    <t>Martial Law III – Tödliches Komplott</t>
  </si>
  <si>
    <t>Mission of Justice</t>
  </si>
  <si>
    <t>tt0104888</t>
  </si>
  <si>
    <t>Jeff Wincott, Brigitte Nielsen, Karen Sheperd, Matthias Hues, Billy 'Sly' Williams</t>
  </si>
  <si>
    <t>Bürgermeisterkandidatin Rachel K. Larkin (Brigitte Nielsen) schickt eine private Sicherheitstruppe,  die so genannten Peacemaker, auf die Straße, die dort unter Einsatz ihrer Kampfkunstfähigkeiten für Ordnung sorgen.  Als einer ihrer Unterstützer sich von der Organisation abwendet und nicht zur erneuten Zusammenarbeit zu überreden ist,  lässt Rachel ihn ermorden.  Ein Freund des Toten, der suspendierte und in Kampfkunst geschulte Cop Kurt Harris (Jeff Wincott),  ermittelt jedoch auf eigene Faust in der Sache und heuert als Peacemaker bei der dubiosen Truppe an,  um herauszufinden, wer seinen Freund auf dem Gewissen hat...</t>
  </si>
  <si>
    <t>Massive Talent</t>
  </si>
  <si>
    <t>The Unbearable Weight of Massive Talent</t>
  </si>
  <si>
    <t>Croatia, United States, Hungary</t>
  </si>
  <si>
    <t>tt11291274</t>
  </si>
  <si>
    <t>Nicolas Cage; Pedro Pascal; Tiffany Haddish</t>
  </si>
  <si>
    <t>Nicolas Cage hat seinen Karrieren-Zenith längst überschritten. Seine Tochter will ihn nicht mehr sehen und er steht vor dem finanziellen Ruin. So lässt er sich überreden, bei einer Geburtstagsparty eines Millardärs aufzutreten. Ein überraschend unterhaltsamer und vielseitiger Job für Cage. Erst recht, als er als Undercover-Agent vom FBI rekrutiert wird, um den Mann, der in Wahrheit ein gefährlicher Verbrecher ist, auszuspionieren.</t>
  </si>
  <si>
    <t>Meg</t>
  </si>
  <si>
    <t>United Kingdom</t>
  </si>
  <si>
    <t>Action, Horror, Sci-Fi</t>
  </si>
  <si>
    <t>tt0333899</t>
  </si>
  <si>
    <t>Jason Statham; Bingbing Li; Rainn Wilson</t>
  </si>
  <si>
    <t>Nachdem ein Tiefsee-U-Boot von einem ausgestorben geglaubten Riesenhai angegriffen wird, sinkt das Fahrzeug in den tiefsten Graben des Pazifik und liegt dort manövrierunfähig am Meeresgrund. Der Crew an Bord läuft allmählich die Zeit davon und daher engagiert der Meeresforscher Dr. Minway Zhang den erfahrenen Taucher Jonas Taylor. Taylor ist zwar Experte für Bergungen in der Tiefsee, allerdings ist er vor Jahren schon einmal mit dem urzeitlichen Riesenhai, einem mehr als 20 Meter langen Megalodon, aneinandergeraten. Doch gemeinsam mit Dr. Zhangs Tochter Suyin muss er nun seine Ängste überwinden und schwere Geschütze auffahren, um den eingeschlossenen Menschen zur Hilfe eilen zu können und die Weltmeere von der Schreckensherrschaft des Urzeitmonsters zu befreien…</t>
  </si>
  <si>
    <t>Meg 2 - Die Tiefe</t>
  </si>
  <si>
    <t>Meg 2: The Trench</t>
  </si>
  <si>
    <t>United States, China, Thailand, Germany, Canada, United Kingdom</t>
  </si>
  <si>
    <t>tt9224104</t>
  </si>
  <si>
    <t>Jason Statham, 吴京, Shuya Sophia Cai, Page Kennedy, Sergio Peris-Mencheta</t>
  </si>
  <si>
    <t>Jonas Taylor und sein Kollege leiten ein Forschungsteam, das einen nicht ganz ungefährlichen Tauchgang plant, der das Team rund um die beiden in bisher kaum erkundete Tiefen des Ozeans führen soll. Gänzlich ungestört bleiben die Meeresforscher auf ihrer waghalsigen Mission jedoch nicht. Denn auch ein knallhart kompromisslos vorgehendes Unternehmen für Unterwasser-Bergbau hat bei der Suche nach wertvollen und noch abbaubaren Rohstoffen ein Auge auf die noch unausgebeuteten Tiefen geworfen. Doch als gleich mehrere der Meg genannten riesigen Urzeithaie aus den finsteren Ecken der ozeanischen Untiefen auftauchen, scheint der Konflikt mit dem gierigen Konzern im wahrsten Sinne des Wortes auf einmal eher das kleinste Problem zu sein. Der Kampf ums schiere Überleben beginnt und entwickelt sich schnell zu einem Rennen an die rettende Oberfläche.</t>
  </si>
  <si>
    <t>Memory - Sein letzter Auftrag</t>
  </si>
  <si>
    <t>Memory</t>
  </si>
  <si>
    <t>tt11827628</t>
  </si>
  <si>
    <t>Liam Neeson, Guy Pearce, Taj Atwal, Harold Torres, Ray Fearon</t>
  </si>
  <si>
    <t>Profikiller Alex Lewis möchte sich wegen seines nachlassenden Erinnerungsvermögens nach einer langen Karriere voller Gewalt zur Ruhe setzen. Als er seinen letzten Auftrag annimmt, findet er sich unvermittelt in einem Undercover-Einsatz des FBI wieder, angeführt von Agent Serra. Alex beschließt, Serras Team durch versteckte Hinweise zu helfen. Auch wenn er sich zunehmend schwer an Details erinnern kann, setzt er seine lebenslang trainierten Fähigkeiten ein, um zumindest einmal in seinem Leben das Richtige zu tun. Dies ruft natürlich mächtige Gegner auf den Plan, die Alex vernichten wollen, doch dieser weiß sich zu wehren …</t>
  </si>
  <si>
    <t>Message Man</t>
  </si>
  <si>
    <t>Indonesia, Australia, United Kingdom, United Arab Emirates</t>
  </si>
  <si>
    <t>tt2787302</t>
  </si>
  <si>
    <t>Paul O'Brien, Aji Santosa, Verdi Solaiman</t>
  </si>
  <si>
    <t>Der ehemalige Auftragskiller Ryan genießt sein Leben in der exotischen Inselwelt Indonesiens. Bis skrupellose Gangster dort ein Dorf überfallen und die Frauen verschleppen. Ryan nutzt seine Fähigkeiten, um die Verbrecher aufzuspüren und zu stoppen. Doch ihr Boss hat noch eine Rechnung mit ihm offen. Ryan begibt sich auf seine finale tödliche Mission.</t>
  </si>
  <si>
    <t>Mindhunters</t>
  </si>
  <si>
    <t>Netherlands, United Kingdom, Finland, United States</t>
  </si>
  <si>
    <t>Crime, Horror, Thriller</t>
  </si>
  <si>
    <t>tt0297284</t>
  </si>
  <si>
    <t>Val Kilmer; LL Cool J; Christian Slater</t>
  </si>
  <si>
    <t>Sie sind die sieben besten jungen Agenten des FBI, ausgebildet als Profiler, um sich in die Gedankenwelt von psychopathischen Killern versetzen zu können. In ihrer Abschlussprüfung sollen die ehrgeizigen Nachwuchs-Agenten auf einer verlassenen Insel simulierte Mordfälle aufklären. Daß der Wettstreit um Erfolg und Ehre allerdings zum Kampf um das eigene Leben wird, ahnt keiner von ihnen. Hochmotiviert stürzen sich die jungen Profiler auf ihren Übungsfall, verfolgen Spuren, untersuchen Indizien und tappen dabei in einen perfekt inszenierten Hinterhalt. Aus der Simulation wird urplötzlich tödlicher Ernst – ein echter Mörder geht um, und ein Agent nach dem nächsten fällt ihm zum Opfer. Es beginnt ein gnadenloser Wettlauf gegen die Zeit – und gegen das wachsende Misstrauen, denn der Täter kann nur einer von ihnen sein.</t>
  </si>
  <si>
    <t>Mission Impossible</t>
  </si>
  <si>
    <t>Mission: Impossible</t>
  </si>
  <si>
    <t>Action, Adventure, Thriller</t>
  </si>
  <si>
    <t>tt0117060</t>
  </si>
  <si>
    <t>Tom Cruise; Jon Voight; Emmanuelle Béart</t>
  </si>
  <si>
    <t>Als eine Liste mit den Codenamen verdeckter Top-Agenten zum Verkauf angeboten wird, soll ein Team von Spezialagenten den Verräter auf frischer Tat überführen.Cruise spielt den Geheimagenten Ethan Hunt, der miterleben muss, wie seine Kollegen bei diesem Einsatz zu Tode kommen. Bei einem Treffen mit seinem Kontaktmann der CIA erkennt Hunt, daß hinter der Mission ein perfides Doppelspiel steckt. Als Überlebenden wird ihm die Schuld am Tod seines Teams angehängt. Um seine Unschuld zu beweisen, muß Hunt den wahren Maulwurf finden. Ob auf der Flucht vor Killerkommandos der Regierung, beim Eindringen in den Hochsicherheitstrakt der CIA oder gar am Dach eines Hochgeschwindigkeitszuges festgeklammert, Hunt muß alles daransetzen, seinen Verfolgern stets einen Schritt voraus zu sein und der schrecklichen Wahrheit Schritt für Schritt näher zu kommen...</t>
  </si>
  <si>
    <t>Mission Impossible – Dead Reckoning - Teil 1</t>
  </si>
  <si>
    <t>Mission: Impossible - Dead Reckoning Part One</t>
  </si>
  <si>
    <t>tt9603212</t>
  </si>
  <si>
    <t>Tom Cruise, Hayley Atwell, Ving Rhames, Simon Pegg, Rebecca Ferguson</t>
  </si>
  <si>
    <t>Ethan Hunt begibt sich auf seine siebte und bislang unmöglichste Mission: Gemeinsam mit seinem IMF-Team soll er eine neuartige Waffe ausfindig machen, die dazu in der Lage ist, die Menschheit an den Rand des Dritten Weltkriegs zu führen – und sieht sich gleich mit mehreren mächtigen Gegnern konfrontiert. Denn zahlreiche Schurken wollen ebenfalls in den Besitz des Schlüssels gelangen, der ihnen die Kontrolle über die mysteriöse Waffe geben würde. Doch der gefährlichste Feind hat weder einen Namen noch ein Gesicht: eine künstliche Intelligenz, die den Agenten immer einen Schritt voraus ist, aber selbst vollkommen unberechenbar agiert. Ein globaler Wettlauf um das Schicksal des Planeten beginnt – der Ethan Hunt gleichzeitig vor einige folgenschwere persönliche Entscheidungen stellt …</t>
  </si>
  <si>
    <t>Mr No Pain</t>
  </si>
  <si>
    <t>Novocaine</t>
  </si>
  <si>
    <t>Canada, South Africa, United States</t>
  </si>
  <si>
    <t>tt29603959</t>
  </si>
  <si>
    <t>Jack Quaid, Amber Midthunder, Ray Nicholson, Jacob Batalon, Betty Gabriel</t>
  </si>
  <si>
    <t>Als seine große Liebe entführt wird, sieht der unscheinbare Nate keine andere Wahl, als sich auf eine gefährliche Rettungsmission zu begeben. Was zunächst nach einer hoffnungslosen Aufgabe aussieht, wird zu seinem Vorteil, als er eine ungewöhnliche Fähigkeit entdeckt: Er kann keinen Schmerz empfinden. Diese besondere Stärke gibt Nate den Mut, sich über alle Hindernisse hinwegzusetzen, um das Leben der Frau, die ihm alles bedeutet, zu retten.</t>
  </si>
  <si>
    <t>Mr. Right</t>
  </si>
  <si>
    <t>tt2091935</t>
  </si>
  <si>
    <t>Anna Kendrick; Sam Rockwell; Tim Roth</t>
  </si>
  <si>
    <t>Martha hat nach mehreren verkorksten Beziehungen das Gefühl, dass sie sich immer den falschen Mann aussucht. Als sie es am wenigsten erwartet ihren Traummann kennenzulernen, tritt Francis in ihr Leben. Martha ist ganz hin und weg von ihrem neuen Lover, sie scheinen ein perfektes Paar zu sein. Noch ahnt sie aber nicht, dass ihr neuer Freund eine dunkle Vergangenheit als Profikiller hat. Seitdem er seine Tätigkeit als Profikiller beendet hat, sucht er seine Auftraggeber heim und beseitigt diese. Als sein Geheimnis ans Tageslicht kommt, holt ihn seine Vergangenheit schneller ein, als es dem Pärchen lieb ist. Er bekommt einen Auftrag von einem dubiosen Klienten, der von einem FBI Agenten gesucht wird. Während die Situation sich zuspitzt und Francis ins Kreuzfeuer zwischen FBI und dem Cardigan Syndikat gerät, muss sich Martha entscheiden ob sie flieht oder sich in das Chaos mit Francis begibt.</t>
  </si>
  <si>
    <t>No Escape - Renn um dein Leben</t>
  </si>
  <si>
    <t>No Escape</t>
  </si>
  <si>
    <t>United States, Thailand</t>
  </si>
  <si>
    <t>tt1781922</t>
  </si>
  <si>
    <t>Owen Wilson, Lake Bell, Pierce Brosnan, Sterling Jerins, Claire Geare</t>
  </si>
  <si>
    <t>Der Amerikaner Jack Dwyer ist mit seiner Frau und den beiden Töchtern nach Südostasien gezogen, um dort ein neues Leben zu beginnen. Doch kaum dort angekommen, finden sie sich in einem brutalen Aufstand wieder. In den Straßen gibt es die ersten Toten. Als die Familie in ihrem neuen Zuhause angegriffen wird, versucht sie sich mit Hilfe eines Mannes namens Hammond in die US-Botschaft durchzuschlagen. Ein lebensgefährliches Unterfangen, sind die Putschisten doch auf Ausländer sehr schlecht zu sprechen.</t>
  </si>
  <si>
    <t>Ocean’s</t>
  </si>
  <si>
    <t>Ocean's Eleven</t>
  </si>
  <si>
    <t>Crime, Thriller</t>
  </si>
  <si>
    <t>tt0240772</t>
  </si>
  <si>
    <t>George Clooney; Brad Pitt; Julia Roberts</t>
  </si>
  <si>
    <t>Danny Ocean lässt nichts anbrennen. Vor nicht einmal 24 Stunden ist der charismatische Gauner auf Bewährung aus dem Gefängnis in New Jersey entlassen worden, und schon plant er seinen nächsten Coup. Dabei befolgt er drei Regeln: Es fließt kein Blut; niemand wird beklaut, der es nicht auch verdient hat; spiel deinen Einsatz, als ob du nichts zu verlieren hast. Nach diesem Motto inszeniert Danny den raffiniertesten Casino-Raub der Geschichte.</t>
  </si>
  <si>
    <t>One Tough Cop</t>
  </si>
  <si>
    <t>tt0122642</t>
  </si>
  <si>
    <t>Stephen Baldwin; Chris Penn; Gina Gershon</t>
  </si>
  <si>
    <t>Ihr Job ist es, New Yorks Straßen sauber zu halten. Bo (Stephen Baldwin) und sein Partner Duke (Chris Penn) sind hartgesottene Polizisten. Doch die verdiente Anerkennung für ihre Arbeit bleibt aus. Verständnis findet Bo dagegen bei dem Mafioso Richie, seinem besten Freund aus Kindertagen. Das FBI wirft Bo deshalb Kumpanei mit Kriminellen vor. Um zu beweisen, auf welcher Seite er steht, soll Bo Richie ans Messer liefern. Seine Loyalität wird auf eine Probe gestellt. Zudem verdreht die schöne Joey beiden Männern den Kopf…</t>
  </si>
  <si>
    <t>Paradox Effect</t>
  </si>
  <si>
    <t>tt14416430</t>
  </si>
  <si>
    <t>Olga Kurylenko; Harvey Keitel; Oliver Trevena</t>
  </si>
  <si>
    <t>Ex-Junkie Karina wird eines Nachts Zeugin eines Mordes mitten auf einer menschenleeren Straße. Kurzerhand entführt der Killer namens Covek Karinas Tochter, um sie zu zwingen, ihn bei seinem eigentlichen Auftrag zu unterstützen. Es stellt sich heraus, dass Covek unfreiwillig die Drecksarbeit für Gangsterboss Silvio erledigen muss, der im Hintergrund die Strippen zieht. Covek und Karina haben die Wahl: nach den Regeln des gefährlichen Drogenbarons zu spielen oder gemeinsam eine Lösung zu suchen, wie sie mit ihrem Leben davonkommen! Ein Actionthriller über eine Frau, die sich unversehens in einer Nacht voller Chaos, Tod und Gewalt wiederfindet!</t>
  </si>
  <si>
    <t>Plane</t>
  </si>
  <si>
    <t>United Kingdom, United States, Puerto Rico</t>
  </si>
  <si>
    <t>tt5884796</t>
  </si>
  <si>
    <t>Gerard Butler; Mike Colter; Tony Goldwyn</t>
  </si>
  <si>
    <t>Nach einer heldenhaften Landung seines sturmbeschädigten Flugzeugs in einem Kriegsgebiet findet sich ein furchtloser Pilot zwischen den Agenden mehrerer Milizen wieder, die planen, das Flugzeug und seine Passagiere als Geiseln zu nehmen.</t>
  </si>
  <si>
    <t>Rambo 1-5</t>
  </si>
  <si>
    <t>Rebel Ridge</t>
  </si>
  <si>
    <t>tt11301886</t>
  </si>
  <si>
    <t>Aaron Pierre; Don Johnson; AnnaSophia Robb</t>
  </si>
  <si>
    <t>Ein Ex-Marinesoldat kämpft in einer Kleinstadt gegen Korruption. Als er die Kaution für seinen verhafteten Cousin zahlen will, konfisziert die örtliche Polizei das Geld dafür.</t>
  </si>
  <si>
    <t>Retribution</t>
  </si>
  <si>
    <t>France, Germany, Spain, United States, Canada, Ireland</t>
  </si>
  <si>
    <t>tt6906292</t>
  </si>
  <si>
    <t>Liam Neeson; Noma Dumezweni; Lilly Aspell</t>
  </si>
  <si>
    <t>Als Matt Turner (Liam Neeson) seine Kinder zur Schule fährt, erhält er einen Anruf. Eine mysteriöse Stimme warnt ihn, dass sein Fahrzeug mit Sprengstoff präpariert ist. Daraufhin muss er die Befehle des unbekannten Angreifers befolgen, um die explosive Ladung nicht hochgehen zu lassen. Dabei muss er nicht nur sein, sondern auch das Leben seiner Familie retten, die sich mit ihm im Fahrzeug befindet.</t>
  </si>
  <si>
    <t>Ride On - Die zweite Chance</t>
  </si>
  <si>
    <t>龙马精神</t>
  </si>
  <si>
    <t>China, Hong Kong</t>
  </si>
  <si>
    <t>tt15430628</t>
  </si>
  <si>
    <t>Jackie Chan, 刘浩存, 郭麒麟, 吴京, 容祖兒</t>
  </si>
  <si>
    <t>Einst war Luo der beste und gefragteste Stuntman der kompletten Filmbranche. Mittlerweile kommt er finanziell aber kaum noch über die Runden und muss reichlich improvisieren, um sich selbst und sein sichtlich gealtertes Stuntpferd Red Hare zu ernähren. Als der gnadenlose Schuldeneintreiber Dami Ge droht, ihm das geliebte Tier wegzunehmen, um es zu versteigern, wird die Situation ernst. So bittet Luo widerwillig seine von ihm entfremdete Tochter, die Jurastudentin Xiaobao, und ihren Verlobten, den Anwalt Naihua, um Hilfe. Kurz darauf werden Luo und Red Hare allerdings über Nacht zu einer Sensation in den sozialen Medien, als ein Video ihrer Auseinandersetzung mit Dami Ge viral geht. Auf diese Weise erhält Luo eine unerwartete zweite Chance, sich zwischen seiner ohnehin dem Ende entgegen neigenden Karriere als Stuntman und seiner Familie zu entscheiden …</t>
  </si>
  <si>
    <t>Rocky 1-5</t>
  </si>
  <si>
    <t>Safe - Todsicher</t>
  </si>
  <si>
    <t>Safe</t>
  </si>
  <si>
    <t>tt1656190</t>
  </si>
  <si>
    <t>Jason Statham, Chris Sarandon, James Hong, Catherine Chan, Robert John Burke</t>
  </si>
  <si>
    <t>Luke Wright ist ein zweitklassiger Cage-Fighter in New Jersey. Als er einen manipulierten Kampf nicht wie gewünscht zu Ende bringt, statuiert die russische Mafia ein Exempel an ihm. Seine Frau wird brutal ermordet und auch alle ihm nahestehenden Personen schweben plötzlich in akuter Lebensgefahr. Völlig am Ende flieht Wright mit letzter Kraft nach New York und fristet dort ein trostloses, völlig isoliertes Dasein. Erst Mei, ein zehnjähriges chinesisches Mädchen, gibt seinem Leben wieder einen Sinn. Mei hat besondere mathematische Begabungen und kann sich auch größte Zahlen auf Anhieb vollständig merken. Diese Fähigkeit brachte sie in die Fänge des Triadenboss Han Jiao, der das Mädchen nach New York entführte und sie dort mit einem streng geheimen Code betraute. Der Zweck der Nummer wurde ihr nicht gennant, die Information scheint jedoch äußerst brisant zu sein ...</t>
  </si>
  <si>
    <t>Safe House - Niemand ist sicher</t>
  </si>
  <si>
    <t>Safe House</t>
  </si>
  <si>
    <t>Japan, United States, South Africa</t>
  </si>
  <si>
    <t>tt1599348</t>
  </si>
  <si>
    <t>Denzel Washington, Ryan Reynolds, Vera Farmiga, Brendan Gleeson, Sam Shepard</t>
  </si>
  <si>
    <t>Agent Matt Weston wurde damit beauftragt, die Insassen des sogenannten Safe House zu betreuen. Hier werden unter anderem Zeugen untergebracht, bevor sie vor Gericht aussagen. Für einen jungen CIA-Agenten also alles andere als aufregend und nicht gerade das, was man sich unter dem Job vorgestellt hat. Das ändert sich allerdings schlagartig, als kein geringerer als Tobin Frost ins Safe House kommt. Frost ist ein ehemaliger CIA-Agent und er war einer der besten. Dann wechselte er die Fronten. Als möglicher Kronzeuge ist er für die Regierung äußerst wertvoll. Das wissen auch Frosts Auftraggeber. Kurzerhand dringen sie ins Safe House ein, und nur knapp entkommen Weston und Frost. Da die Gangster nur Frost wollen, gilt Weston als entbehrlich. Auf ihrer Flucht und Suche nach einer neuen, sichereren Zuflucht muss sich Weston wohl oder übel mit Frost verbünden und bekommt dabei mehr Action als ihm lieb ist und Gelegenheit, sich zu beweisen.</t>
  </si>
  <si>
    <t>San Andreas</t>
  </si>
  <si>
    <t>tt2126355</t>
  </si>
  <si>
    <t>Dwayne Johnson; Carla Gugino; Alexandra Daddario</t>
  </si>
  <si>
    <t>In Kalifornien ist die berühmt-berüchtigte San-Andreas-Verwerfung eine tickende Zeitbombe: Experten sagen schon lange voraus, dass es irgendwann mal zu einem verheerenden Erdbeben kommen muss, wenn sie sich verschiebt. Die Mega-Metropole Los Angeles wäre davon unmittelbar betroffen. Und wie es das Schicksal nun so will, ist genau heute der Tag des Untergangs gekommen und ein Beben von der Stärke 9 legt alles in Schutt und Asche. Mitten in diesem Chaos versucht sich ein Hubschrauber-Rettungspilot gemeinsam mit seiner Noch-Ehefrau von LA nach San Francisco durchzuschlagen. Denn dort sitzt ihre gemeinsame Tochter fest und wartet verzweifelt auf Hilfe. Doch gerade, als sich die Lage zu beruhigen scheint, geht es erst richtig los und viele Gefahren stellen sich dem Paar in den Weg…</t>
  </si>
  <si>
    <t>Sicario</t>
  </si>
  <si>
    <t>United States, Mexico, Hong Kong</t>
  </si>
  <si>
    <t>tt3397884</t>
  </si>
  <si>
    <t>Emily Blunt; Josh Brolin; Benicio Del Toro</t>
  </si>
  <si>
    <t>Eine FBI-Agentin beteiligt sich an einem Undercover-Einsatz gegen einen mexikanischen Drogenbaron. Doch gewisse Maßnahmen der Mission kollidieren mit ihren Moralvorstellungen.</t>
  </si>
  <si>
    <t>Sicario 2</t>
  </si>
  <si>
    <t>El Sicario 2</t>
  </si>
  <si>
    <t>tt18395292</t>
  </si>
  <si>
    <t>Angel Sanchez; Stanziola C Ray; Elmer Zubiate</t>
  </si>
  <si>
    <t>Zwei Jahre nach ihrem letzten Einsatz sind FBI-Agent Matt Graver und Auftragskiller Alejandro erneut an der amerikanisch-mexikanischen Grenze unterwegs. Alejandro soll für Matt einen Krieg zwischen den verschiedenen Drogenkartellen vom Zaun brechen und dafür die Tochter des Kartellbosses und Terroristenschleusers Carlos Reyes entführen. Allerdings hat Alejandro noch eine private Rechnung mit Reyes offen.</t>
  </si>
  <si>
    <t>Smugglers</t>
  </si>
  <si>
    <t>tt28106766</t>
  </si>
  <si>
    <t>Kim Hye-su; Yum Jung-ah; Zo In-sung</t>
  </si>
  <si>
    <t>Korea in den 70er Jahren: In der friedlichen Küstenstadt Guncheon wird eine Chemiefabrik aufgebaut. Die Meeresverschmutzung, die durch die Chemiefabrik erzeugt wird, stürzt die Haenyeos von Guncheon – Taucherinnen, die unter Wasser Meeresfrüchte ernten – in eine finanzielle Notlage. Um ihren Lebensunterhalt zu sichern, lassen sich die Haenyeos auf einen riskanten Deal ein, bei dem sie illegale Waren aus dem Meer schmuggeln. Zu Beginn laufen die Geschäfte gut, doch dann geschieht ein tragischer Unfall. Am Anfang scheint alles gut zu laufen, bis den Haenyeos ein tragischer Unfall widerfährt.</t>
  </si>
  <si>
    <t>Snitch – Ein riskanter Deal</t>
  </si>
  <si>
    <t>Snitch</t>
  </si>
  <si>
    <t>United States, United Arab Emirates, United Kingdom</t>
  </si>
  <si>
    <t>tt0882977</t>
  </si>
  <si>
    <t>Dwayne Johnson, Barry Pepper, Susan Sarandon, Benjamin Bratt, Michael Kenneth Williams</t>
  </si>
  <si>
    <t>Als der 17-jährige Jason ein Paket mit Ecstasy-Pillen entgegennimmt, das ihm ein „guter Freund" zugeschickt hat, soll er wegen Drogenhandels für zehn Jahre hinter Gitter -- das Mindeststrafmaß für Drogendelikte in den USA! Um ihn vor dieser drakonischen Strafe zu bewahren, vereinbart sein alarmierter Vater John mit der resoluten Staatsanwältin einen sogenannten „Snitch": Sollte es John gelingen, einen der Drogenbosse ans Messer zu liefern, kommt sein Sohn frei.</t>
  </si>
  <si>
    <t>So weit die Füße tragen</t>
  </si>
  <si>
    <t>tt0277327</t>
  </si>
  <si>
    <t>Bernhard Bettermann, Michael Mendl, Анатолий Котенёв, André Hennicke, Hans Peter Hallwachs</t>
  </si>
  <si>
    <t>Clemens Forell wird im Herbst 1945 zu 25 Jahren Zwangsarbeit verurteilt und mit 3000 weiteren deutschen Kriegsgefangenen ins Arbeitslager nach Sibirien geschickt. Nur etwa ein Drittel der Gefangenen erreicht das Lager lebendig und muss von da an unter grausamen Bedingungen im Bergwerk schuften. Nach einem missglückten Ausbruchsversuch gelingt dem jungen Forell 1949 mit Hilfe des deutschen Lagerarztes Dr. Stauffer die Flucht. Doch erst drei Jahre später hat seine entbehrungsreiche Odyssee über den Kaukasus und Persien ein Ende.</t>
  </si>
  <si>
    <t>Sound of Freedom</t>
  </si>
  <si>
    <t>Mexico, United States</t>
  </si>
  <si>
    <t>Biography, Crime, Drama</t>
  </si>
  <si>
    <t>tt7599146</t>
  </si>
  <si>
    <t>Jim Caviezel; Mira Sorvino; Bill Camp</t>
  </si>
  <si>
    <t>Tim Ballard (Jim Caviezel) arbeitet als Special Agent für die Regierung der Vereinigten Staaten von Amerika. Für das Department of Homeland Security, dem Ministerium für die Innere Sicherheit, kämpft er gegen den internationalen Kinder- und Menschenhandel. Doch trotz aller Erfolge desillusioniert ihn der scheinbar nie enden wollende Strom an grausamen Verbrechen zunehmend. Das Fass zum Überlaufen bringt schließlich der Fall von Miguel (Lucas Ávila). Ballard befreit den kleinen Jungen in Honduras aus den Fängen eiskalter Kinderhändler und muss dabei jedoch erfahren, dass die Verbrecher immer noch dessen Schwester Rocío (Cristal Aparicio) festhalten. Er schmeißt daraufhin seinen Regierungsjob hin und begibt sich auf eigene Faust mitten in den Dschungel von Kolumbien, wo die Menschenhändler die kleine Rocío gefangen halten und Ballard mit aller Waffengewalt davon abhalten wollen, das Mädchen zu retten.</t>
  </si>
  <si>
    <t>Source Code</t>
  </si>
  <si>
    <t>United States, Canada, France, Germany</t>
  </si>
  <si>
    <t>Action, Drama, Mystery</t>
  </si>
  <si>
    <t>tt0945513</t>
  </si>
  <si>
    <t>Jake Gyllenhaal; Michelle Monaghan; Vera Farmiga</t>
  </si>
  <si>
    <t>Gerade war US-Soldat Colter Stevens noch im Kriegseinsatz, plötzlich findet er sich in einem Zug nach Chicago wieder - an der Seite einer jungen Frau, die ihn kennt, er sie aber nicht. Kurz darauf explodiert der Zug, und eine Stimme instruiert Stevens, dass er wieder zurück muss. Dank einer revolutionären Technologie kann er im Körper eines Passagiers die letzten acht Minuten vor der Explosion wiederholt miterleben, damit den Bomber ermitteln und dessen nächsten Terroranschlag noch am gleichen Tag verhindern.</t>
  </si>
  <si>
    <t>Spider-Man</t>
  </si>
  <si>
    <t>Action, Adventure, Sci-Fi</t>
  </si>
  <si>
    <t>tt0145487</t>
  </si>
  <si>
    <t>Tobey Maguire; Kirsten Dunst; Willem Dafoe</t>
  </si>
  <si>
    <t>Peter Parker ist nicht gerade angesehen an seiner Uni, denn er ist schmächtig und ungeschickt, was seine Chancen beim Mädchen seiner Träume, Mary Jane nicht gerade erhöht. Als er eines Tages jedoch von einer genmanipulierten Spinne gebissen wird, wacht er am nächsten Morgen auf und findet seine Sinne geschärft vor und entwickelt auch weitere übermenschliche, aber sehr spinnenähnliche Fähigkeiten. Nachdem er damit zunächst sein Traummädchen beeindruckt hat, wächst er schon bald zu dem maskierten Helden Spider-Man heran, spätestens als ein Superschurke namens Grüner Kobold, der die Mr.Hyde-Variante des Wissenschaftlers Norman Osborn ist, die Stadt bedroht...</t>
  </si>
  <si>
    <t>Spy Game – Der finale Countdown</t>
  </si>
  <si>
    <t>Spy Game</t>
  </si>
  <si>
    <t>United Kingdom, France, Germany, Japan, United States</t>
  </si>
  <si>
    <t>tt0266987</t>
  </si>
  <si>
    <t>Robert Redford, Brad Pitt, Catherine McCormack, Stephen Dillane, Larry Bryggman</t>
  </si>
  <si>
    <t>Der Ex-CIA-Agent Tom Bishop wird in einem chinesischen Gefängnis gefangen genommen. Er soll innerhalb von 24 Stunden exekutiert werden. Nun soll sein früherer Ausbilder und Geheimdienst-Agent Nathan Muir einem Untersuchungsteam der CIA mehr Informationen über Bishop preisgeben, um ihnen einen Eindruck zu verschaffen, wen sich die Chinesen da geschnappt haben. Schon nach kurzer Zeit wird die Lage immer komplizierter und verzwickter, denn nicht alle haben das gleiche Ziel. In Episoden erinnert sich Muir, wie er Bishop kennengelernt und ausgebildet hat …</t>
  </si>
  <si>
    <t>Surrounded Tödliche Bucht</t>
  </si>
  <si>
    <t>Frenzy</t>
  </si>
  <si>
    <t>tt8805150</t>
  </si>
  <si>
    <t>Aubrey Reynolds, Gina Vitori, Lanett Tachel, Taylor Jorgensen, Michael S. New</t>
  </si>
  <si>
    <t>Eine Gruppe von Freunden hat in Form eines Vlogs eine bequeme Möglichkeit gefunden, um ihre Reisen zu finanzieren. Als nächstes Ziel wurde eine verlassene Bucht ausgewählt, die bei einem Tauchgang erkundet werden soll, doch auf dem Weg dorthin stürzt die kleine Propellermaschine wegen technischer Probleme ins Meer. Als einzige Überlebende des Absturzes finden sich die Anführerin der Gruppe und ihre Schwester in einer prekären Lage wieder, denn sie wurden von weißen Haien umzingelt.</t>
  </si>
  <si>
    <t>The Batman</t>
  </si>
  <si>
    <t>tt1877830</t>
  </si>
  <si>
    <t>Robert Pattinson; Zoë Kravitz; Jeffrey Wright</t>
  </si>
  <si>
    <t>Zwei Jahre lang jagte Bruce Wayne als Batman Verbrecher auf der Straße und geriet immer tiefer in die Schattenwelt Gothams. Im korrupten Netzwerk der Beamten und VIPs konnte er nur auf wenige Vertraute zählen, daher verkörperte er bald als Einziger die Rache der Bürger. Als ein Killer es mit einer Vielzahl an sadistischen Machenschaften auf die Elite Gothams abgesehen hat, führt eine Spur aus mysteriösen Hinweisen den weltbesten Detective in die Unterwelt, wo er auf Selina Kyle a.k.a. Catwoman, Oswald Cobblepot a.k.a. der Pinguin, Carmine Falcone und Edward Nashton a.k.a. der Riddler stößt. Mit der Zeit wird das wahre Ausmaß des verbrecherischen Plans klar und die Beweise deuten immer mehr auf einen Kriminellen im näheren Umfeld Batmans hin. Nun muss Batman neue Kontakte knüpfen, den Verbrecher entlarven und den Machtmissbrauch und die Korruption, die Gotham schon lange im Griff haben, gnadenlos niederschlagen.</t>
  </si>
  <si>
    <t>The Beekeeper</t>
  </si>
  <si>
    <t>United Kingdom, United States</t>
  </si>
  <si>
    <t>tt15314262</t>
  </si>
  <si>
    <t>Jason Statham; Emmy Raver-Lampman; Bobby Naderi</t>
  </si>
  <si>
    <t>Mr. Clay hat sich auf den ersten Blick ganz der Imkerei verschrieben. Doch als seine Nachbarin bei einer Telefon-Abzocke um ihr ganzes Erspartes erleichtert wird und sich daraufhin das Leben nimmt, müssen seine Bienen zurückstehen. Denn nun ist einzig und allein die Rache sein Fokus. Auch wenn er jeden Finger jedes Beteiligten einzeln abtrennen muss, er wird nicht stoppen, bis er die ganze für die Scams verantwortliche Organisation zerstört hat. Schnell stellt er auf seinem Rachefeldzug jedoch fast, dass die Betrüger mächtiger als zunächst vermutet sind. Doch auch seine Gegner müssen bald schmerzlichst lernen, dass sie es hier nicht mit einem einfachen Imker, sondern einem ehemaligen Spezialagenten einer mysteriösen Organisation, die den Namen „Beekeepers“ trägt, zu tun haben...</t>
  </si>
  <si>
    <t>The Equalizer 3 – The Final Chapter</t>
  </si>
  <si>
    <t>The Equalizer 3</t>
  </si>
  <si>
    <t>United States, Italy, Australia</t>
  </si>
  <si>
    <t>tt17024450</t>
  </si>
  <si>
    <t>Denzel Washington, Dakota Fanning, Eugenio Mastrandrea, David Denman, Gaia Scodellaro</t>
  </si>
  <si>
    <t>Robert McCall plagt das eigene Gewissen. Als Auftragsmörder für die eigene Regierung hat er in der Vergangenheit viele Dinge tun müssen, die er nun nicht mehr mit seinen Wertevorstellungen übereinbringen kann. Im Killer-Ruhestand versuchte er deshalb immer wieder die Waage damit auszugleichen, Gerechtigkeit für die Unterdrückten zu schaffen. Doch auch das scheint mittlerweile hinter McCall zu liegen, als er aus den USA auswandert und ein neues Leben im malerischen Süditalien beginnt. Doch schnell wird ihm klar, dass auch dort finstere Mächte das Sagen haben und aus dem Verborgenen heraus selbst die Strippen seiner neuen Freunde ziehen. Sein Geduldsfaden reißt endgültig, als es plötzlich mehrere Tote gibt. Um seine Freunde vor dem gleichen Schicksal zu bewahren, muss er noch einmal aufmunitionieren und auf altbekannte Methoden zurückgreifen. Denn hinter alledem steckt die Mafia.</t>
  </si>
  <si>
    <t>The Expendables 4</t>
  </si>
  <si>
    <t>tt3291150</t>
  </si>
  <si>
    <t>Jason Statham; 50 Cent; Megan Fox</t>
  </si>
  <si>
    <t>Der brutale Terrorist Rahmat will sich in einer libyschen Chemie-Waffenfabrik von Gaddafi Zünder für eine Atombombe unter den Nagel reißen. Der CIA-Agent Marsh schick daraufhin die bis an die Zähne bewaffneten Expendables von Barney Ross los, um dem Übeltäter das Handwerk zu legen. Für Ross ist der Auftrag persönlich motiviert, da Rahmat Auftraggeber das Phantom Ozelot sein soll, welches der Söldner-Boss schon seit über zwei Jahrzehnten jagt. Doch der Einsatz in Libyen endet in einer Katastrophe. Rahmat kann nicht nur mit den Zündern entkommen, auch Lee Christmas fliegt aus dem Team, weil er für das Scheitern der Mission verantwortlich gemacht wird. Während die Expendables nun auf junges Blut bauen, ausgerechnet unter der Leitung von Christmas' Freundin Gina, macht sich die britische Kampfmaschine auf eigene Faust auf den Weg, den Dritten Weltkrieg zu verhindern.</t>
  </si>
  <si>
    <t>The Man from Nowhere</t>
  </si>
  <si>
    <t>tt1527788</t>
  </si>
  <si>
    <t>Won Bin; Kim Sae-ron; Kim Tae-hoon</t>
  </si>
  <si>
    <t>Nachdem er seine Frau bei einem Unfall verloren hat, lebt Tae-Sik zurückgezogen als Pfandleiher. Abgesehen von wenigen Kunden beschränkt sich sein Umgang auf das kleine Nachbarsmädchen So-mi, mit dem er sich angefreundet hat. Als sich deren Mutter durch einen Drogendiebstahl mit einem mächtigen Kartell anlegt und die Ware in seinem Pfandhaus versteckt, wird er unfreiwillig in die Sache hineingezogen. Die Nachbarin wird samt ihrer Tochter entführt und Tae-sik wird gezwungen, einen Job für das Kartell zu übernehmen, will er sie wiedersehen. Schnell wird ihm klar, dass er damit zur Marionette der Drogenbosse wird und es keinen Ausweg mehr gibt. Doch das Kartell hat nicht mit einem Pfandleiher gerechnet, der ein ausgebildeter Special Agent ist.</t>
  </si>
  <si>
    <t>The Man from Toronto</t>
  </si>
  <si>
    <t>tt11671006</t>
  </si>
  <si>
    <t>Kevin Hart; Woody Harrelson; Jasmine Mathews</t>
  </si>
  <si>
    <t>Der berüchtigte Killer mit dem Decknamen „The Man From Toronto“ mietet eine Airbnb-Wohnung, die eigentlich von Loser Teddy  gebucht wurde. Die beiden ungleichen Männer treffen aufeinander und müssen sich wohl oder übel mit der Doppelbuchung arrangieren. Allerdings ist die fehlgeschlagene Anmietung nicht das einzige Problem, was besonders Teddy zu spüren bekommt. Die Bekanntschaft mit dem Profikiller beeinträchtigt auch seinen Aufenthalt auf gefährliche Art und Weise.</t>
  </si>
  <si>
    <t>The Marksman – Der Scharfschütze</t>
  </si>
  <si>
    <t>The Marksman</t>
  </si>
  <si>
    <t>Liam Neeson</t>
  </si>
  <si>
    <t>tt6902332</t>
  </si>
  <si>
    <t>Liam Neeson, Jacob Perez, Katheryn Winnick, Teresa Ruiz, Sean A. Rosales</t>
  </si>
  <si>
    <t>Jim Hanson lebt als Rancher im US-mexikanischen Grenzgebiet Arizonas. Er hat schon bessere Zeiten gesehen. Seine Frau ist vor kurzem gestorben und die Bank will seine Ranch verkaufen. Von einem Tag auf den anderen wird sein zurückgezogenes Leben auf den Kopf gestellt, als er Zeuge wird, wie eine Mutter und ihr Sohn versuchen, verfolgt vom mexikanischen Kartell, illegal über die Grenze zu flüchten. Bei einem Schusswechsel stirbt die Mutter und Jim nimmt sich widerstrebend des kleinen Miguel an. Mit dem brutalen Kartellboss Mauricio und korrupten Cops auf den Fersen, beginnt das ungleiche Duo eine Verfolgungsjagd quer durchs Land. Stück für Stück nähern sich der Rancher und der Junge an und Jim schreckt vor nichts zurück, um sein Versprechen zu halten und den Jungen in Sicherheit zu bringen.</t>
  </si>
  <si>
    <t>The Protégé – Made for Revenge</t>
  </si>
  <si>
    <t>The Protégé</t>
  </si>
  <si>
    <t>United Kingdom, United States, Bulgaria, Romania</t>
  </si>
  <si>
    <t>tt6079772</t>
  </si>
  <si>
    <t>Maggie Q, Samuel L. Jackson, Michael Keaton, David Rintoul, Patrick Malahide</t>
  </si>
  <si>
    <t>Als Kind von dem legendären Killer Moody gerettet und im Familienbetrieb ausgebildet, ist Anna die geschickteste Auftragskillerin der Welt. Doch als Moody – der Mann, der wie ein Vater für sie war und ihr alles beigebracht hat, was sie über Vertrauen und Überleben wissen muss – brutal getötet wird, schwört Anna gnadenlose Rache. Als sie sich mit dem rätselhaften Killer Rembrandt einlässt, entwickelt sich ein Katz-und-Maus-Spiel, das eine gefährliche Konfrontation in Gang setzt, und die losen Enden eines Lebens, das sie mit dem Töten verbracht hat, werden sich noch enger miteinander verweben.</t>
  </si>
  <si>
    <t>The Raid</t>
  </si>
  <si>
    <t>tt0047388</t>
  </si>
  <si>
    <t>Iko Uwais; Ananda George; Ray Sahetapy</t>
  </si>
  <si>
    <t>Während des amerikanischen Bürgerkriegs gelingt einer Gruppe von gefangen genommenen Soldaten der Südstaaten die Flucht nach Kanada. Angeführt von Major Benton sollen sie in die Nordstaaten zurückkehren und die unweit der Grenze gelegene Kleinstadt St. Albans angreifen. Benton begibt sich als angeblicher Geschäftsmann in die Stadt, um die Lage zu erkunden, und verliebt sich in die Witwe Katie. Da sich auch die anderen Bewohner als überaus freundlich erweisen, gerät Benton in einen Konflikt zwischen seinen Gefühlen und seinem Auftrag.</t>
  </si>
  <si>
    <t>The Replacement Killers</t>
  </si>
  <si>
    <t>tt0120008</t>
  </si>
  <si>
    <t>Chow Yun-Fat, Mira Sorvino, Michael Rooker</t>
  </si>
  <si>
    <t>Der Sohn eines chinesischen Triadenbosses ist von einem amerikanischen Police Detective erschossen worden, und nun schickt der zornige Vater seinen besten Killer los, um den kleinen Sohn des Polizisten zu töten. Als der Killer den Auftrag jedoch nicht ausführt und lieber an der Seite einer schönen Fälscherin untertaucht, werden Gangster losgeschickt, um den Verräter zu töten ...</t>
  </si>
  <si>
    <t>The Rhythm Section</t>
  </si>
  <si>
    <t>United Kingdom, Spain, Ireland, United States</t>
  </si>
  <si>
    <t>tt7134096</t>
  </si>
  <si>
    <t>Blake Lively; Richard Brake; Elly Curtis</t>
  </si>
  <si>
    <t>Als Teenagerin war Stephanie Patrick eine Rebellin, die sich immer ihren Eltern widersetzte – und sogar eine große Reise nach Europa einfach abblies, sodass ihre Familie allein das Flugzeug bestieg. Dieser Moment sollte ihr Leben nachhaltig verändern. Denn als das Flugzeug über dem Atlantischen Ozean flog, explodierte es. Seitdem plagen sie immense Schuldgefühle, doch sie hat auch gelernt, allein zu überleben. Eines Tages sieht sie sich erneut mit dem Unglück konfrontiert, als sie erfährt, dass der Tod ihrer Familie kein zufälliges Unglück war, sondern ein Attentat. Fortan kennt sie nur noch einen Gedanken: Rache. Dabei helfen soll ihr die mysteriöse Geheimorganisation Magenta House, die Terroristen in aller Welt heimlich, still und leise tötet, bevor diese vielleicht verhaftet werden und einen großen Prozess als Bühne nutzen können. Doch das neue Leben als tötende Agentin fordert seinen ganz eigenen Preis…</t>
  </si>
  <si>
    <t>The Roundup - Punishment</t>
  </si>
  <si>
    <t>The Roundup: Punishment</t>
  </si>
  <si>
    <t>tt27811040</t>
  </si>
  <si>
    <t>Ma Dong-seok; Kim Mu-yeol; Park Ji-hwan</t>
  </si>
  <si>
    <t>Während der Ermittlungen gegen die Betreiber einer App für Drogenhandel stoßen Detective Ma (Don Lee) und sein Team auf eine Verbindung zwischen einem Mordfall auf den Philippinen und einer illegalen Organisation für Onlineglücksspiel. Deren Anführer, IT-Genie Chang Dong-cheol, und sein Komplize, Ex-Elitesoldat Baek Chang-gi, stecken bereits in den Vorbereitungen für ihren nächsten großen Schachzug. Um ihre Pläne zu vereiteln, weitet Detective Ma die Operation aus und schmiedet dafür eine ungewöhnliche Allianz ...</t>
  </si>
  <si>
    <t>The Suicide Squad</t>
  </si>
  <si>
    <t>tt6334354</t>
  </si>
  <si>
    <t>Margot Robbie; Idris Elba; John Cena</t>
  </si>
  <si>
    <t>Die Regierung schickt die gefährlichsten Superschurken der Welt auf die abgelegene und von feindlichen Truppen besetzte Insel Corto Maltese. Bewaffnet mit High-Tech-Waffen ziehen die rehabilitierten Verbrecher auf einer selbstmörderischen Suchmission durch den gefährlichen Dschungel. Einzig Colonel Rick Flag ist dazu abgestellt, dafür zu sorgen, dass die schurkische Trupppe nicht komplett außer Kontrolle gerät.</t>
  </si>
  <si>
    <t>The Union</t>
  </si>
  <si>
    <t>tt12610390</t>
  </si>
  <si>
    <t>Mark Wahlberg; Halle Berry; J.K. Simmons</t>
  </si>
  <si>
    <t>Ein Bauarbeiter aus New Jersey wird von einem Normalo zu einem angehenden Spion, als ihn seine lang verschollene Highschool-Liebe für eine Spionagemission rekrutiert.</t>
  </si>
  <si>
    <t>The Wave – Die Todeswelle</t>
  </si>
  <si>
    <t>Bølgen</t>
  </si>
  <si>
    <t>Norway, Sweden</t>
  </si>
  <si>
    <t>tt3616916</t>
  </si>
  <si>
    <t>Kristoffer Joner, Ane Dahl Torp, Jonas Hoff Oftebro, Edith Haagenrud-Sande, Fridtjov Såheim</t>
  </si>
  <si>
    <t>Geologe Kristian steht kurz davor, mit seiner Familie in eine andere Stadt zu ziehen und dort einen neuen Job aufzunehmen. An seinem letzten Arbeitstag im Erdrutsch-Frühwarnzentrum Geiranger bekommt er es jedoch mit einer regelrechten Katastrophe zu tun. Als die Messgeräte plötzlich auffällige Werte anzeigen, vermutet er, dass die Gesteinsschichten des nahe gelegenen Berges Akerneset in Bewegung geraten sind. Nachdem ihm zunächst niemand Glauben schenken will, wird seine Befürchtung jedoch schon bald schreckliche Realität: Gewaltige Felsbrocken stürzen in den Fjord und eine riesige Welle droht die umliegenden Städte und Dörfer unter sich zu begraben. Inmitten der ausbrechenden Panik versucht Kristian seine Familie in Sicherheit zu bringen.</t>
  </si>
  <si>
    <t>The Whiskey Bandit - Allein gegen das Gesetz</t>
  </si>
  <si>
    <t>A Viszkis</t>
  </si>
  <si>
    <t>Hungary</t>
  </si>
  <si>
    <t>tt5871080</t>
  </si>
  <si>
    <t>Bence Szalay, Piroska Móga, Zoltán Schneider, Björn Freiberg, Imre Csuja</t>
  </si>
  <si>
    <t>Der in den 90er Jahren kriminell schwer aktive „Whisky-Bandit“ Attila Ambrus gehört längst zu den Legenden der jüngeren ungarischen Geschichte: Ein professioneller Eishockey-Spieler, der sein wahres Talent bei knapp 30 Raubüberfällen in und um Budapest auslebte und am Ende seiner „Whisky“-Tour in der Staatsgewalt nur vermeintlich seinen Meister gefunden hat. Ein bravouröser Action-Thriller, wie ihn nur das wahre Leben schreiben kann.</t>
  </si>
  <si>
    <t>Tiger and Dragon</t>
  </si>
  <si>
    <t>Skinny Tiger and Fatty Dragon</t>
  </si>
  <si>
    <t>Hong Kong</t>
  </si>
  <si>
    <t>tt0100605</t>
  </si>
  <si>
    <t>Sammo Kam-Bo Hung; Karl Maka; Ming Yan Lung</t>
  </si>
  <si>
    <t>Die HongKong-Cops Skinny und Sam werden, nachdem sie bei der Festnahme eines Drogendealers ein Restaurant zerlegen, vom Dienst suspendiert . Als jener Dealer dann auf Kaution frei kommt, schwört er blutige Rache...</t>
  </si>
  <si>
    <t>Top Gun – Maverick</t>
  </si>
  <si>
    <t>Top Gun: Maverick</t>
  </si>
  <si>
    <t>tt1745960</t>
  </si>
  <si>
    <t>Tom Cruise; Jennifer Connelly; Miles Teller</t>
  </si>
  <si>
    <t>Aufgrund seiner Probleme mit Autoritäten hat es Flieger-Ass Maverick nie geschafft, die ganz große Karriere in der Navy zu machen. Anstatt Orden konnte er so vielmehr disziplinarische Verfahren sammeln. Nachdem er erneut über das Ziel hinausgeschossen ist, wird er kurzerhand zu seiner alten Elite-Flugschule Top Gun versetzt. Dort soll er die jungen Flieger, unter denen sich auch Rooster, der Sohn seines verstorbenen besten Freundes Goose befindet, auf eine Mission vorbereiten, die eigentlich unmöglich zu bewerkstelligen ist: Das schwer geschützte Nuklearprogramm eines fremden Landes muss zerstört werden. Weniger als drei Wochen bleiben zur Vorbereitung. Maverick hat nun alle Hände voll damit zu tun, die besten Absolventen der vergangenen Jahre zu einem Team zu formen, damit der Einsatz nicht zum Selbstmordkommando verkommt.</t>
  </si>
  <si>
    <t>Twister</t>
  </si>
  <si>
    <t>tt0117998</t>
  </si>
  <si>
    <t>Helen Hunt; Bill Paxton; Jami Gertz</t>
  </si>
  <si>
    <t>Wie jedesmal fängt es ganz harmlos an. Sanfte Frühlingsbrisen wehen über das Land. Wolkengebilde schweben durch das endlose Blau. Doch plötzlich verwandelt sich das Blau in ein giftiges, zorniges, spannungsgeladenes Grün. Erst hörst du ihn, dann spürst du ihn. Twister, der gewaltigste Sturm der letzten 50 Jahre, rast auf dich zu. Das ist der Moment, auf den die Wissenschaftler Jo und Bill gewartet haben. Ihr Ziel ist es, elektronische Sensoren in das Zentrum des Tornados zu schleusen, um auf diese Weise erstmals Meßwerte für ein zuverlässiges Frühwarn-System zu gewinnen. Doch Auge in Auge mit dem übermächtigen Wirbelsturm wird die wissenschaftliche Mission zum Wettlauf mit der Zeit.</t>
  </si>
  <si>
    <t>Twisters</t>
  </si>
  <si>
    <t>tt12584954</t>
  </si>
  <si>
    <t>Daisy Edgar-Jones; Glen Powell; Anthony Ramos</t>
  </si>
  <si>
    <t>Kate Carter ist eine ehemalige Sturmjägerin, die während ihrer Zeit auf dem College eine verheerende Begegnung mit einem monströsen Tornado hatte und deshalb nun in New York City nur noch auf Bildschirmen Sturmabläufe studiert. Ihr Freund Javi lockt sie trotzdem zurück ins Feld, um ein bahnbrechendes neues Ortungssystem für die tödlichen Stürme zu testen. Dort kreuzen sich ihre Wege mit Tyler Owens, dem charmanten und rücksichtslosen Social-Media-Superstar, der davon lebt, seine Abenteuer bei der Sturmjagd mit seiner ausgelassenen Crew zu posten - je gefährlicher, desto besser. Als sich die Sturmsaison zuspitzt, werden noch nie dagewesene, furchterregende Phänomene entfesselt. Kate, Tyler und andere konkurrierende Teams finden sich mitten in den Pfaden mehrerer Sturmsysteme wieder, die über Zentral-Oklahoma zusammenlaufen und kämpfen um ihr Leben.</t>
  </si>
  <si>
    <t>Spain, United States</t>
  </si>
  <si>
    <t>Zelle 211 – Der Knastaufstand</t>
  </si>
  <si>
    <t>Celda 211</t>
  </si>
  <si>
    <t>Spain, France</t>
  </si>
  <si>
    <t>tt1242422</t>
  </si>
  <si>
    <t>Luis Tosar, Alberto Ammann, Antonio Resines, Carlos Bardem, Félix Cubero</t>
  </si>
  <si>
    <t>Um einen guten Eindruck zu machen, tritt Juan seinen neuen Job in einem Hochsicherheitsgefängnis einen Tag früher an. Schlechtes Timing! Er ist kaum angekommen, als er sich mitten in einem Aufstand wiederfindet. Da ihn noch keiner kennt, gelingt es ihm, sich als Insasse auszugeben und an den Anführer der Rebellion heranzukommen. Als Mitglieder der ETA als Geiseln genommen werden, nimmt die Situation eine politische Wende und die Regierung schaltet sich ein…</t>
  </si>
  <si>
    <t>Al Pacino</t>
  </si>
  <si>
    <t>France</t>
  </si>
  <si>
    <t>Documentary</t>
  </si>
  <si>
    <t>tt9214710</t>
  </si>
  <si>
    <t>Der Einsatz</t>
  </si>
  <si>
    <t>Doppelter Einsatz Berlin - Wehe dem, der liebt</t>
  </si>
  <si>
    <t>Crime</t>
  </si>
  <si>
    <t>tt0278425</t>
  </si>
  <si>
    <t>Ruth Reinecke, Helen Zellweger, Jan Josef Liefers</t>
  </si>
  <si>
    <t>Richter Poulgrain hat sich in seiner Garage das Leben genommen. Durch einen unglücklichen Zufall macht sich das Auto mit dem Toten selbstständig und landet in einem Brunnen in einem Shopping-Center. Dort machen die Cops Ben Kinnear und Mike gerade Pause und sind daher sofort zur Stelle. Im Affekt schießen sie auf den bereits Toten und werden wegen dieser peinlichen Aktion in den Straßendienst versetzt… Obwohl sich nun andere Beamte um den Fall Poulgrain kümmern, lassen auch Ben und Mike nicht locker. Dabei haben die beiden Cops allerdings überhaupt kein Glück und nachdem sie auch noch ein Haus in Brand gesteckt haben, steckt ihr Chef sie in den Nachtdienst - doch auch dort ist keiner vor ihnen sicher</t>
  </si>
  <si>
    <t>Glengarry Glen Ross</t>
  </si>
  <si>
    <t>Crime, Drama, Mystery</t>
  </si>
  <si>
    <t>tt0104348</t>
  </si>
  <si>
    <t>Al Pacino, Jack Lemmon, Alec Baldwin</t>
  </si>
  <si>
    <t>Die vier Grundstücksmakler Shelley Levine, Ricky Roma, George Aaronow und Dave Moss stehen plötzlich mit dem Rücken zur Wand. Ihnen wird das Messer an die Brust gesetzt. Die wirtschaftliche Rezension hat auch ihr Maklerbüro erfasst. Die Firmenleitung lässt verlauten, dass nur zwei Mitarbeiter nach einem radikalen Schnitt übrig bleiben werden. Wer innerhalb kürzester Zeit am meisten verkauft, erhält einen Cadilliac Eldorado, der Zweitbeste ein Steakmesser-Set – und einen Job. Der Rest fliegt hochkant raus. Um den Standpunkt der großen Bosse im Hintergrund deutlich zu machen, wird „Bluthund“ Blake geschickt. Er hält den vier verdutzten Verkaufsprofis einen Vortrag, der sich gewaschen hat und sie wie unreife Schuljungen zurück lässt. Derart unter Druck gesetzt, machen sich die vier Makler an die Arbeit, ihren Job zu retten.</t>
  </si>
  <si>
    <t>Heat</t>
  </si>
  <si>
    <t>tt0113277</t>
  </si>
  <si>
    <t>Al Pacino, Robert De Niro, Val Kilmer</t>
  </si>
  <si>
    <t>2019: Die "Sianon Corp." veranstaltet ein gigantisches, etwas außergewöhnliches Kampfsportturnier. Weltweit rüsten die Hersteller von Cyber-Implantaten Kampfsportchampions auf, um sie ins Turnier zu schicken und die Überlegenheit ihrer Cyber-Implantate zu beweisen. "Sianon" selbst hat den Kickboxer Xao verpflichtet und es gibt nur einen Kämpfer, der Xao gefährlich werden kann: Chance O'Brien. Da ein Turnier ohne Chance nur halb so überzeugend wäre, wird er zur Teilnahme gezwungen und um ihn zu einer finalen Niederlage zu bewegen, wird kurzerhand noch seine Verlobte Jo gekidnappt. Kann Chance - übrigens der einzige zu 100% menschliche Kämpfer - Xao bezwingen, das Turnier gewinnen und seine Verlobte befreien?</t>
  </si>
  <si>
    <t>Insider</t>
  </si>
  <si>
    <t>The Insider</t>
  </si>
  <si>
    <t>Biography, Drama, History</t>
  </si>
  <si>
    <t>tt0140352</t>
  </si>
  <si>
    <t>Russell Crowe, Al Pacino, Christopher Plummer</t>
  </si>
  <si>
    <t>Der CBS-Journalist Lowell Bergman wittert eine gute Story für seine investigative Nachrichtensendung '60 Minutes' im Fernsehen, als er den Wissenschaftler Jeffrey Wigand, entlassener Manager der Tabakindustrie, vor das Mikrofon bekommt. Wigand weiß einiges, vor allem über den Zusatz von Suchtmitteln zu dem normalen Zigarettentabak. Leider hat er auch eine Verschwiegenheitsklausel unterzeichnet und gefährdet seine Existenz und die seiner Familie.Doch der Drang zur Wahrheit ist stärker und Wigand gibt das entscheidende Interview. Doch dann geht alles schief: Wigands Familie zerbricht unter dem Druck und dem Terror des Tabakgiganten und CBS hält den Beitrag aus Furcht vor einer Milliardenklage zurück. Bergman, der noch nie einen Informanten sitzengelassen hat, muß sich entscheiden: seine Karriere oder seine Berufsethik...</t>
  </si>
  <si>
    <t>Insomnia - Schlaflos</t>
  </si>
  <si>
    <t>Insomnia</t>
  </si>
  <si>
    <t>Thriller, Krimi, Drama</t>
  </si>
  <si>
    <t>tt0278504</t>
  </si>
  <si>
    <t>Al Pacino, Robin Williams, Hilary Swank, Martin Donovan, Nicky Katt</t>
  </si>
  <si>
    <t>Der berühmte Detective Will Dormer aus Los Angeles fliegt mit seinem Partner Hap Eckhart nach Nightmute/Alaska, weil dort ein alter Bekannter, Chief Nyback, in einem undurchsichtigen Mordfall Hilfe braucht. Ganz freiwillig sind Will und Hap allerdings nicht ans Ende der Welt geflogen: Nyback weiß bereits, dass die Polizeiaufsicht von L.A. eine interne Untersuchung gegen die beiden Cops eingeleitet hat…</t>
  </si>
  <si>
    <t>Annie Girardot</t>
  </si>
  <si>
    <t>Annie Girardot, ainsi va la vie</t>
  </si>
  <si>
    <t>tt1297263</t>
  </si>
  <si>
    <t>Annie Girardot, Claire Keim, Valéra Babaryka</t>
  </si>
  <si>
    <t>Back Fire - Eine Mutter sieht rot</t>
  </si>
  <si>
    <t>Liste noire</t>
  </si>
  <si>
    <t>Action, Krimi</t>
  </si>
  <si>
    <t>tt0087627</t>
  </si>
  <si>
    <t>Annie Girardot, François Marthouret, Paul Crauchet, Bernard Gabay, Christian François</t>
  </si>
  <si>
    <t>Die 17-jährige Nathalie Dufour wird zusammen mit ihrem Freund Jucky und dem Komplizen David in einen Bankraub verwickelt. Zu spät bemerken die drei Unglücksraben, dass ihr Überfall, der von Gangstern organisiert wurde, nur als Ablenkungsmanöver dient, damit die Castelli-Brüder ungestört einen Geldtransporter ausräumen können. Wider Erwarten entkommen Jucky, David und Nathalie der Polizei. Sie spüren die Castelli-Brüder in ihrem Versteck auf und fordern ihren Anteil an der Beute. Dabei wird Jucky von den Gangstern getötet. David flüchtet mit der angeschossenen Nathalie zu deren Mutter Jeanne Dufour, die eine kleine Autowerkstatt besitzt. Als Nathalie in deren Armen stirbt, fordert Jeanne von David die Namen der Mörder ihrer Tochter. Mit der stillschweigenden Billigung des in dem Fall ermittelnden Kommissars Kalinsky startet Jeanne einen gnadenlosen Rachefeldzug gegen die Berufsverbrecher, die ihre Tochter auf dem Gewissen haben.</t>
  </si>
  <si>
    <t>Der Schocker - Der Preis für ein Leben</t>
  </si>
  <si>
    <t>Traitement de choc</t>
  </si>
  <si>
    <t>FR, IT</t>
  </si>
  <si>
    <t>Annie Girardot, Alain Delon, Robert Hirsch, Michel Duchaussoy, Anna Gaylor</t>
  </si>
  <si>
    <t>Die Patientin einer Frischzellenzklinik kommt dahinter, dass sich ein Kreis angesehener Leute der Organe der jungen portugisischen Bediensteten bedient. Als sie den Klinikchef auffliegen lassen will, bezichtigen er und seine honorige Kundschaft die Zeugin des Mordes.</t>
  </si>
  <si>
    <t>Die Superlady</t>
  </si>
  <si>
    <t>Elle cause plus, elle flingue !</t>
  </si>
  <si>
    <t>FR</t>
  </si>
  <si>
    <t>Komödie, Krimi</t>
  </si>
  <si>
    <t>tt0068535</t>
  </si>
  <si>
    <t>Annie Girardot, Bernard Blier, Maurice Biraud, Roger Carel, Jean Carmet</t>
  </si>
  <si>
    <t>Anthony Hopkins</t>
  </si>
  <si>
    <t>Premio Donostia a Anthony Hopkins</t>
  </si>
  <si>
    <t>Spain</t>
  </si>
  <si>
    <t>Short</t>
  </si>
  <si>
    <t>tt0459937</t>
  </si>
  <si>
    <t>Antonio Banderas, Anthony Hopkins, Edurne Ormazabal</t>
  </si>
  <si>
    <t>Hopkins‘ Karriere erstreckt sich über mehrere Jahrzehnte, weshalb wir auch auf viele Interviews zurückgreifen, die er im Laufe seines Lebens gegeben hat, um ihn in den jeweiligen Zeitkontext einzuordnen und seine Rolle in der Geschichte des Kinos besser zu verstehen. weil er weit davon entfernt war, den Trends zu folgen. Er gehörte nie einer Filmbewegung an; Er ist ein Chamäleon, das schon immer die natürliche Schauspielerei bevorzugt hat, statt „nicht schauspielerisch“ zu sein, als Methodenschauspiel noch in Mode war.</t>
  </si>
  <si>
    <t>Alles Glück dieser Erde</t>
  </si>
  <si>
    <t>Austria</t>
  </si>
  <si>
    <t>Drama, Family, Romance</t>
  </si>
  <si>
    <t>tt0391737</t>
  </si>
  <si>
    <t>Uschi Glas, Maximilian Schell, Peter Simonischek</t>
  </si>
  <si>
    <t>Tatum O’Neal spielt die Hauptrolle in dieser verspäteten Fortsetzung des Elizabeth-Taylor-Klassikers ‘Kleines Mädchen, großes Herz’: Die junge Reiterin Sarah Brown will olympisches Gold gewinnen. Hier wandelt sich Tatum O’Neal von der zahnbespangten Waise in eine rassige Olympiareiterin.</t>
  </si>
  <si>
    <t>Auf Messers Schneide</t>
  </si>
  <si>
    <t>Auf des Messers Schneide: Christoph Schlingensief über Real-Theatralik</t>
  </si>
  <si>
    <t>Documentary, Short</t>
  </si>
  <si>
    <t>tt3632762</t>
  </si>
  <si>
    <t>Alexander Kluge, Christoph Schlingensief</t>
  </si>
  <si>
    <t>Der alternde Milliardär Charles Morse verdächtigt den Mode-Fotografen Robert Green ein Verhältnis mit seiner Frau zu haben. Deshalb lädt er seinen Nebenbuhler zu einem Trip in die unendlichen weiten Alaskas ein. Was als normale Reise beginnt, entwickelt sich zum unerwarteten Horrortrip als der Privatjet abstürzt. Fernab jeglicher Zivilisation müssen sich die Rivalen nicht nur den brutalen Mächten der Natur und den Angriffen eines riesigen Grizzlys stellen – beide haben es mit einem noch intelligenteren, gefährlicheren und tödlicheren Gegner zu tun – der menschlichen Natur!</t>
  </si>
  <si>
    <t>Das perfekte Verbrechen</t>
  </si>
  <si>
    <t>Fracture</t>
  </si>
  <si>
    <t>DE, US</t>
  </si>
  <si>
    <t>tt0488120</t>
  </si>
  <si>
    <t>Anthony Hopkins, Ryan Gosling, David Strathairn, Rosamund Pike, Embeth Davidtz</t>
  </si>
  <si>
    <t>Ted Crawford wird noch mit der Waffe in der Hand neben dem leblosen Körper seiner Frau verhaftet und später angeklagt. Was zuerst wie ein glasklarer Fall aussieht, entwickelt sich zwischen Täter und dem ambitionierten Staatsanwalt zu einem Katz- und Mausspiel, das sich plötzlich ganz anders entwickelt, als es vorher den Anschein hatte.</t>
  </si>
  <si>
    <t>Das Schweigen der Lämmer</t>
  </si>
  <si>
    <t>213: Das Schweigen der Lammer (1991) &amp; Zipperface (1992)</t>
  </si>
  <si>
    <t>tt18757364</t>
  </si>
  <si>
    <t>Jodie Foster, Anthony Hopkins, Scott Glenn, Ted Levine, Anthony Heald</t>
  </si>
  <si>
    <t>Clarice Starling, Auszubildende beim FBI, bekommt von einem ihrer Lehrer den Auftrag, sich im Gefängnis mit Dr. Hannibal Lecter, einem Massenmörder und Psychiater, zu befassen. Durch ihre Unbefangenheit hoffen sie, daß Lecter ihnen bei der Suche nach einem anderen Serienkiller hilft, aber es ist nicht leicht, an Lecter heranzukommen.</t>
  </si>
  <si>
    <t>Der 10. Mann</t>
  </si>
  <si>
    <t>The Tenth Man</t>
  </si>
  <si>
    <t>Drama, TV-Film</t>
  </si>
  <si>
    <t>tt0096243</t>
  </si>
  <si>
    <t>Anthony Hopkins, Kristin Scott Thomas, Derek Jacobi, Cyril Cusack, Brenda Bruce</t>
  </si>
  <si>
    <t>Paris, 1941: Wahllos verhaften die Nazis Zivilsten und kündigen an, jeden zehnten von ihnen hinzurichten. Per Los sollen die Häftlinge selbst bestimmen, wer getötet wird. Es trifft Rechtsanwalt Chavel. Der kann das Los jedoch an einen todkranken Mithäftling weitergeben. Als Gegenleistung überschreibt er dessen Famile seinen Besitz. Drei Jahre später sucht Chavel unter falschem Namen Kontakt zu der Familie des "zehnten Mannes".</t>
  </si>
  <si>
    <t>Die Bounty</t>
  </si>
  <si>
    <t>The Bounty</t>
  </si>
  <si>
    <t>GB, US</t>
  </si>
  <si>
    <t>Action, Drama, Historie</t>
  </si>
  <si>
    <t>Mel Gibson, Anthony Hopkins, Daniel Day-Lewis, Bernard Hill, Phil Davis</t>
  </si>
  <si>
    <t>Im Dezember 1789 sticht die "Bounty" unter Führung von Kapitän William Bligh in See. Ihr Ziel ist Tahiti, wo sie Pflanzen des Affenbrotbaums aufnehmen soll. Als der starrsinnige Bligh auf der Rückkehr ein zweites Mal die gefährliche Umsegelung von Kap Horn wagen will, zettelt der erste Offizier Fletcher Christian eine Meuterei an. Er lässt den Kapitän mit 17 Gefolgsleuten auf offener See in einem Beiboot aussetzen...</t>
  </si>
  <si>
    <t>Hearts in Atlantis</t>
  </si>
  <si>
    <t>Drama, Mystery</t>
  </si>
  <si>
    <t>tt0252501</t>
  </si>
  <si>
    <t>Anthony Hopkins, Anton Yelchin, Hope Davis</t>
  </si>
  <si>
    <t>Der Tod eines Jugendfreundes treibt den erfolgreichen Fotografen Bobby Garfield zurück in seine Heimatstadt und die eigene Vergangenheit. Das Haus seiner Jugendtage ist längst verwahrlost, trotzdem weckt es Erinnerungen. Erinnerungen an eine vaterlose, nicht einfache, aber dennoch glückliche Kindheit. 1960: Die Schwelle zum Erwachsenenwerden betritt der junge Bobby als der mysteriöse Ted Brautigan in die Dachkammer der Garfields einzieht. Schnell freundet sich der Junge mit dem geheimnisvollen Fremden an, obwohl Mutter Liz ihn keineswegs mag. Für einen Dollar die Woche soll Bobby Mr. Brautigan die Zeitung vorlesen, und nach den „niederen Männern“ Ausschau halten, die den alten Mann verfolgen - so glaubt er jedenfalls. Bobby nimmt ihm die Mär von den unnachgiebigen Häschern nicht ab. Erst als er sie mit eigenen Augen sieht und eine Ahnung von Teds Gabe, Gedanken von Menschen zu lesen bekommt, glaubt er es, verschweigt ihm aber deren Existenz aus Angst, die Freundschaft zu verlieren.</t>
  </si>
  <si>
    <t>Instinkt</t>
  </si>
  <si>
    <t>Apostol. Ottsovskiy instinkt</t>
  </si>
  <si>
    <t>Russia</t>
  </si>
  <si>
    <t>tt7666258</t>
  </si>
  <si>
    <t>Aleksey Agryzkov, Egor Barinov, Yaroslav Efremenko</t>
  </si>
  <si>
    <t>Ein dunkles Geheimnis umgibt den brillanten Biologen und Primatenforscher Dr. Ethan Powell, der jahrelang im afrikanischen Dschungel unter Berggorillas lebte: Der Wissenschaftler, der seit Jahren kein Wort gesprochen hat, wirkt merkwürdig aggressiv und gebärdet sich wie ein Tier. Aber weder seine Familie noch die Vollstreckungsbeamten, die Powell des mehrfachen Mordes bezichtigen und ihn in ein berüchtigtes Gefängnis für geistesgestörte Straftäter einweisen, finden Zugang zu ihm. Wird es dem renommierten Psychiater Theo Caulder gelingen, das Rätsel um Powell zu lösen?</t>
  </si>
  <si>
    <t>Kidnapping Freddy Heineken</t>
  </si>
  <si>
    <t>Kidnapping Mr. Heineken</t>
  </si>
  <si>
    <t>BE, GB, NL</t>
  </si>
  <si>
    <t>Drama, Action, Krimi, Thriller, Mystery</t>
  </si>
  <si>
    <t>tt2917388</t>
  </si>
  <si>
    <t>Anthony Hopkins, Jim Sturgess, Sam Worthington, Ryan Kwanten, Mark van Eeuwen</t>
  </si>
  <si>
    <t>Amsterdam 1983: Die Diebesbande um Cor Van Hout (Jim Sturgess) und Willem Holleeder (Sam Worthington) verdient nicht schlecht mit diversen Überfällen, aber den ganz großen Coup hat sie noch vor sich. Die Verbrecher planen die Entführung von Alfred "Freddy" Heineken (Anthony Hopkins), dem Erben und Vorstandsvorsitzenden des Brauerei-Imperiums Heineken, der so gerne in der Öffentlichkeit steht. Cor und Willem lauern dem Bier-Magnaten vor dessen Wohnung auf und zerren ihn in ihr Auto. Alles verläuft reibungslos, sie schaffen ihre Geisel in ein sicheres Versteck und fordern für deren Freilassung maßlose 35 Millionen Gulden (etwa über 15 Millionen Euro). Doch schon bald wird den Kidnappern das Lösegeld tatsächlich ausgehändigt und sie scheinen am Ziel ihrer Träume. In Wahrheit zieht sich das Netz um sie immer enger...</t>
  </si>
  <si>
    <t>Legenden der Leidenschaft</t>
  </si>
  <si>
    <t>Legends of the Fall</t>
  </si>
  <si>
    <t>Drama, Western, Liebesfilm, Kriegsfilm, Action</t>
  </si>
  <si>
    <t>tt0110322</t>
  </si>
  <si>
    <t>Brad Pitt, Anthony Hopkins, Aidan Quinn, Julia Ormond, Henry Thomas</t>
  </si>
  <si>
    <t>In den Weiten Montanas, auf einer Ranch, lebt Colonel Ludlow mit seinen drei Söhnen. Es ist die Zeit kurz vor dem Ersten Weltkrieg. Der Jüngste, Sam, ein Harvard-Absolvent, hat sich verliebt und bringt seine Braut auf die Ranch, um sie der Familie vorzustellen. Doch von dem Tag an wird alles anders – denn auch seine Brüder verlieben sich in die schöne, leidenschaftliche Frau. Als die drei Söhne in den Krieg ziehen und Sam die Schlacht nicht überlebt, nehmen die harten Prüfungen der Familie ihren Lauf. Mitreißendes Familien-Epos über zwei Jahrzehnte mit charakterstarken Figuren: dramatisch, emotional, bildgewaltig.</t>
  </si>
  <si>
    <t>Rendezvous mit Joe Black</t>
  </si>
  <si>
    <t>Meet Joe Black</t>
  </si>
  <si>
    <t>Fantasy, Drama, Liebesfilm</t>
  </si>
  <si>
    <t>tt0119643</t>
  </si>
  <si>
    <t>Brad Pitt, Anthony Hopkins, Claire Forlani, Jake Weber, Marcia Gay Harden</t>
  </si>
  <si>
    <t>Als Joe Black sich nach der schönen Susan Parrish, einer Zufallsbekanntschaft, umdreht, übersieht er ein heranrasendes Auto. Tage später begegnet Susan ihm wieder. Da sie den Unfall nicht bemerkt hat, wundert sie sich, daß Joe sie nicht wiedererkennt. Doch das ist gar nicht möglich, denn Susan steht der Tod gegenüber - in Gestalt von Joe Black. Er ist gekommen, um ihren Vater in sein Reich zu holen. Susans Liebreiz bringt ihn davon allerdings schon bald ab - und eine einzigartige Romanze nimmt ihren Lauf...</t>
  </si>
  <si>
    <t>Roter Drache</t>
  </si>
  <si>
    <t>Red Dragon</t>
  </si>
  <si>
    <t>DE, IT, US</t>
  </si>
  <si>
    <t>Krimi, Thriller, Horror</t>
  </si>
  <si>
    <t>tt0289765</t>
  </si>
  <si>
    <t>Edward Norton, Anthony Hopkins, Ralph Fiennes, Emily Watson, Harvey Keitel</t>
  </si>
  <si>
    <t>Bei der Festnahme des gefährlichen Psychopathen und Massenmörders Hannibal Lecter entgeht FBI-Agent Will Graham nur knapp dem Tod. Grund genug für ihn, den Dienst zu quittieren. Doch schon nach kurzer Zeit ist das FBI erneut auf seine Hilfe angewiesen. Ein Serienmörder, der in Vollmondnächten schlafende Familien heimsucht, hinterlässt eine grauenhafte Spur des Schreckens. Graham nimmt den Auftrag an und versucht sich in die Psyche des Killers, der nur die "Zahnfee" genannt wird, hineinzuversetzen. Dabei ist er auf die Hilfe eines ähnlich genialen und gestörten Geistes in Form von Dr. Hannibal Lecter angewiesen. Doch dieser verfolgt seine eigenen Pläne.</t>
  </si>
  <si>
    <t>Spotswood - Manager mit Herz</t>
  </si>
  <si>
    <t>Spotswood</t>
  </si>
  <si>
    <t>AU</t>
  </si>
  <si>
    <t>Komödie, Drama</t>
  </si>
  <si>
    <t>tt0102969</t>
  </si>
  <si>
    <t>Anthony Hopkins, Ben Mendelsohn, Alwyn Kurts, Bruno Lawrence, John Walton</t>
  </si>
  <si>
    <t>Errol Wallace ist Fachmann für den Aufschwung maroder Firmen. Auch bei der Mokassinfabrik des alten Ball soll er mit Rat und Tat eingreifen. Doch in dem Familienbetrieb herrscht, fernab vom Streß anderer Fabriken, Gemütlichkeit und freundschaftliche Wärme. Von einem Intriganten bekommt Wallace Papiere zugespielt, die den bedauernswerten Zustand der Firma verdeutlichen: Seit Jahren schon verkauft Firmenchef Ball eigene Grundstücke, um keinen Arbeiter entlassen zu müssen. Wallace überzeugt Ball, daß nur Massenentlassungen die Fabrik retten können. Als er sich jedoch mit den Arbeitern anfreundet, arbeitet er einen anderen Plan aus, mit dem die Zukunft gesichert werden kann.</t>
  </si>
  <si>
    <t>The Father</t>
  </si>
  <si>
    <t>United Kingdom, France, United States</t>
  </si>
  <si>
    <t>tt10272386</t>
  </si>
  <si>
    <t>Anthony Hopkins, Olivia Colman, Mark Gatiss</t>
  </si>
  <si>
    <t>Anne sorgt sich um ihren Vater Anthony. Als stolzer Mann lehnt er trotz seines hohen Alters jede Unterstützung durch eine Pflegekraft ab. Obwohl ihn sein Gedächtnis immer häufiger im Stich lässt, ist er davon überzeugt, auch weiterhin allein zurechtzukommen. Doch als Anne ihm eröffnet, dass sie zu ihrem Freund nach Paris ziehen wird, ist er verwirrt. Wer ist dann dieser Fremde in seinem Wohnzimmer, der vorgibt mit Anne verheiratet zu sein? Anthony versucht, die sich permanent verändernden Umstände zu begreifen und beginnt mehr und mehr zu zweifeln: an seinem Verstand und schließlich auch an seiner eigenen Wahrnehmung.</t>
  </si>
  <si>
    <t>Was vom Tage übrig blieb</t>
  </si>
  <si>
    <t>The Remains of the Day</t>
  </si>
  <si>
    <t>Drama, Liebesfilm</t>
  </si>
  <si>
    <t>tt0107943</t>
  </si>
  <si>
    <t>Anthony Hopkins, Emma Thompson, James Fox, Christopher Reeve, Hugh Grant</t>
  </si>
  <si>
    <t>Der amerikanische Millionär Lewis ersteigert im Großbritannien der 1950er Jahre das Herrenhaus des in Schande verstorbenen gleichnamigen Lord Darlington. Dem Adligen wird vorgeworfen, zu Beginn der 30er Jahre mit Nazis zusammengearbeitet zu haben. Butler Stevens erinnert sich in einem Brief, gerichtet an die ehemalige Haushälterin Miss Kenton, an diese Zeit zurück und daran, wie sie zum ersten Mal in Darlington Hall aufkreuzte. Als Stevens seiner aus Pflichtgefühl unterdrückte Liebe ihr gegenüber gedenkt, beschließt er, Miss Kenton nach all den Jahren aufzusuchen und seinen Fehler gut zu machen.</t>
  </si>
  <si>
    <t>Wiedersehen in Howards End</t>
  </si>
  <si>
    <t>Howards End</t>
  </si>
  <si>
    <t>JP, GB, US</t>
  </si>
  <si>
    <t>tt0104454</t>
  </si>
  <si>
    <t>Emma Thompson, Helena Bonham Carter, Anthony Hopkins, Samuel West, Vanessa Redgrave</t>
  </si>
  <si>
    <t>England im viktorianischen Zeitalter: Die adlige Ruth Wilcox verbindet eine enge Freundschaft mit der um Jahre jüngeren Margaret Schlegel aus bürgerlichem Hause. Ruths Angehörige beäugen die Verbundenheit der Frauen kritisch. Als Ruth stirbt, erwartet die Familie eine Überraschung: Margaret erbt ganz allein den Familienbesitz Howards End.</t>
  </si>
  <si>
    <t>Audrey Hepburn</t>
  </si>
  <si>
    <t>The Audrey Hepburn Story</t>
  </si>
  <si>
    <t>Biography, Drama</t>
  </si>
  <si>
    <t>tt0163887</t>
  </si>
  <si>
    <t>Jennifer Love Hewitt, Frances Fisher, Keir Dullea</t>
  </si>
  <si>
    <t>Charade</t>
  </si>
  <si>
    <t>Comedy, Mystery, Romance</t>
  </si>
  <si>
    <t>tt0056923</t>
  </si>
  <si>
    <t>Cary Grant, Audrey Hepburn, Walter Matthau</t>
  </si>
  <si>
    <t>Reggie Lampert kehrt nach Paris zurück und steht vor einem Rätsel: Ihre Wohnung ist leer, ihr Ehemann tot. Inmitten mysteriöser Ereignisse und merkwürdiger Gestalten sucht sie nach Antworten. Unterstützung findet sie bei dem charmanten Peter Joshua – doch nichts ist, wie es scheint.</t>
  </si>
  <si>
    <t>Ein Herz und eine Krone</t>
  </si>
  <si>
    <t>Roman Holiday</t>
  </si>
  <si>
    <t>Liebesfilm, Komödie, Drama</t>
  </si>
  <si>
    <t>tt0046250</t>
  </si>
  <si>
    <t>Audrey Hepburn, Gregory Peck, Eddie Albert, Hartley Power, Harcourt Williams</t>
  </si>
  <si>
    <t>Auf Staatsbesuch in Rom hat die junge Prinzessin Ann die dauernde Pflicht zum würdevollen Repräsentieren satt. Heimlich schleicht sie sich davon, um die »Ewige Stadt« und das wahre Leben kennen zu lernen. Am Abend schläft sie völlig erschöpft inmitten antiker Ruinen ein. Dort gabelt sie der attraktive Journalist Joe Bradley auf, der jedoch noch keine Ahnung hat, wer da vor ihm liegt, und sie kurzerhand zur Ausnüchterung mit in seine Wohnung schleppt. Als er am nächsten Morgen aufwacht und die Pressekonferenz der Prinzessin abgesagt wird, dämmert ihm, welchen Vogel er da gefangen hat …</t>
  </si>
  <si>
    <t>Eine Frau, die alles weiß</t>
  </si>
  <si>
    <t>Desk Set</t>
  </si>
  <si>
    <t>Komödie, Liebesfilm</t>
  </si>
  <si>
    <t>tt0050307</t>
  </si>
  <si>
    <t>Spencer Tracy, Katharine Hepburn, Gig Young, Joan Blondell, Dina Merrill</t>
  </si>
  <si>
    <t>Schauplatz der Handlung ist ein Bürohochhaus in Manhattan, die Zeit die Gegenwart. Richard Sumner ist ein Erfinder und Effizienzexperte, der einen Computer namens EMMARAC entwickelt hat. Mr. Azae, Präsident eines Rundfunksenders, hat für seine Buchhaltung bereits eines dieser Geräte angeschafft und beauftragt Sumner zu prüfen, ob auch das Informationsbüro des Unternehmens durch einen Computer sinnvoll ersetzt werden kann. Das Informationsbüro ist eine unternehmensinterne Dienstleistungsabteilung, deren Mitarbeiterinnen mit Hilfe einer Hausbibliothek Anfragen jeglicher Art beantworten. Leiterin der Abteilung ist Bunny Watson, eine Frau von verblüffender Bildung und Intelligenz, deren einzige Schwäche im Privaten liegt.</t>
  </si>
  <si>
    <t>Krieg und Frieden</t>
  </si>
  <si>
    <t>Der Nahe Osten zwischen Krieg und Frieden</t>
  </si>
  <si>
    <t>France, Germany</t>
  </si>
  <si>
    <t>tt28316685</t>
  </si>
  <si>
    <t>Frank Stöckle</t>
  </si>
  <si>
    <t>Leo Tolstois literarisches Meisterwerk wird in diesem epischen Film-Klassiker zum Leben erweckt. Einige der größten Schauspieler aus Hollywoods Glanzzeit sind hier in den Hauptrollen zu bewundern: Audrey Hepburn (Natascha), Henry Fonda (Pierre) und Mel Ferrer (Prinz Andrei). Krieg und Frieden ist ein beeindruckendes, Oscar-nominiertes Drama über die Verwicklungen des Krieges, spektakuläre Abenteuer, fesselnde Intrigen und tragische Liebe – und das alles vor dem mitreißenden Hintergrund von Napoleons Russland-Feldzug.</t>
  </si>
  <si>
    <t>Robin und Marian</t>
  </si>
  <si>
    <t>Robin and Marian</t>
  </si>
  <si>
    <t>Abenteuer, Liebesfilm</t>
  </si>
  <si>
    <t>tt0075147</t>
  </si>
  <si>
    <t>Sean Connery, Audrey Hepburn, Robert Shaw, Richard Harris, Nicol Williamson</t>
  </si>
  <si>
    <t>Um 1190. Seit zwanzig Jahren ziehen Robin Hood und sein treuer Freund Little John für den machtgierigen König Richard Löwenherz auf Kreuzzügen durch die halbe Welt. Als sie in Frankreich eine Burg plündern sollen, in der Richard einen Goldschatz vermutet, die jedoch nur noch von einem Greis, Frauen und Kindern bewohnt wird, weigert sich Robin, den Befehl auszuführen. Der König ist außer sich und befiehlt seine Hinrichtung. Doch bevor es dazu kommen kann, trifft der Greis Richard Löwenherz mit einem Pfeil. Wenige Tage später stirbt er an Wundbrand.</t>
  </si>
  <si>
    <t>Sabrina</t>
  </si>
  <si>
    <t>Comedy, Drama, Romance</t>
  </si>
  <si>
    <t>tt0047437</t>
  </si>
  <si>
    <t>Humphrey Bogart, Audrey Hepburn, William Holden</t>
  </si>
  <si>
    <t>Sabrina, Tochter des Chauffeurs der wohlhabenden Familie Larrabee, verliebt sich hoffnungslos in deren jüngsten Sohn David, als der Teenager regelmäßig dessen ausgelassenes Partyleben beobachtet. Ihr Vater schickt sie auf eine Schule in Paris, damit sie von ihrem Liebeskummer geheilt wird, doch als sie zurückkehrt und sich in eine unwiderstehliche, elegante junge Frau verwandelt hat, ist es Davids älterer pragmatischer Workaholic-Bruder Linus, der sich Hals über Kopf in sie verliebt …</t>
  </si>
  <si>
    <t>Traum meines Lebens</t>
  </si>
  <si>
    <t>Summertime</t>
  </si>
  <si>
    <t>tt0048673</t>
  </si>
  <si>
    <t>Katharine Hepburn, Rossano Brazzi, Isa Miranda, Darren McGavin, Mari Aldon</t>
  </si>
  <si>
    <t>Einmal auf dem Markusplatz stehen! Endlich kann sich die amerikanische Jungfer Jane Hudson ihren Traum erfüllen. Bei einem Urlaub in Venedig will sie Erinnerungen für ein ganzes Leben sammeln. Die Alleinreisende entflammt in der Stadt der Liebenden für Antiquitätenhändler Renato. Jane ahnt nicht, dass ihr Galan verheiratet ist</t>
  </si>
  <si>
    <t>Warte, bis es dunkel ist</t>
  </si>
  <si>
    <t>Wait Until Dark</t>
  </si>
  <si>
    <t>Thriller, Horror</t>
  </si>
  <si>
    <t>tt0062467</t>
  </si>
  <si>
    <t>Audrey Hepburn, Alan Arkin, Richard Crenna, Efrem Zimbalist Jr., Jack Weston</t>
  </si>
  <si>
    <t>Die drei Gangster Roat, Carlino  und Mike suchen eine mit Heroin gefüllte Spielzeugpuppe. Dabei geraten sie an die blinde Susy Hendrix die zufällig in den Besitz der Puppe kam und nicht ahnt, womit sie es zu tun hat. Mit einem angeblichen Auftrag locken die drei Finsterlinge ihren Ehemann, den Fotografen Sam  aus dem Apartment und verschaffen sich freie Bahn für einige Stunden. Unter einem Vorwand versuchen sie zunächst ohne Gewalt an die Puppe zu gelangen. Doch wer gedacht hätte, die Verbrecher hätten leichtes Spiel mit der zarten Frau, hat sich getäuscht: Susy hat die verbrecherischen Absichten der drei Schurken schnell durchschaut und kann ihre Blindheit sogar als Vorteil nutzen...</t>
  </si>
  <si>
    <t>Wer zuletzt lacht</t>
  </si>
  <si>
    <t>tt1625002</t>
  </si>
  <si>
    <t>Franz Glawatsch, Eugen Neumann</t>
  </si>
  <si>
    <t>„Joker“ Henry Russell verschafft sich einen effektvollen Abgang: Er vererbt seinen vier Hinterbliebenen jeweils 50 000 Pfund. Der Haken: Das Geld darf erst in Empfang genommen werden, wenn jeder der Erben seine ganz spezielle Aufgabe erfüllt. Seine herrische Schwester Agnes muß einen Monat lang als Magd dienen und sein Cousin, der seichte Krimis verfaßt, ist angehalten, für vier Wochen ins Gefängnis zu gehen. Hart trifft es auch einen weiteren Cousin, der überkorrekt in einer Bank arbeitet und diese nun nach Henrys Wunsch überfallen soll. Der vierte Erbe, ein notorischer Frauenheld, hat es ebenfalls nicht leicht: Er muß das erste Mädchen heiraten, das ihm begegnet, wenn er sein Erbe antreten möchte…</t>
  </si>
  <si>
    <t>Wie klaut man eine Million</t>
  </si>
  <si>
    <t>How to Steal a Million</t>
  </si>
  <si>
    <t>Komödie, Krimi, Liebesfilm</t>
  </si>
  <si>
    <t>tt0060522</t>
  </si>
  <si>
    <t>Audrey Hepburn, Peter O'Toole, Eli Wallach, Hugh Griffith, Charles Boyer</t>
  </si>
  <si>
    <t>Als Tochter eines begnadeten Kunstfälschers hat es die schöne Nicole nicht immer ganz leicht. Einerseits liebt sie ihren Vater abgöttisch, aber andererseits kann sie sich mit dem “Beruf” überhaupt nicht anfreunden. Als sie den vermeintlichen Einbrecher Simon Dermott in der Villa ihres Vaters auf frischer Tat ertappt, ändert sich ihr Leben total. Er ist nämlich gar kein “normaler” Dieb, sondern ein Detektiv, der ihrem Vater auf die Schliche kommen will.</t>
  </si>
  <si>
    <t>Zusammen in Paris</t>
  </si>
  <si>
    <t>Paris When It Sizzles</t>
  </si>
  <si>
    <t>Liebesfilm, Komödie</t>
  </si>
  <si>
    <t>tt0058453</t>
  </si>
  <si>
    <t>William Holden, Audrey Hepburn, Grégoire Aslan, Raymond Bussières, Christian Duvaleix</t>
  </si>
  <si>
    <t>Richard hat nur noch 48 Stunden um sein nächstes Drehbuch abzuliefern, doch bisher hat er nichts aufs Papier gebracht. Um die unmögliche Aufgabe zu schaffen, engagiert er die junge Schreibkraft Gabrielle. Gemeinsam in seinem Hotelzimmer machen sich die beiden ans Werk, wobei Richard, inspiriert von der wunderschönen Gabrielle, auf einmal vor Ideen nur so sprüht. Dabei träumen sich die beiden in den Film und die einzelnen Szenen hinein und kommen sich dabei immer näher...</t>
  </si>
  <si>
    <t>Bruce Willis</t>
  </si>
  <si>
    <t>Comedy Central Roast of Bruce Willis</t>
  </si>
  <si>
    <t>tt8301054</t>
  </si>
  <si>
    <t>Bruce Willis, Mackenzie Davis, Demi Moore</t>
  </si>
  <si>
    <t>16 Blocks</t>
  </si>
  <si>
    <t>United States, Germany, United Kingdom, Canada</t>
  </si>
  <si>
    <t>tt0450232</t>
  </si>
  <si>
    <t>Bruce Willis, Yasiin Bey, David Morse</t>
  </si>
  <si>
    <t>Seiner Trinkgewohnheiten und der frechen Klappe wegen ist der heruntergekommene New Yorker Cop Jack Mosley den Vorgesetzten schon seit geraumer Zeit ein Dorn im Auge. Nun soll der müde Veteran den farbigen Junggauner Eddie Bunker nur mal schnell die 16 Blocks vom Untersuchungsknast zum Gericht bringen, wo dieser dann seine als brisant eingestufte Aussage in einem Fall von Polizeikorruption machen soll. Doch wie durch Zufall finden sich allerhand Hindernisse am Wegesrand ...</t>
  </si>
  <si>
    <t>An deiner Seite</t>
  </si>
  <si>
    <t>213 - Der Feind an deiner Seite</t>
  </si>
  <si>
    <t>Short, Thriller</t>
  </si>
  <si>
    <t>tt11788016</t>
  </si>
  <si>
    <t>Andy Magro</t>
  </si>
  <si>
    <t>Im Jahre 1986 vergewaltigt der High-School-Absolvent Alex Kelly nach einer feuchtfröhlichen Abschlussparty seine zwei Jahre jüngere Mitschülerin Carrie, nicht ohne dem Mädchen auch noch mit Mord zu drohen, falls es die Tat irgendjemand berichtet. Carrie läßt sich jedoch nicht einschüchtern und zieht vor Gericht. Alex reiche Eltern rüsten mit hochdotierten Staranwälten nach, die das Mädchen diskreditieren sollen. Dann jedoch begeht Alex einen entscheidenden Fehler: Er flieht.</t>
  </si>
  <si>
    <t>Banditen!</t>
  </si>
  <si>
    <t>Banditen</t>
  </si>
  <si>
    <t>Adventure, Comedy, Crime</t>
  </si>
  <si>
    <t>tt6923456</t>
  </si>
  <si>
    <t>Juana del Soto, Harry Ensor, Carl Geppert, Erner Huebsch</t>
  </si>
  <si>
    <t>Kaum aus dem Gefängnis ausgebrochen, macht sich das Ganovenduo Joe und Terry wieder daran, eine Bank nach der anderen zu erleichtern und so gelangen sie schon bald zu beachtlicher Berühmtheit. Als das Duo bei einem der Überfälle eine Frau als Geisel nimmt, kommen die Turbulenzen erst richtig in Gang. Kate, frustrierte Ehefrau und absolut gelangweilt von ihrem alltäglichen Trott, lässt sich nämlich so leicht nicht mehr abschütteln.</t>
  </si>
  <si>
    <t>Blind Date – Verabredung mit einer Unbekannten</t>
  </si>
  <si>
    <t>Blind Date</t>
  </si>
  <si>
    <t>tt0092666</t>
  </si>
  <si>
    <t>Kim Basinger, Bruce Willis, John Larroquette, William Daniels, George Coe</t>
  </si>
  <si>
    <t>Da hat sich Walter Davis ja etwas schönes eingebrockt: Als sein Chef ihn zu einem Geschäftsessen mit einem japanischen Industriellen einlädt, ist eine Dame an seiner Seite Pflicht. Da Walter aber momentan solo ist, empfiehlt sein Bruder Ted ihm, dessen Bekannte Nadia Gates mitzunehmen. Ted sagt ihm außerdem, daß er Nadia keinen Alkohol zu trinken geben soll, da dies bei ihr eklatante Folgen hat. Walter denkt sich, ein Gläschen Sekt wird schon nicht so schlimm sein, aber schon diese wenigen Tropfen verträgt Nadia nicht. Und so kommt es, wie es kommen muß – und sogar noch schlimmer, viel schlimmer!</t>
  </si>
  <si>
    <t>Das Mercury Puzzle</t>
  </si>
  <si>
    <t>Mercury Rising</t>
  </si>
  <si>
    <t>Action, Krimi, Drama, Thriller</t>
  </si>
  <si>
    <t>tt0120749</t>
  </si>
  <si>
    <t>Bruce Willis, Alec Baldwin, Miko Hughes, Chi McBride, Kim Dickens</t>
  </si>
  <si>
    <t>Weil der siebenjährige Simon einen neuen Top-Secret-Code geknackt hat, muss Art Jeffries, FBI-Mitarbeiter im Innendienst, gegen skrupellose Bundesagenten antreten, um das Leben des autistischen Jungen zu schützen. Für Simon ist die angeblich absolut sichere Verschlüsselungsmethode Mercury so leicht zu lesen wie für andere Kinder ein Comic. Diese Fähigkeit macht den neuen Milliarden-Dollar-Geheimschlüssel verletzlich, insbesondere wenn Feinde der Vereinigten Staaten von Simons Fähigkeiten Wind bekommen und ihn entführen. Projektleiter Nick Kudro befiehlt, das 'Sicherheitsrisiko' zu eliminieren, aber er hat dabei nicht mit Jeffries gerechnet. Auf der Flucht vor kaltblütigen Attentätern erkennt Jeffries schnell, dass er niemandem vertrauen kann. Während die Uhr unaufhaltsam tickt, wird ihm klar, dass seine Feinde nur mit Hilfe von Simons besonderer Gabe aufgehalten werden können.</t>
  </si>
  <si>
    <t>Nobodys Fool – Auf Dauer unwiderstehlich</t>
  </si>
  <si>
    <t>Nobody's Fool</t>
  </si>
  <si>
    <t>Drama, Komödie</t>
  </si>
  <si>
    <t>tt0110684</t>
  </si>
  <si>
    <t>Paul Newman, Bruce Willis, Melanie Griffith, Jessica Tandy, Dylan Walsh</t>
  </si>
  <si>
    <t>Donald Sullivan ist recht eigenbrötlerischer Beinahe-Rentner, der sie mehr schlecht als recht durchs Leben schlägt. Als eines Tages sein Sohn wieder in die Stadt kommt, bekommt „Sully“ kalte Füße vor der anstehenden Verantwortung.</t>
  </si>
  <si>
    <t>Sin City</t>
  </si>
  <si>
    <t>tt0401792</t>
  </si>
  <si>
    <t>Mickey Rourke, Clive Owen, Bruce Willis</t>
  </si>
  <si>
    <t>Basin City, genannt Sin City, ist ein düsteres Metropolis, in dem nichts und niemand wirklich sicher ist, in dem die Gewalt allgegenwärtig ist und die Schicksale sich kreuzen. Drei Geschichten aus den dunklen Winkeln der Stadt werden hier erzählt: da ist der muskulöse Schläger Marv, der sich auf einen beispiellosen Rachefeldzug begibt, als die einzige von ihm geliebte Frau Goldie nach einer gemeinsamen Nacht von einem Killer getötet wird. Dwight, der aus Gefühlsgründen für die nicht ganz so wehrlosen Prostituierten und Tänzerinnen eintritt, als ein brutaler Cop sie bedroht und damit selbst in immer gewalttätigere Schwierigkeiten gerät und schließlich und endlich die Story des ehrlichen Cops Hartigan, der allmählich seines Jobs müde geworden ist, aber noch einmal zur Tat schreiten muss...</t>
  </si>
  <si>
    <t>The Expendables</t>
  </si>
  <si>
    <t>United States, Bulgaria, Spain, Germany</t>
  </si>
  <si>
    <t>tt1320253</t>
  </si>
  <si>
    <t>Sylvester Stallone, Jason Statham, Jet Li</t>
  </si>
  <si>
    <t>The Expendables nennt sich ein Trupp bestens ausgebildeter Söldner, der von dem mit allen Wassern gewaschenen Barney Ross befehligt wird. Von dem undurchsichtigen Church, der den Mord an seinem Sohn rächen lassen will, erhalten sie den Auftrag, den Diktator Garza in seiner Bananenrepublik zu töten und den alten, demokratisch gewählten Präsidenten wieder zu installieren. Schnell stellen Ross und Co. fest, dass Garza zum einen von der CIA gedeckt wird, ihr Auftraggeber zum anderen mit falschen Karten spielt. Und dann heftet sich mit dem durchgeknallten Gunnar Jenssen auch noch ein unehrenhaft aus der Gruppe ausgeschiedener Killer an die Fersen der Expendables.</t>
  </si>
  <si>
    <t>Tödliche Gedanken</t>
  </si>
  <si>
    <t>Annas Fluch - Tödliche Gedanken</t>
  </si>
  <si>
    <t>tt0168463</t>
  </si>
  <si>
    <t>Katja Flint, Steffen Wink, Franziska Petri</t>
  </si>
  <si>
    <t>James Urbanski ist ein Scheusal. Seiner Frau Joyce setzt der Macho mit wilden Attacken zu. Ihrer besten Freundin Cynthia  begegnet er mit unverhohlener Arroganz. Nach einem gemeinsamen Ausflug des Trios, mit den üblichen Pöbeleien des volltrunkenen James, wird dieser tot aufgefunden. Mord oder Unfall? Nur Joyce und Cynthia kennen die verhängnisvolle Wahrheit…</t>
  </si>
  <si>
    <t>Tödliche Nähe</t>
  </si>
  <si>
    <t>Striking Distance</t>
  </si>
  <si>
    <t>Krimi, Action, Mystery, Thriller</t>
  </si>
  <si>
    <t>tt0108238</t>
  </si>
  <si>
    <t>Bruce Willis, Sarah Jessica Parker, Dennis Farina, Tom Sizemore, Brion James</t>
  </si>
  <si>
    <t>Der Frauenmörder von Pittsburgh ist gefaßt. Bürger und Polizei atmen auf. Doch Officer Hardy vom Morddezernat hat seine eigene Theorie: Der Falsche sitzt hinter Gittern, der Serienkiller muß, nach allen Indizien, ein Cop sein! Hardy, der Cop mit der großen Klappe, wird zur Wasserschutzpolizei strafversetzt. Zwei Jahre vergehen, bis erneut reihenweise junge Frauen in Pittsburgh bestialisch ermordet werden. Stets in Hardys Revier, alles Mädchen aus seinem engsten Umfeld.</t>
  </si>
  <si>
    <t>Burt Lancaster</t>
  </si>
  <si>
    <t>Burt Lancaster: A Portrait</t>
  </si>
  <si>
    <t>tt0497731</t>
  </si>
  <si>
    <t>Kate Buford, Joanna Lancaster</t>
  </si>
  <si>
    <t>Alle meine Söhne</t>
  </si>
  <si>
    <t>West Germany</t>
  </si>
  <si>
    <t>tt0448323</t>
  </si>
  <si>
    <t>Willi Umminger, Annemarie Holtz, Peter Schütte</t>
  </si>
  <si>
    <t>Auseinandersetzungen in einer kleinen amerikanischen Stadt kurz nach dem Zweiten Weltkrieg: Ein anerkannter Bürger, Besitzer einer Fabrik, hat während des Krieges defekte Flugzeugteile geliefert und den Tod zahlreicher Piloten verursacht. Während er selbst freigesprochen wurde, sitzt sein damaliger Partner im Gefängnis. In quälerischen Episoden kristallisiert sich die Schuld der Beteiligten heraus, zerbrechen Hoffnungen und Illusionen.</t>
  </si>
  <si>
    <t>Du lebst noch 105 Minuten</t>
  </si>
  <si>
    <t>Sorry, Wrong Number</t>
  </si>
  <si>
    <t>Thriller, Mystery</t>
  </si>
  <si>
    <t>tt0040823</t>
  </si>
  <si>
    <t>Barbara Stanwyck, Burt Lancaster, Ann Richards, Wendell Corey, Harold Vermilyea</t>
  </si>
  <si>
    <t>Eines Abends kommt ihr Ehemann Henry nicht nach Hause; voller Sorge ruft die kranke Leona in seinem Büro an. Doch es kommt in der Vermittlungszentrale zu einer Fehlschaltung. Leona wird Zeugin eines Gespräches zweier Männer, einer der beiden soll in 105 Minuten eine Frau ermorden, die alleine zu Hause ist. Leona berichtet der Störungsstelle von dem belauschten Gespräch und wird an die Polizei verwiesen. Dort nimmt sich Sergeant Duffy des Falles an, doch er kann mit den vagen Angaben nicht viel anfangen. Ihr Vater, der jeden Abend aus Chicago anruft, hält das Ganze für einen üblen Scherz. Leona, die nicht aus den Bett aufstehen kann, ist verzweifelt und alles wird immer verwirrender. Plötzlich fällt ihr ein, sie könnte das Opfer sein...</t>
  </si>
  <si>
    <t>Trapez</t>
  </si>
  <si>
    <t>Trapez 2</t>
  </si>
  <si>
    <t>tt1610522</t>
  </si>
  <si>
    <t>Ein schwerer Unfall hat die Karriere des Luftakrobaten Mike beendet. Im Zirkus eines alten Freundes findet er neue Arbeit. Dort soll er dem jungen Tino den dreifachen Salto beibringen und als Fänger arbeiten. Bald begeistert die neue Nummer das Publikum. Doch die schöne Artistin Lola drängt sich zwischen die Männer.</t>
  </si>
  <si>
    <t>Cary Grant</t>
  </si>
  <si>
    <t>Becoming Cary Grant</t>
  </si>
  <si>
    <t>France, United States</t>
  </si>
  <si>
    <t>Documentary, Biography</t>
  </si>
  <si>
    <t>tt5704748</t>
  </si>
  <si>
    <t>Mark Kidel, Cary Grant, Frank Sinatra</t>
  </si>
  <si>
    <t>Er zählte zu Hollywoods erster Garde: Cary Grant. Mark Kidel lässt ihn in seinem Porträt zum Teil selbst seine Lebensgeschichte erzählen und enthüllt eine wenig bekannte Seite des smarten Superstars: Um seine Kindheitstraumata zu überwinden, nahm Cary Grant unter Aufsicht seines Psychiaters lange Jahre LSD, da er unter Ängsten und mangelndem Selbstvertrauen litt. Die Dokumentation zeichnet den Werdegang des Schauspielers anhand seiner bisher noch nicht veröffentlichten Autobiografie nach.</t>
  </si>
  <si>
    <t>Akkorde der Liebe</t>
  </si>
  <si>
    <t>Penny Serenade</t>
  </si>
  <si>
    <t>tt0034012</t>
  </si>
  <si>
    <t>Cary Grant, Irene Dunne, Beulah Bondi, Edgar Buchanan, Ann Doran</t>
  </si>
  <si>
    <t>Julie bereitet sich darauf vor, ihren Mann Roger zu verlassen. Beim Anhören verschiedener Lieder erinnert sie sich an ihre Ehe: wie sie Roger kennen und lieben lernte, wie sich die Schwierigkeiten häuften, aber sich das Glück mit der Adoption der neu geborenen Trina doch auf ihre Seite zu schlagen schien. Nachdem Trina im Alter von nur sechs Jahren an einer mysteriösen Krankheit stirbt, scheint die Ehe nun völlig am Ende, doch da erhalten sie einen bedeutsamen Anruf...</t>
  </si>
  <si>
    <t>Berüchtigt</t>
  </si>
  <si>
    <t>Notorious</t>
  </si>
  <si>
    <t>Thriller, Liebesfilm, Mystery</t>
  </si>
  <si>
    <t>tt0038787</t>
  </si>
  <si>
    <t>Cary Grant, Ingrid Bergman, Claude Rains, Leopoldine Konstantin, Louis Calhern</t>
  </si>
  <si>
    <t>Die Tochter eines wegen Spionage für Nazi-Deutschland verurteilten Amerikaners lernt auf einer Party einen Agenten der Abwehr kennen und erklärt sich bereit, mit ihm zusammenzuarbeiten, um die ganze Verschwörergruppe, der ihr Vater angehörte, zu entlarven. Um den Auftrag erfolgreich zu Ende zu bringen, heiratet sie den Chef der Gruppe, der ihre wahre Identität jedoch bald entdeckt und daraufhin versucht, sie langsam zu vergiften.</t>
  </si>
  <si>
    <t>Cary Grant - Der smarte Gentleman aus Hollywood</t>
  </si>
  <si>
    <t>Dokumentarfilm</t>
  </si>
  <si>
    <t>Cary Grant, Jonathan Pryce, Judy Balaban, Mark Glancy, Barbara Jaynes</t>
  </si>
  <si>
    <t>Der große Wolf ruft</t>
  </si>
  <si>
    <t>Father Goose</t>
  </si>
  <si>
    <t>Abenteuer, Komödie, Liebesfilm</t>
  </si>
  <si>
    <t>tt0058092</t>
  </si>
  <si>
    <t>Cary Grant, Leslie Caron, Trevor Howard, Jack Good, Sharyl Locke</t>
  </si>
  <si>
    <t>Während des Zweiten Weltkriegs verbringt Walter Eckland sein Leben zufrieden als Strandgutsammler auf einer einsamen Insel in der Südsee. Er lässt sich von seinem Freund Frank, Offizier der australischen Marine dazu breitschlagen überfliegende japanische Flugzeuge zu überwachen - im Austausch für Alkohol. Jedoch bekommt er mehr als er erwartet hatte als ihm Lehrerin Catherine Frenau, auf der Flucht vor den Japanern mit samt ihren Schülerinnen im Schlepptau einen Besuch abstattet!</t>
  </si>
  <si>
    <t>Der unsichtbare Dritte</t>
  </si>
  <si>
    <t>North by Northwest</t>
  </si>
  <si>
    <t>Thriller, Abenteuer</t>
  </si>
  <si>
    <t>tt0053125</t>
  </si>
  <si>
    <t>Cary Grant, Eva Marie Saint, James Mason, Jessie Royce Landis, Leo G. Carroll</t>
  </si>
  <si>
    <t>Roger O. Thornhill, ein einfacher Werbefachmann, will nur eine Geschäftsbesprechung führen, als ihn zwei Männer mit einer Waffe bedrohen und ihn auf einem Landsitz entführen. Dort wird er von Philipp Vandamm zu Rede gestellt, der ihn fälschlicherweise für einen gewissen George Kaplan hält. Thornhill beteuert seine Unschuld, kann dann aber nur knapp einem Mordanschlag entgehen, weil er die geforderten Informationen nicht preisgeben konnte. Von der Polizei aufgegriffen, glauben diese ihm kein Wort seiner verrückten Geschichte. Doch Thornhill lässt sich nicht beirren und macht sich auf die Suche nach dem echten George Kaplan...</t>
  </si>
  <si>
    <t>Die grosse Liebe meines Lebens</t>
  </si>
  <si>
    <t>An Affair to Remember</t>
  </si>
  <si>
    <t>tt0050105</t>
  </si>
  <si>
    <t>Cary Grant, Deborah Kerr, Richard Denning, Neva Patterson, Cathleen Nesbitt</t>
  </si>
  <si>
    <t>US-amerikanischer Liebesfilms aus dem Jahr 1957 mit Cary Grant und Deborah Kerr, in der sich zwei Menschen in einem Flugzeug kennenlernen und verlieben. Doch beide sind bereits vergeben. So verabreden sie sich auf dem Empire State Building in New York City, um die Echtheit ihrer Gefühle zu überprüfen. Sechs Monate später, am ersehnten Tag stürzen beide zum Treffpunkt, doch ein tragischer Unfall verändert alles...</t>
  </si>
  <si>
    <t>Die Nacht vor der Hochzeit</t>
  </si>
  <si>
    <t>The Philadelphia Story</t>
  </si>
  <si>
    <t>tt0032904</t>
  </si>
  <si>
    <t>Cary Grant, Katharine Hepburn, James Stewart, Ruth Hussey, John Howard</t>
  </si>
  <si>
    <t>Die von allen vergötterte Tracy muss ihre Kräfte am zynischen Exmann, einem trinkenden Reporter und ihrem makellosen zukünftigen Ehemann messen.</t>
  </si>
  <si>
    <t>Du und keine andere</t>
  </si>
  <si>
    <t>Dream Wife</t>
  </si>
  <si>
    <t>tt0045706</t>
  </si>
  <si>
    <t>Cary Grant, Deborah Kerr, Walter Pidgeon, Betta St. John, Eduard Franz</t>
  </si>
  <si>
    <t>Clemsen Read ist ein sehr erfolgreicher Geschäftsmann und mit Priscilla "Effie" Effington verlobt._x000D_ Clem ist ein Macho, der seine Frau am liebsten zu Hause sieht, beschäftigt mit den drei "Ks": Küche, Kehren, Kinderkriegen. Effie hingegen entspricht so gar nicht seinem Ideal, sie ist eine emanzipierte Frau, von Beruf Öl-Managerin im State-Department.</t>
  </si>
  <si>
    <t>Hexenkessel</t>
  </si>
  <si>
    <t>Crisis</t>
  </si>
  <si>
    <t>Krimi, Drama, Thriller</t>
  </si>
  <si>
    <t>tt0042352</t>
  </si>
  <si>
    <t>Cary Grant, José Ferrer, Paula Raymond, Signe Hasso, Ramon Novarro</t>
  </si>
  <si>
    <t>Während eines Lateinamerika-Urlaubs geraten der Hirnchirurg Eugene Fergusson und seine Frau Helen in eine Revolte gegen den Diktator Farrago. Der leidet an einem Hirntumor und will Ferguson zwingen, ihn zu operieren. Rebellenführer Gonzales wiederum will ihn davon abhalten – und lässt, um Druck auszuüben, Helen entführen.</t>
  </si>
  <si>
    <t>Indiskret</t>
  </si>
  <si>
    <t>tt6536908</t>
  </si>
  <si>
    <t>Herbert Bötticher, Andrea Jonasson, Regine Lutz</t>
  </si>
  <si>
    <t>Reich, unabhängig und berühmt, wie es ihr als einem Star der Schauspielbühne zukommt, ist die charmante Anna Kalman. Trotz ihrer vielen Freunde und Bekannten ist sie unverheiratet. Da lernt sie Philip einen amerikanischen Diplomaten, kennen. Offensichtlich hat er nur eine Sorge, er weiß nicht, wie er sich am besten von seiner Frau scheiden lassen kann. Trotz moralischer Entrüstung verliebt sich Anna in Philip. Nichts kann ihr Glück trüben, wenn es da nicht einen indiskreten Blick in fremde Akten gäbe. So stellt sich heraus, daß Philip gar nicht verheiratet ist und Annas Zorn steigert sich ins schier Grenzenlose.</t>
  </si>
  <si>
    <t>Jede Frau braucht einen Engel</t>
  </si>
  <si>
    <t>The Bishop's Wife</t>
  </si>
  <si>
    <t>Komödie, Fantasy, Drama</t>
  </si>
  <si>
    <t>tt0039190</t>
  </si>
  <si>
    <t>Cary Grant, Loretta Young, David Niven, Monty Woolley, James Gleason</t>
  </si>
  <si>
    <t>Die Glöcklein klingen, die Jubelchöre singen und die Welt erstrahlt in Weihnachtsfreude wie in frisch gefallenem Schnee. Nur ausgerechnet im Hause von Bischof Henry Brougham hängt der Festtagssegen schief. Während der vielbeschäftigte junge Kirchmann nämlich das Geld für eine neue Kathedrale aufzutreiben versucht, hat er Julia, sein liebend’ Eheweib vernachlässigt. Diese Ehe kann nur noch das Walten Gottes retten! Doch der hilfreiche und gutaussehende Engel, den der große Boss zur Erde schickt, hat darüber seine ganz eigenen Vorstellungen. Er verpasst dem sterblichen Henry eine unsterbliche Lektion. Und seine romantischen Fähigkeiten sind längst nicht alles, was er auf Lager hat.</t>
  </si>
  <si>
    <t>Jedes Mädchen müsse heiraten</t>
  </si>
  <si>
    <t>Leoparden küßt man nicht</t>
  </si>
  <si>
    <t>Bringing Up Baby</t>
  </si>
  <si>
    <t>tt0029947</t>
  </si>
  <si>
    <t>Katharine Hepburn, Cary Grant, Charles Ruggles, Walter Catlett, Barry Fitzgerald</t>
  </si>
  <si>
    <t>Der verschroben vertrottelte Biologieprofessor David Huxley steht kurz vor seiner Hochzeit, als die junge Lebedame Susan Vance seinen Weg kreuzt und alle hochfliegenden Zukunftspläne im Keim erstickt. David fühlt sich nämlich verpflichtet, dem ebenso aufgeweckten wie rücksichtslosen Mädchen bei internen Familienproblemen sowie im Umgang mit einem ausgewachsenen Leoparden zur Seite zu stehen, wodurch die eigene Beziehung ebenso wie das berufliche Streben schwerwiegend in Mitleidenschaft gezogen werden.</t>
  </si>
  <si>
    <t>Liebling, ich werde jünger</t>
  </si>
  <si>
    <t>Monkey Business</t>
  </si>
  <si>
    <t>Komödie, Science Fiction</t>
  </si>
  <si>
    <t>tt0044916</t>
  </si>
  <si>
    <t>Cary Grant, Ginger Rogers, Charles Coburn, Marilyn Monroe, Hugh Marlowe</t>
  </si>
  <si>
    <t>Forschungschemiker Barnaby Fulton arbeitet an einem Verjüngungspille für ein Chemieunternehmen. Einer der Laborschimpansen bricht aus seinem Käfig aus und mischt Chemikalien, schüttet die Mischung dann aber in den Wasserkühler. Als Fulton eine seiner eigenen Muster probiert, die er mit Wasser aus dem Kühler heruntergespült hat, verhält er sich wie ein Zwanzigjähriger und glaubt, dass sein Trank wirkt. Bald benehmen sich auch seine Frau und sein Chef wie Kinder.</t>
  </si>
  <si>
    <t>Meine Lieblingsfrau</t>
  </si>
  <si>
    <t>My Favorite Wife</t>
  </si>
  <si>
    <t>tt0029284</t>
  </si>
  <si>
    <t>Irene Dunne, Cary Grant, Gail Patrick, Randolph Scott, Ann Shoemaker</t>
  </si>
  <si>
    <t>Ellen Arden war nach einem Schiffsunglück sieben Jahre verschollen. Jetzt kehrt sie überraschend zurück nach Amerika und zu ihrem Ehemann Nick Arden. Nick, der seine Frau für tot erklären ließ, hat gerade Bianca geheiratet, als er plötzlich vor der totgeglaubten Ellen steht. Nick versucht, mit der ungewohnten Situation zurechtzukommen, zumal er Ellen immer noch liebt. Dann stellt sich heraus, dass Ellen nicht, wie sie behauptete, allein auf der Tropeninsel war, sondern in Begleitung des sehr attraktiven und reichen Stephen Burkett, der ihr immer noch den Hof macht. Nach vielen Verwechslungen finden Ellen und Nick wieder zueinander.</t>
  </si>
  <si>
    <t>Nicht so schnell, mein Junge</t>
  </si>
  <si>
    <t>Walk Don't Run</t>
  </si>
  <si>
    <t>tt0061170</t>
  </si>
  <si>
    <t>Cary Grant, Samantha Eggar, Jim Hutton, John Standing, Miiko Taka</t>
  </si>
  <si>
    <t>Als der englische Industrielle Sir William Rutland auf einer Geschäftsreise in Tokio Station macht, findet er wegen der bevorstehenden Olympiade kein Hotelzimmer. Also überredet Rutland wortgewandt die schöne Christine ihn ein paar Tage in ihr Apartment aufzunehmen. Um die Situation weiter zu komplizieren, lädt Rutland außerdem Steve Davis, ein Mitglied des amerikanischen Olympia-Teams, ins Apartment ein. Drei sind eindeutig einer zuviel, doch Rutland sorgt mit viel Geschick dafür, dass Christine und Steve sich immer näher kommen - sehr zum Missfallen von Christines Verlobten. Wird es Rutland gelingen, seine Mitbewohner vor den Traualtar zu bringen? Wohl nur, wenn er die vielen unterhaltsamen Komplikationen, die sich ihm in den Weg stellen, zu lösen versteht!</t>
  </si>
  <si>
    <t>Nur dem Namen nach</t>
  </si>
  <si>
    <t>In Name Only</t>
  </si>
  <si>
    <t>tt0031477</t>
  </si>
  <si>
    <t>Cary Grant, Carole Lombard, Kay Francis, Charles Coburn, Helen Vinson</t>
  </si>
  <si>
    <t>Millionär Alec ist mit seiner Ehe nicht gerade zufrieden, denn seine Frau Maida hat ihn nur seines Geldes wegen geheiratet und stürzt ihn mit ihrer Distanziertheit und Kälte nach und nach in die Trunksucht. Erst als Alec die Künstlerin Julie Eden kennen lernt, erwacht in ihm wieder neuer Lebensmut. Doch Maida ist ganz und gar nicht gewillt, sich so einfach abschieben zu lassen...</t>
  </si>
  <si>
    <t>Nur meiner Frau zuliebe</t>
  </si>
  <si>
    <t>Mr. Blandings Builds His Dream House</t>
  </si>
  <si>
    <t>Komödie</t>
  </si>
  <si>
    <t>tt0040613</t>
  </si>
  <si>
    <t>Cary Grant, Myrna Loy, Melvyn Douglas, Reginald Denny, Sharyn Moffett</t>
  </si>
  <si>
    <t>Jim Blandings und seine Frau Muriel wohnen beengt in Manhattan und fassen deshalb den Entschluss, einen alten Bauernhof auf dem Land zu kaufen. Doch das baufällige Anwesen ist nicht zu retten – ein neues Haus muss gebaut werden. Ein groteskes Bauabenteuer mit allen denkbaren Hindernissen beginnt.</t>
  </si>
  <si>
    <t>Pinky und Curly</t>
  </si>
  <si>
    <t>Once Upon a Time</t>
  </si>
  <si>
    <t>Familie, Fantasy, Komödie</t>
  </si>
  <si>
    <t>tt0037150</t>
  </si>
  <si>
    <t>Cary Grant, Janet Blair, James Gleason, Ted Donaldson, William Demarest</t>
  </si>
  <si>
    <t>Ein Theatermanager kurz vor der Pleite nimmt einen jungen Burschen unter Vertrag, in dessen Besitz eine Raupe ist, die zu einem bestimmten Lied tanzen kann. Durch eine Radiomeldung werden die drei über Nacht zu Berühmtheiten. Doch wenig später ist die Raupe verschwunden, der Traum vom großen Geld ausgeträumt. Einige Zeit später flattert dem Manager ein Schmetterling zu, der im Rhythmus des Liedes die Flügel bewegt.</t>
  </si>
  <si>
    <t>S.O.S. Feuer an Bord</t>
  </si>
  <si>
    <t>Only Angels Have Wings</t>
  </si>
  <si>
    <t>Liebesfilm, Abenteuer, Drama</t>
  </si>
  <si>
    <t>tt0031762</t>
  </si>
  <si>
    <t>Cary Grant, Jean Arthur, Thomas Mitchell, Richard Barthelmess, Rita Hayworth</t>
  </si>
  <si>
    <t>Irgendwo in Südamerika, im fiktiven Küstenstädtchen Baranca, lebt eine harte Gruppe flugbegeisterter Männer, die ihren Lebensunterhalt tagtäglich unter vollem Lebenseinsatz verdienen. Sie liefern Post aus, befördern Nitroglycerin und auch mal einen Doktor, wenn der Notfall es erfordert. Hier strandet Bonnie, Künstlerin aus Brooklyn. Sie ist von dem gutaussehenden, jedoch kalten und zynischen Geoff so sehr angetan, dass sie ihren Aufenthalt auf eine Woche verlängert.</t>
  </si>
  <si>
    <t>Sein Mädchen für besondere Fälle</t>
  </si>
  <si>
    <t>His Girl Friday</t>
  </si>
  <si>
    <t>tt0032599</t>
  </si>
  <si>
    <t>Rosalind Russell, Cary Grant, Ralph Bellamy, Gene Lockhart, Clarence Kolb</t>
  </si>
  <si>
    <t>Als Chefredakteur Walter Burns erfährt, dass seine beste Autorin und Ex-Frau Hildy Johnson, ihren Job hinschmeißen will, um mit dem Versicherungsvertreter Bruce Baldwin glücklich zu werden, setzt er alle Hebel in Bewegung um den Verlust abzuwenden. Um sie bei der Stange zu halten bietet er ihr schließlich eine Story über den Mörder Earl Williams und den unbeholfenen Sheriff Hartwell an.</t>
  </si>
  <si>
    <t>So einfach ist die Liebe nicht</t>
  </si>
  <si>
    <t>The Bachelor and the Bobby-Soxer</t>
  </si>
  <si>
    <t>tt0039169</t>
  </si>
  <si>
    <t>Cary Grant, Myrna Loy, Shirley Temple, Rudy Vallee, Ray Collins</t>
  </si>
  <si>
    <t>Die Handlung dreht sich um den Playboy und Künstler Richard Nugent, der von Susan Turner, einer Teenagerin, die sich in ihn verschossen hat, verfolgt wird. Sie schafft es sogar in seine Wohnung, wo sie Model stehen will, allerdings von ihrer Schwester Margaret Turner, einer Richterin, auf die Richard ein Auge geworfen hat, entdeckt wird. Margaret drängt ihn dazu, so lange mit Susan auszugehen, bis sie selbst das Interesse an dem doppelt so alten Mann verliert.</t>
  </si>
  <si>
    <t>Tag und Nacht denk' ich an dich</t>
  </si>
  <si>
    <t>Night and Day</t>
  </si>
  <si>
    <t>Drama, Musik</t>
  </si>
  <si>
    <t>tt0038776</t>
  </si>
  <si>
    <t>Cary Grant, Alexis Smith, Monty Woolley, Ginny Simms, Jane Wyman</t>
  </si>
  <si>
    <t>Schon in jungen Jahren fühlt sich Cole Porter zur Musik und zum Theater hingezogen. Professor Monty Woolley, dessen Theaterkurs er besucht, unterstützt ihn in seinem Entschluss, das begonnene Jura-Studium an der Yale University abzubrechen. Als Cole sein erstes Musical schreibt, verschafft ihm Monty eine Chance zur Aufführung. Doch das Stück fällt bei der Premiere durch.  Enttäuscht über diesen Misserfolg zieht Cole 1914 als Freiwilliger der französischen Armee in den Ersten Weltkrieg und wird verletzt. In einem Lazarett trifft er seine Freundin Linda Lee wieder, die dort als Krankenschwester arbeitet. Um Cole wieder schnell auf die Beine zu bringen, besorgt sie ein Klavier, an dem Cole daraufhin einen seiner größten Hits schreibt: Night and Day. Linda schlägt ihm schließlich vor, mit ihr in ihrer Villa an der Riviera zu leben. Doch obwohl sich Cole inzwischen in Linda verliebt hat, will er sich nicht von ihr aushalten lassen, sondern in Amerika sein eigenes Geld verdienen.</t>
  </si>
  <si>
    <t>Unternehmen Petticoat</t>
  </si>
  <si>
    <t>Operation Petticoat</t>
  </si>
  <si>
    <t>Komödie, Kriegsfilm, Liebesfilm</t>
  </si>
  <si>
    <t>tt0053143</t>
  </si>
  <si>
    <t>Cary Grant, Tony Curtis, Joan O'Brien, Dina Merrill, Gene Evans</t>
  </si>
  <si>
    <t>Commander Matt Sherman hat es gerade geschafft, seine Vorgesetzten zu überzeugen, dass es gut ist, wenn er noch einmal Zeit bekommt, sein U-Boot zu reparieren. Endlich hat er die Ersatzteile aufgetrieben, da wird sein U-Boot von Flugzeugen beschossen. Der „Seetiger“ beginnt eine lustige Fluchtfahrt durch den Ozean. Und ganz unerwartet müssen nun auch die Damen mitfahren, die gerade an Bord sind.</t>
  </si>
  <si>
    <t>Verdacht</t>
  </si>
  <si>
    <t>'El Chicko' - der Verdacht</t>
  </si>
  <si>
    <t>★</t>
  </si>
  <si>
    <t>tt0112240</t>
  </si>
  <si>
    <t>Fritz Karl, André Pohl, Eva Herzig</t>
  </si>
  <si>
    <t>Johnny Aysgarth ist ein attraktiver Spieler und Playboy, der sich unter anderem dadurch über Wasser hält, dass er ständig seine Freunde anpumpt. Beim Versuch, mit einem Dritte-Klasse-Ticket in der ersten Zugklasse zu reisen, lernt er die schüchterne Lina McLaidlaw kennen, eine zukünftige Millionenerbin. Sie verliebt sich in ihn und heiratet ihn schließlich gegen den Willen ihrer Eltern. Während der Hochzeitsreise entdeckt Lina Aysgarths wahren Charakter und hat einen bösen Verdacht, als Johnnys Freund und Geschäftspartner Beaky auf mysteriöse Weise ermordet wird.</t>
  </si>
  <si>
    <t>Vor Hausfreunden wird gewarnt</t>
  </si>
  <si>
    <t>The Grass Is Greener</t>
  </si>
  <si>
    <t>GB</t>
  </si>
  <si>
    <t>tt0053877</t>
  </si>
  <si>
    <t>Cary Grant, Deborah Kerr, Robert Mitchum, Jean Simmons, Moray Watson</t>
  </si>
  <si>
    <t>Um ihre der englischen Grundsteuer wegen schwindenden Finanzen aufzubessern, beschließen Schlossherr Victor Rhyall und seine Ehefrau Hilary, das Anwesen zahlenden Touristen zu öffnen. Als der amerikanische Ölmillionär Charles Deacro sich in Hilary verliebt und sie in ihn, hat Victor alle Hände voll zu tun, die Gattin wieder für sich zu gewinnen. Er toleriert ihren Seitensprung, um sie gerade dadurch und seine scheinbare Nonchalance zur Umkehr zu bewegen. Der Millionär räumt das Feld.</t>
  </si>
  <si>
    <t>Charles Laughton</t>
  </si>
  <si>
    <t>Family</t>
  </si>
  <si>
    <t>tt13857600</t>
  </si>
  <si>
    <t>Geheimaktion Carlotta</t>
  </si>
  <si>
    <t>The Bribe</t>
  </si>
  <si>
    <t>tt0041207</t>
  </si>
  <si>
    <t>Robert Taylor, Ava Gardner, Charles Laughton, Vincent Price, John Hodiak</t>
  </si>
  <si>
    <t>Der Ermittler Rigby wird von der US-Regierung nach Los Trancos auf der fiktiven Karibik-Insel Carlotta geschickt, um den Schmuggel mit überzähligem Kriegsmaterial zu unterbinden. Dort verliebt er sich in die Barsängerin Elizabeth Hilton, die Gattin des Verdächtigen Tug Hilton. Carwood, der Kopf des Schmugglerrings, versucht erfolglos, Rigby umzubringen; dagegen gelingt es Bealer, Ribgy und Elizabeth gegeneinander auszuspielen. Während eines Feuerwerks kann Rigby Carwood stellen.</t>
  </si>
  <si>
    <t>The Old Dark House</t>
  </si>
  <si>
    <t>tt0023293</t>
  </si>
  <si>
    <t>Boris Karloff, Melvyn Douglas, Charles Laughton</t>
  </si>
  <si>
    <t>In einer abgelegenen Region von Wales finden fünf Reisende, die von einem unerbittlichen Sturm heimgesucht werden, Schutz in einem alten Herrenhaus.</t>
  </si>
  <si>
    <t>Unter Verdacht</t>
  </si>
  <si>
    <t>Ein Mann unter Verdacht</t>
  </si>
  <si>
    <t>tt5790504</t>
  </si>
  <si>
    <t>Mark Waschke, Petra Schmidt-Schaller, Peter Kurth</t>
  </si>
  <si>
    <t>Ein Mann bringt in einem Verzweiflungsakt seine ihn peinigende Ehefrau um und gerät in die Zwangslage, auch noch einen Erpresser aus dem Weg räumen zu müssen. Sein neues Eheglück mit einer sanfteren Frau ist nur von kurzer Dauer.</t>
  </si>
  <si>
    <t>Zeugin der Anklage</t>
  </si>
  <si>
    <t>Witness for the Prosecution</t>
  </si>
  <si>
    <t>Drama, Mystery, Krimi</t>
  </si>
  <si>
    <t>tt0051201</t>
  </si>
  <si>
    <t>Tyrone Power, Marlene Dietrich, Charles Laughton, Elsa Lanchester, John Williams</t>
  </si>
  <si>
    <t>Eigentlich ist Sir Wilfrid Robarts gesundheitlich noch gar nicht imstande, Leonard Vole vor einem Londoner Schwurgericht zu verteidigen. Aber der berühmte Anwalt kann dem Reiz des Falls nicht widerstehen: Leonard Vole wird beschuldigt, sich aus Habgier an die reiche Witwe Emily French herangemacht und sie ermordet zu haben. Und ausgerechnet Voles Frau Christine tritt als Zeugin der Anklage auf.</t>
  </si>
  <si>
    <t>Curd Jürgens</t>
  </si>
  <si>
    <t>tt1512891</t>
  </si>
  <si>
    <t>Senta Berger, Bela Ernyey, Dietlindt Haug</t>
  </si>
  <si>
    <t>Ein Dokumentation von Bernhard Wicki über Curd Jürgens</t>
  </si>
  <si>
    <t>Alles für Papa</t>
  </si>
  <si>
    <t>tt0045497</t>
  </si>
  <si>
    <t>Johanna Matz, Curd Jürgens, Peer Schmidt</t>
  </si>
  <si>
    <t>Komödie über eine Tochter, die für ihren verwitweten Vater eine neue Ehefrau sucht</t>
  </si>
  <si>
    <t>Der längste Tag</t>
  </si>
  <si>
    <t>The Longest Day</t>
  </si>
  <si>
    <t>Kriegsfilm, Action, Drama</t>
  </si>
  <si>
    <t>tt0056197</t>
  </si>
  <si>
    <t>John Wayne, Robert Mitchum, Henry Fonda, Richard Burton, Sean Connery</t>
  </si>
  <si>
    <t>1944, der Höhepunkt des Zweiten Weltkriegs. Seit Jahren forderte die UdSSR eine Invasion der Alliierten, um die deutsche Schreckensherrschaft zu beenden. Jedoch schlug bereits 1942 eine Invasion fehl. Nun wollen die Amerikaner mit Tausenden von Schiffen in der Normandie landen. Am 6. Juni ist es soweit, der „längste Tag“ hat begonnen. Beteiligt an der Attacke waren 3.000.000 Männer, 11.000 Flugzeuge und 4.000 Schiffe, die die gigantischste Armee bildeten, die es je gab. – Legendäre Stars in einem aufwändigen, Oscar-gekrönten Kriegsfilm, der auf genaue Rekonstruktion und Detailtreue setzt.</t>
  </si>
  <si>
    <t>Der letzte Walzer</t>
  </si>
  <si>
    <t>Drama, Romance</t>
  </si>
  <si>
    <t>tt0317873</t>
  </si>
  <si>
    <t>Liane Haid, Willy Fritsch, Suzy Vernon</t>
  </si>
  <si>
    <t>Die russische Sängerin und Tänzerin Vera Opalinska tritt im Paris der 20er Jahre als Arlette auf und ist dort ein Star. Als nächstes steht eine USA-Tournee an. Nach einer letzten gefeierten Show soll der Vertrag unterschrieben werden. Während der Verhandlungen erkundigt sich der neue PR-Agent nach ihrer Biografie. Dabei erinnert sich Vera an die Liebe ihres Lebens, die sie seit Jahren sucht. Sie erzählt ihm von der Begegnung mit dem mutigen Rittmeister Dimitri im Sommer 1914. Er hat sie auf einem Ball in Warschau aus einer prekären Situation gerettet. Der russische Prinz Paul machte ihr Avancen und bedrängte sie in einem Privatsalon. Als Dimitri einschreitet, lässt Prinz Paul, der Onkel des Kaisers von Russland, ihn verhaften und einsperren.</t>
  </si>
  <si>
    <t>Der schwarze Freitag</t>
  </si>
  <si>
    <t>Drama, History</t>
  </si>
  <si>
    <t>tt0271164</t>
  </si>
  <si>
    <t>Curd Jürgens, Paul Hoffmann, Hermann Lenschau</t>
  </si>
  <si>
    <t>Im Jahr 1929 begann mit dem sogenannten „Schwarzen Freitag“, die Weltwirtschaftskrise. Die Aktienkurse an den Börsen fielen ins Bodenlose. Und zunächst waren es die Börsenmakler, die ihre Arbeit verloren. Doch bald darauf rollte eine Entlassungswelle durch die Handelsunternehmen und Fabriken der Welt. So mussten die tätigen Arbeiter und Angestellten zusehen, wie ihre Arbeitsplätze verloren gingen. Insbesondere in Deutschland fühlten sich viele Menschen vom Staat im Stich gelassen und begannen, sich für politisch radikale Ideen zu begeistern.</t>
  </si>
  <si>
    <t>Die Herberge zur 6. Glückseligkeit</t>
  </si>
  <si>
    <t>The Inn of the Sixth Happiness</t>
  </si>
  <si>
    <t>Kriegsfilm, Drama</t>
  </si>
  <si>
    <t>tt0051776</t>
  </si>
  <si>
    <t>Ingrid Bergman, Curd Jürgens, Burt Kwouk, Robert Donat, Tsai Chin</t>
  </si>
  <si>
    <t>1930 beschließt die junge Engländerin Gladys Aylward als Missionarin in die chinesische Stadt Yangcheng zu gehen. Sie fühlt sich dazu berufen, den Armen und Kranken das Leben zu erleichtern. In China angekommen, muss sie viele Enttäuschungen hinnehmen, da sie als Engländerin von den Chinesen nicht akzeptiert wird. Doch sie gibt nicht auf! Im Laufe der Zeit gewinnt sie nicht nur die Freundschaft der Bewohner von Yangcheng, sondern auch den Respekt des erhabenen Mandarins. Durch ihn lernt sie den eurasischen General Lin Nan kennen, in den sie sich unsterblich verliebt. Doch ihr Glück hält nicht lange an, feindliche, japanische Truppen fallen in China ein. Statt tatenlos zuzusehen, beschließt sie mit einer Gruppe von Kindern das feindliche Gebiet zu durchqueren. Die Sicherheit der Kinder ist ihr wichtiger als ihr eigenes Leben!</t>
  </si>
  <si>
    <t>Gustav Adolfs Page</t>
  </si>
  <si>
    <t>Austria, West Germany</t>
  </si>
  <si>
    <t>Drama, Romance, War</t>
  </si>
  <si>
    <t>tt0053885</t>
  </si>
  <si>
    <t>Liselotte Pulver, Curd Jürgens, Ellen Schwiers</t>
  </si>
  <si>
    <t>Deutschland 1631. Die junge, burschikose Gustl lebt seit dem Tod ihres Vaters bei ihrem Onkel in Nürnberg. Seit ihrer Kindheit interessiert sie sich weniger für Haushalt und Küche als vielmehr für wilde Ausritte und Abenteuer. Als eines Tages Gustls großes Idol, der Schwedenkönig Gustav Adolf, Nürnberg besucht, verkleidet Gustl sich als Junge und nimmt eine Stelle als Page des gastierenden Königs an. Dann aber entdecken Adolfs Feinde das Rollenspiel und nutzen ihr Wissen für eine Intrige, um den König zu Fall zu bringen.</t>
  </si>
  <si>
    <t>Im Rausch der Sinne</t>
  </si>
  <si>
    <t>Fieras sin jaula</t>
  </si>
  <si>
    <t>IT, ES</t>
  </si>
  <si>
    <t>Drama, Thriller, Horror</t>
  </si>
  <si>
    <t>tt0067095</t>
  </si>
  <si>
    <t>Juan Luis Galiardo, Curd Jürgens, Rosalba Neri, Emma Cohen, Manolo Otero</t>
  </si>
  <si>
    <t>Obwohl die junge Alexa den fast 30 Jahre älteren Bankier Ronald geheiratet hat, lacht sie sich junge potente Männer für außereheliche Treffen an, die sie obendrein mit seinem Geld finanziert. Catalina, die Tochter von Ronald, riecht Lunte und versucht ihren Vater von der Falschheit seiner jungen Frau Alexa vergeblich zu überzeugen. Als Alexa mit ihrem neuen Liebhaber in einer einsam Villa an der Meeresküste die Nacht verbringt, entsteht eine lebensbedrohliche Situation. Der Rausch der Sinne wird zum Todesrausch, der nur von den Wellen der einsamen Meeresküste übertönt wird!</t>
  </si>
  <si>
    <t>Lord Jim</t>
  </si>
  <si>
    <t>tt0059399</t>
  </si>
  <si>
    <t>Peter O'Toole, James Mason, Curd Jürgens</t>
  </si>
  <si>
    <t>Feigheit und Schmach: Marineoffizier Jim ließ einst ein havariertes Schiff mit 900 Passagieren im Stich. Seitdem ist sein Leben zerstört. Verwahrlost zieht er durch die Häfen am indischen Ozean. Dann bekommt er eine zweite Chance: Jim soll Waffen an ein Dschungeldorf liefern, das vom habgierigen "General" drangsaliert wird. Ein Himmelfahrtskommando, aber was hat Jim schon zu verlieren? Die Mission glückt, und der Seemann wird mitten im Urwald heimisch. Sein Trauma holt ihn ein, als der Schurke Brown zusammen mit dem Alkoholiker Cornelius das Dorf ausraubt…</t>
  </si>
  <si>
    <t>Millionen nach Maß</t>
  </si>
  <si>
    <t>Mörder GmbH</t>
  </si>
  <si>
    <t>The Assassination Bureau</t>
  </si>
  <si>
    <t>Komödie, Krimi, Abenteuer</t>
  </si>
  <si>
    <t>tt0064045</t>
  </si>
  <si>
    <t>Oliver Reed, Diana Rigg, Telly Savalas, Curd Jürgens, Philippe Noiret</t>
  </si>
  <si>
    <t>Die Handlung dreht sich um eine Firma, die schon seit vielen Jahren für Geld Menschen, die es ihrer Meinung nach verdient haben, tötet. Eine Journalistin glaubt nicht an die moralischen Grundsätze und bestellt bei dem Mann, der ihrer Meinung nach der Chef der Firma ist, dessen Tod. Doch der hat gute Gründe, den Auftrag anzunehmen, denn er ist in Wirklichkeit nur der Zweite in der Befehlskette.</t>
  </si>
  <si>
    <t>Spione am Werk</t>
  </si>
  <si>
    <t>Les Espions</t>
  </si>
  <si>
    <t>tt0050367</t>
  </si>
  <si>
    <t>Curd Jürgens, Peter Ustinov, O.E. Hasse, Sam Jaffe, Paul Carpenter</t>
  </si>
  <si>
    <t>In der psychiatrischen Klinik von Dr. Malic, der nur zwei Patienten beherbergt und vor dem Ruin steht, entbrennt der Kampf westlicher und östlicher Geheimdienste. Malic nimmt das Angebot des Engländers Colonel Howard an, einen gewissen Monsieur Alex zu beherbergen. Alex ist Agent, der für die CIA arbeitet und den Nuklearwissenschaftler Professor Vogel, der die "Billigpreisatombombe" erfunden hat, ersetzen soll. Seltsame Besucher tauchen in der Klinik auf. Als Alex verschwindet, legen die Geheimdienste Hand an Vogel...</t>
  </si>
  <si>
    <t>Teufel in Seide</t>
  </si>
  <si>
    <t>tt0049840</t>
  </si>
  <si>
    <t>Lilli Palmer, Curd Jürgens, Winnie Markus</t>
  </si>
  <si>
    <t>Teufel in Seide ist ein deutsches Filmdrama aus dem Jahr 1956</t>
  </si>
  <si>
    <t>Wie bitte werde ich ein Held</t>
  </si>
  <si>
    <t>À la guerre comme à la guerre</t>
  </si>
  <si>
    <t>DE, FR, IT</t>
  </si>
  <si>
    <t>tt0067166</t>
  </si>
  <si>
    <t>Leonard Whiting, Curd Jürgens, Herbert Fux, Kurt Heintel, Simone Rethel</t>
  </si>
  <si>
    <t>Französische Filmkomödie</t>
  </si>
  <si>
    <t>Dennis Quaid</t>
  </si>
  <si>
    <t>2024–</t>
  </si>
  <si>
    <t>Bluemiracle</t>
  </si>
  <si>
    <t>Born a Champion</t>
  </si>
  <si>
    <t>Action, Drama, Sport</t>
  </si>
  <si>
    <t>tt10661710</t>
  </si>
  <si>
    <t>Courtney Hope Turner, Maurice Compte, Sean Patrick Flanery</t>
  </si>
  <si>
    <t>Nach einer brutalen Niederlage bei einem Match gegen den Mixed-Martial-Arts-Fighter Blaine zieht sich die Kampfsportlegende Mickey Kelley aus dem aktiven Wettkampfgeschäft zurück und baut sich in Los Angeles ein neues Leben als Familienvater auf. Damit überlässt er dem skrupellosen Blaine das Feld, der schon bald zum Megastar der Ultimate-Fighting-Szene aufsteigt. Doch als Jahre später im Internet ein Video auftaucht, das beweist, dass Kelley bei seinem Match gegen Blaine um den Sieg betrogen worden ist, verlangen die Fans ein Rematch. Kelley muss sich entscheiden, ob er noch einmal in den Ring steigt und bereit ist, alles zu riskieren, um den Platz an der Spitze einzunehmen...</t>
  </si>
  <si>
    <t>Grüße aus Hollywood</t>
  </si>
  <si>
    <t>Postcards from the Edge</t>
  </si>
  <si>
    <t>tt0100395</t>
  </si>
  <si>
    <t>Meryl Streep, Shirley MacLaine, Dennis Quaid, Gene Hackman, Richard Dreyfuss</t>
  </si>
  <si>
    <t>Die Schauspielerin Suzanne Vale ist nicht nur selbst ein Star, sie ist auch Tochter eines Stars, der Musical-Königin Doris Mann. Was die Sache nicht ganz einfach macht. Denn wenn Hollywoods Lieblinge zu Hause aufeinanderprallen, geht’s ab wie auf der Leinwand - komisch, spannend, aber vor allem herzzerreißend. Als Suzanne nach einer Überdosis Tabletten aus ihrer Traumwelt erwacht, sucht sie sich erstmals eine Managerin. Mama steht schon bereit ...</t>
  </si>
  <si>
    <t>Suspect – Unter Verdacht</t>
  </si>
  <si>
    <t>Suspect</t>
  </si>
  <si>
    <t>tt0094082</t>
  </si>
  <si>
    <t>Cher, Dennis Quaid, Liam Neeson, John Mahoney, Joe Mantegna</t>
  </si>
  <si>
    <t>Als an einem Flußufer die Leiche einer junge Frau aufgefunden wird, steht der Obdachlose Carl Anderson unter Verdacht. Er soll die Sekretärin ermordet haben, nachdem ihr Chef - ein Richter - Selbstmord begangen hat. Für die Gerichtsverhandlung wird Anderson die Pflichtverteidigerin Kathleen Riley bestellt, die von seiner Unschuld überzeugt ist. Zusammen mit dem Geschworenen Eddie Sanger versucht sie die Wahrheit herauszufinden. Eigentlich darf der Geschworene keinen Kontakt zur Anwältin aufnehmen, lässt ihr aber dennoch einen wichtigen Hinweis zukommen. Schon bald entpuppt sich der Fall als brisanter als vermutet: Die Spur des Mörders führt bis an die Spitze der Regierung...</t>
  </si>
  <si>
    <t>Switchback – Gnadenlose Flucht</t>
  </si>
  <si>
    <t>Switchback</t>
  </si>
  <si>
    <t>tt0119210</t>
  </si>
  <si>
    <t>Dennis Quaid, Danny Glover, R. Lee Ermey, Jared Leto, Ted Levine</t>
  </si>
  <si>
    <t>Seit die Babysitterin von FBI-Agent LaCrosse und seiner Frau vor über einem Jahr einem dämonischen Serienkiller zum Opfer fiel und sein Sohn gekidnappt wurde, widmet sich LaCrosse mit jeder Faser seines Körpers der Jagd nach dem Ungeheuer. Längst gibt ihm seine Behörde keine Rückendeckung mehr; ein abgebrühter Südstaaten-Sheriff ist sein letzter Verbündeter. Die Spur im verschneiten Bergland der Rocky Mountains führt zu einem altgedienten Trucker und einem harmlosen Studenten, der sich als Anhalter an der Westküste durch kämpft. Einer von beiden muss der Mörder sein und das Versteck von LaCrosses Sohn kennen - doch wer?</t>
  </si>
  <si>
    <t>Undercover Blues – Ein absolut cooles Trio</t>
  </si>
  <si>
    <t>Undercover Blues</t>
  </si>
  <si>
    <t>tt0108442</t>
  </si>
  <si>
    <t>Kathleen Turner, Dennis Quaid, Fiona Shaw, Stanley Tucci, Obba Babatundé</t>
  </si>
  <si>
    <t>Nick und Nora Charles arbeiten als CIA-Geheimagenten für die Regierung. Wegen ihres neugeborenen Kindes möchten sich die beiden eine Auszeit gönnen und fahren zusammen nach New Orleans, um dort Urlaub zu machen. Doch dort finden sie alles andere als Ruhe. Zuerst wird Nick von einer Bande von Räubern auf der Straße angegriffen, während er mit seinem Sohn einen Spaziergang macht. Nick kann sich gegen sie mit Erfolg wehren, doch einer der bösen Jungs, Muerte, schwört dem Agenten daraufhin Rache. Doch Muerte ist nicht der einzige Unruhestifter. Denn mit Novacek hat das Pärchen auch noch eine ehemalige tschechische Agentin am Hals. Diese sollen sie nämlich gefangen nehmen, bevor sie sich illegalen Sprengstoff von einem New Orleaner Verräter besorgen kann.</t>
  </si>
  <si>
    <t>Vier irre Typen – Wir schaffen alle, uns schafft keiner</t>
  </si>
  <si>
    <t>Breaking Away</t>
  </si>
  <si>
    <t>tt0078902</t>
  </si>
  <si>
    <t>Dennis Christopher, Dennis Quaid, Daniel Stern, Jackie Earle Haley, Barbara Barrie</t>
  </si>
  <si>
    <t>Der Film handelt von den vier jungen Männern Dave, Mike, Cyril und Moocher, die gerade die Highschool abgeschlossen haben und große Fans eines italienischen Radrennteams sind. Sie wollen ihren Vorbildern nacheifern und nehmen aus diesem Grund sogar die italienische Lebensweise an. Aber sie trainieren auch hart, und schonbald zeigen sich in ihrem...</t>
  </si>
  <si>
    <t>Denzel Washington</t>
  </si>
  <si>
    <t>Denzel Washington, un modèle américain</t>
  </si>
  <si>
    <t>France, Switzerland, Poland, Canada</t>
  </si>
  <si>
    <t>tt22898590</t>
  </si>
  <si>
    <t>Denzel Washington, Adama Diop, Spike Lee</t>
  </si>
  <si>
    <t>Als "Sexiest Man Alive 1996", zweifacher Oscar-Preisträger und mehrfacher Golden-Globe-Preisträger ist klar: Denzel Washington hat es bis an die Spitze Hollywoods geschafft. Heute gilt er mit Samuel L. Jackson und Will Smith als einer der erfolgreichsten afroamerikanischen Schauspieler. Seine Leinwandpräsenz in den vergangenen 40 Jahren veränderte das Selbstbild Amerikas nachhaltig.</t>
  </si>
  <si>
    <t>Philadelphia</t>
  </si>
  <si>
    <t>tt0107818</t>
  </si>
  <si>
    <t>Tom Hanks, Denzel Washington, Roberta Maxwell</t>
  </si>
  <si>
    <t>Angeblich soll er die Akte in einem wichtigen Fall verschlampt haben. Doch der junge Anwalt Andrew Beckett kennt den wahren Grund für seine Kündigung: Er ist homosexuell und mit dem Aids-Virus infiziert. Als die Krankheit ausbricht, lässt ihn Kanzlei-Chef Wheeler, früher sein Förderer, fallen. Andrew kann das nicht akzeptieren – er beginnt zu kämpfen. Zusammen mit dem einzigen mutigen Anwalt der Stadt verklagt er seinen Arbeitgeber. Der Prozess sorgt schnell für schockierende Schlagzeilen.</t>
  </si>
  <si>
    <t>The Equalizer</t>
  </si>
  <si>
    <t>tt0455944</t>
  </si>
  <si>
    <t>Denzel Washington, Marton Csokas, Chloë Grace Moretz</t>
  </si>
  <si>
    <t>Robert McCall führt als Angestellter in einem Baumarkt ein unscheinbares Leben. Was niemand weiß und wissen soll: McCall ist ein ehemaliger Agent eines Spezialkommandos, hatte seinen eigenen Tod vorgetäuscht und versucht nun, seine neue Identität und sein relativ friedliches Leben in Boston vor den Schatten der Vergangenheit zu schützen. Doch seine zurückgezogene Lebensweise, Ernsthaftigkeit und Liebe zur Gerechtigkeit machen ihn zu einem ausgezeichneten Ermittler - und so kommt es, wie es kommen muss: Die junge Prostituierte Teri wird von Gangstern bedroht, sie bedarf der Rettung durch McCalls kampfgeschulte Hände. Seine Tarnung droht aufzufliegen, aber er wäre nicht der Equalizer, wenn er kneifen würde.</t>
  </si>
  <si>
    <t>The Equalizer 2</t>
  </si>
  <si>
    <t>Action, Crime, Mystery</t>
  </si>
  <si>
    <t>tt3766354</t>
  </si>
  <si>
    <t>Denzel Washington, Pedro Pascal, Ashton Sanders</t>
  </si>
  <si>
    <t>Robert McCall, seines Zeichens Ex-Special-Agent eines Undercover-Kommandos, hat bereits in der Vergangenheit seinen eigentlich wohlverdienten Ruhestand verlassen, um einer jungen Prostituierten zur Seite zu stehen, weil diese Hilfe benötigte. Er erkennt nun, dass es für einen Mann seines Kalibers und seiner Fähigkeiten keinen Ruhestand gibt. Und so zieht er erneut für die Schwachen und gegen die Starken in den Kampf, um als Equalizer, als „Gleichgewichtsbringer“, für Gerechtigkeit zu sorgen.</t>
  </si>
  <si>
    <t>Doris Day und Rock Hudson</t>
  </si>
  <si>
    <t>April in Paris</t>
  </si>
  <si>
    <t>Comedy, Musical, Romance</t>
  </si>
  <si>
    <t>tt0044370</t>
  </si>
  <si>
    <t>Doris Day, Ray Bolger, Claude Dauphin</t>
  </si>
  <si>
    <t>Der Diplomat Winthrop Putnam versendet aus Versehen zwei Briefe an zwei falsche Adressaten. So erhält die Revuetänzerin Ethel „Dynamite“ Jackson eine Einladung als Delegierte von Amerika, zur Teilnahme an einem Kunstfestival in Paris. Als die Presse davon erfährt, wird dies zur großen Story. Ethel darf aufgrund der Einladung mit Putnam und weiteren Vertretern der Vereinigten Staaten die Schiffsreise nach Paris machen. Für Jackson ist die Fahrt alles andere als ein Vergnügen, da das Treffen der Delegierten sehr steif ist. Sie freundet sich mit dem Franzosen François an, der während der Überfahrt als Steward sein Geld verdient. Am letzten Abend bietet sich François als Abendbegleitung von Jackson an, aber auch Putnam will ihr dieses Anliegen unterbreiten, da er von ihr fasziniert ist.</t>
  </si>
  <si>
    <t>Babys auf Bestellung</t>
  </si>
  <si>
    <t>Anlässlich des fünften Hochzeitstags beschließt das bisher kinderlos gebliebene Ehepaar Augie und Isolde Poole, ein Baby zu adoptieren. Während sie auf die Vermittlung eines Babys durch die Adoptionsstelle warten, versucht Isolde auch weiterhin schwanger zu werden, wofür sie jeden Rat der Experten befolgt. So sei es etwa günstig, wenn ihre Körpertemperatur bei der Zeugung des Kindes 37,7 °C beträgt. Der damit überforderte Augie macht sich derweil Sorgen, ob sie es sich überhaupt leisten können, Eltern zu werden. In seinem Beruf als Cartoonist konnte Augie bisher keinen nennenswerten Erfolg verbuchen. Als überraschend bei den Pooles mit der attraktiven Estelle Novick eine Vermittlerin der Adoptionsstelle vorbeikommt, um in Erfahrung zu bringen, ob die Pooles als Eltern geeignet sind, trifft sie zunächst auf Augie, der gerade in Unterhosen einer Maus hinterherjagt.</t>
  </si>
  <si>
    <t>Bettgeflüster</t>
  </si>
  <si>
    <t>Bettgeflüster (Pillow Talks)</t>
  </si>
  <si>
    <t>Short, Comedy</t>
  </si>
  <si>
    <t>tt15842002</t>
  </si>
  <si>
    <t>Nico Birnbaum, Sabrina Kraft, Carolin Ott</t>
  </si>
  <si>
    <t>Innenarchitektin Jan Morrow und Songwriter Brad Allen teilen sich einen Telefonanschluss. Die ausufernd amourösen Telefonate des aggressiven Playboys nerven Jan, die sich mit ihm heftig zankt. Als sie sich persönlich kennen lernen, gibt er sich als texanischer Cowboy auf Besuch in New York aus, spielt den naiven Naturburschen. Jan wundert sich, dass er sie nicht zu verführen sucht. Sie entdeckt seine Maskerade. Brad beauftragt sie, seine Wohnung einzurichten. Jan rächt sich mit geschmacklosem Interieur. Aber sie landen glücklich im Hafen der Ehe.</t>
  </si>
  <si>
    <t>Bezaubernde Frau</t>
  </si>
  <si>
    <t>Tea for Two</t>
  </si>
  <si>
    <t>Komödie, Musik, Liebesfilm</t>
  </si>
  <si>
    <t>tt0043030</t>
  </si>
  <si>
    <t>Doris Day, Gordon MacRae, Gene Nelson, Eve Arden, Billy De Wolfe</t>
  </si>
  <si>
    <t>Ein Geschäftsmann verspricht seiner Nichte die Finanzierung des neuen Musicals, in dem sie als Sängerin Furore machen will, wenn sie 24 Stunden lang auf jede Frage mit "nein" antwortet.</t>
  </si>
  <si>
    <t>Bitte nicht stören!</t>
  </si>
  <si>
    <t>Bitte nicht stören</t>
  </si>
  <si>
    <t>tt1225802</t>
  </si>
  <si>
    <t>Heini Göbel, Eddi Günther, Ernst Konstantin, Alfred Pongratz</t>
  </si>
  <si>
    <t>Die in London lebenden Amerikaner Janet und Mike Harper sind eigentlich schwer verliebt und frisch verheiratet. Als er aber immer mehr Zeit im Büro mit seiner attraktiven Sekretärin verbringt und sie daraufhin einen Flirt mit einem europäischen Charmeur beginnt, bringen sie sich mit ihren Eifersüchteleien und grundlosen Verdächtigungen beinahe an den Rand der Scheidung. Mit einer tollen Party feiern sie aber bald schon Versöhnung.</t>
  </si>
  <si>
    <t>Caprice</t>
  </si>
  <si>
    <t>Comedy, Crime, Thriller</t>
  </si>
  <si>
    <t>tt0061447</t>
  </si>
  <si>
    <t>Doris Day, Richard Harris, Ray Walston</t>
  </si>
  <si>
    <t>Patricia Foster ist Kosmetikexpertin der Firma „Femina Cosmetic“. Von ihrem Chef, dem exzentrischen Sir Jason Fox wird sie mit dem Diebstahl einer Formel für wasserfestes Haarspray beauftragt. Doch mit Hilfe eines Kollegen kommt sie statt der geheimnisvollen Formel einem Drogenring auf die Spur, welcher Kokain als harmloses Gesichtspuder tarnt.</t>
  </si>
  <si>
    <t>Das blonde Glück</t>
  </si>
  <si>
    <t>Lucky Me</t>
  </si>
  <si>
    <t>tt0047194</t>
  </si>
  <si>
    <t>Doris Day, Robert Cummings, Phil Silvers, Eddie Foy Jr., Nancy Walker</t>
  </si>
  <si>
    <t>Schätzchen Williams ist Mitglied einer Vaudeville-Truppe, die in Miami gestrandet ist, um Zahlungsverpflichtungen von Gläubigern zu entgehen. Nachdem der Anführer der Truppe, Hap Schneider vergeblich versucht hat die Zeche des Abendessens im Restaurant zu prellen, müssen sie diese nun in der Küche und im Hotel abzuarbeiten. Während Reinigungsarbeiten eines Flures hört Dick Carson Flo Neely Lieder singen, die für ihre neue Broadway Show ist. Sie benachrichtigt Hap und Duke McGee , dass Dick Carson im Gebäude ist. Inzwischen hat Schätzchen Dick Carson getroffen, glaubt jedoch, er sei ein Mechaniker namens Eddie.</t>
  </si>
  <si>
    <t>Das Teufelsweib von Texas</t>
  </si>
  <si>
    <t>Mit bescheidenem Erfolg bewirtschaftet eine Frau, die verdächtigt wird, am Tod ihres Mannes nicht ganz unschuldig zu sein, eine Farm in Wyoming. Als zwischen ihr und einem mächtigen Rinderbaron ein Weidekrieg ausbricht, stellt sich zunächst nur ein Mann auf ihre Seite; doch als die Frauenbewegung in Washington von ihrem Schicksal erfährt, ändert sich die Lage.</t>
  </si>
  <si>
    <t>Der Mann in Mammis Bett</t>
  </si>
  <si>
    <t>With Six You Get Eggroll</t>
  </si>
  <si>
    <t>Komödie, Liebesfilm, Familie</t>
  </si>
  <si>
    <t>tt0063821</t>
  </si>
  <si>
    <t>Doris Day, Brian Keith, Pat Carroll, Barbara Hershey, George Carlin</t>
  </si>
  <si>
    <t>Abby McClure ist Witwe und Mutter von drei Söhnen. Als sie eines Tages den Witwer Jake Iverson zu einer Party einlädt, versuchen Abbys Verwandte Maxine und Harry Scott, Abby mit Jake zu verkuppeln. Als es Jake zu viel wird, verlässt er die Feier. Kurz darauf trifft er Abby in einem Laden wieder, wo sich diese für das Verhalten der Scotts entschuldigt. Beide kommen überein, sich noch einmal zu treffen. Schon bald läuten die Hochzeitsglocken, doch das Zusammenleben stellt sich schwieriger heraus, als erwartet. Abbys Söhne vertragen sich nicht mit Jakes besitzergreifender Tochter Stacey. Selbst Abbys und Jakes Hunde mögen sich nicht.</t>
  </si>
  <si>
    <t>Die Doris Day Show</t>
  </si>
  <si>
    <t>Die Frau mit Narbe</t>
  </si>
  <si>
    <t>A Woman's Face</t>
  </si>
  <si>
    <t>Drama, Thriller</t>
  </si>
  <si>
    <t>tt0034399</t>
  </si>
  <si>
    <t>Joan Crawford, Melvyn Douglas, Conrad Veidt, Osa Massen, Reginald Owen</t>
  </si>
  <si>
    <t>Anna Holm ist eine kalte und berechnende Frau, deren eine Gesichtshälfte infolge eines Hausbrands in frühester Jugend gräßlich entstellt ist, was ihre Mitmenschen abstößt. Sie führt eine Gaststätte, nützt das Etablissement jedoch dafür, wohlhabene Gäste um ihre Geheimnisse zu erleichtern und sie anschließend damit zu erpressen. Eines Abends macht sie so die Bekanntschaft von gleich zwei Menschen, die ihr Leben verändern werden</t>
  </si>
  <si>
    <t>Ein Goldfisch an der Leine</t>
  </si>
  <si>
    <t>Man's Favorite Sport?</t>
  </si>
  <si>
    <t>tt0058324</t>
  </si>
  <si>
    <t>Rock Hudson, Paula Prentiss, Maria Perschy, John McGiver, Charlene Holt</t>
  </si>
  <si>
    <t>Roger Wiloghby ist ein ebenso charmanter wie berühmter Verkäufer von Angler-Zubehör, der übers Angeln sogar einen Bestseller geschrieben hat. Doch vom Angeln weiß er nur, was seine Kunden ihn erzählen - er selbst hat noch nie einen Fisch an Land gezogen. Als die Presse-Agentin Abigail Page dafür sorgt, dass Roger an einem Angelwettbewerb teilnehmen muss, gerät er verständlicherweise in Panik. Zwar ist Abby verständnisvoll und will ihren berühmten Schützling noch rechtzeitig in die wichtigsten Angeltechniken einweihen - aber auf einmal steht Rogers misstrauische Verlobte in der Tür...!</t>
  </si>
  <si>
    <t>Ein Hauch von Nerz</t>
  </si>
  <si>
    <t>That Touch of Mink</t>
  </si>
  <si>
    <t>tt0056575</t>
  </si>
  <si>
    <t>Cary Grant, Doris Day, Gig Young, Audrey Meadows, Alan Hewitt</t>
  </si>
  <si>
    <t>Während eines heftigen Gewitters brettert Wirtschaftsboss Philip Shayne mit seinem Dienstwagen rücksichtslos durch eine Pfütze und besudelt damit den Regenmantel der arbeitslosen Sekretärin Cathy Timberlake. Der frauenjagende Shayne lädt die blonde Dame daraufhin unter dem Vorwand der Entschuldigung aber mit eindeutigen Absichten ein, ihn auf einer Bermuda-Reise zu begleiten. Die prüde Cathy nimmt die Einladung an, denkt aber gar nicht daran, sich vernaschen zu lassen. Sie ziert sich erst einmal, wie es sich für ein sittsames Mädchen gehört und dreht dann den Spieß kurzerhand um ...</t>
  </si>
  <si>
    <t>Ein Pyjama für zwei</t>
  </si>
  <si>
    <t>Ein tolles Gefühl</t>
  </si>
  <si>
    <t>It's a Great Feeling</t>
  </si>
  <si>
    <t>Komödie, Musik</t>
  </si>
  <si>
    <t>tt0041515</t>
  </si>
  <si>
    <t>Dennis Morgan, Doris Day, Jack Carson, Bill Goodwin, Irving Bacon</t>
  </si>
  <si>
    <t>Als sich alle Regisseure eines großen Hollywood-Studios weigern, einen Film mit dem exzentrischen Star Jack Carson zu drehen, soll dieser selber die Regie übernehmen. Der vorgesehene männliche Hauptdarsteller Dennis Morgan will jedoch auch nicht mit ihm zusammenarbeiten; darum versucht Carson, ihn mit Hilfe der hübschen Kellnerin Judy Adams umzustimmen. Er verspricht ihr dafür eine Rolle, und so scheint Judys Traum von einer Filmkarriere endlich in Erfüllung zu gehen.</t>
  </si>
  <si>
    <t>Eine zuviel im Bett</t>
  </si>
  <si>
    <t>Move Over, Darling</t>
  </si>
  <si>
    <t>tt0057329</t>
  </si>
  <si>
    <t>Doris Day, James Garner, Polly Bergen, Thelma Ritter, Fred Clark</t>
  </si>
  <si>
    <t>Fünf Jahre nachdem seine Frau Ellen bei einem Flugzeugunglück verschwand, will der Anwalt Nicholas Arden erneut heiraten. Er lässt Ellen für Tod erklären und ehelicht noch am gleichen Tag Bianca. Genau an diesem Morgen kehrt Ellen zurück, die die Navy von einer einsamen Insel gerettet hat. Sie folgt Nicholas in das Flitterwochen-Hotel, um den Vollzug der Ehe zu verhindern. Der völlig verdutzte Doppelgatte zögert, Bianca über Ellens Rückkehr zu informieren. Dann erfährt er auch noch, dass Ellen die Zeit auf ihrer Insel nicht allein verbracht hat.</t>
  </si>
  <si>
    <t>Flammen über Afrika</t>
  </si>
  <si>
    <t>Something of Value</t>
  </si>
  <si>
    <t>Drama, Kriegsfilm</t>
  </si>
  <si>
    <t>tt0050993</t>
  </si>
  <si>
    <t>Rock Hudson, Dana Wynter, Sidney Poitier, Juano Hernández, William Marshall</t>
  </si>
  <si>
    <t>Im Kenia der Kolonialzeit haben die ehemaligen Spielgefährten Peter McKenzie (Rock Hudson) und Kimani (Sidney Poitier) ihre tiefe Freundschaft trotz aller Rassen-, Klassen- und Traditionsunterschiede bewahrt. Doch dann erschüttern die blutigen Mau-Mau-Aufstände die wunderschöne Heimat der Beiden. Und die Männer merken, dass selbst das stärkste Band unter dem Einfluss der Trommeln, Schüsse und dem Schrei nach Freiheit zu zerreißen droht.</t>
  </si>
  <si>
    <t>Fremde Bettgesellen</t>
  </si>
  <si>
    <t>Strange Bedfellows</t>
  </si>
  <si>
    <t>tt0058621</t>
  </si>
  <si>
    <t>Rock Hudson, Gina Lollobrigida, Gig Young, Edward Judd, Howard St. John</t>
  </si>
  <si>
    <t>In London treffen sich der Beamte Carter Harrison und die Künstlerin Toni Vincente. Sie sind sofort ineinander verliebt, und heiraten wenig später. Doch schon bald müssen sie sich eingestehen, daß sie sich fast nur streiten, was zur Trennung der beiden führt. Fünf Jahre später, einen Tag vor ihrer offiziellen Scheidung, sehen sie sich wieder …</t>
  </si>
  <si>
    <t>Hat jemand meine Braut gesehen?</t>
  </si>
  <si>
    <t>Has Anybody Seen My Gal?</t>
  </si>
  <si>
    <t>tt0043873</t>
  </si>
  <si>
    <t>Charles Coburn, Piper Laurie, Rock Hudson, Gigi Perreau, Lynn Bari</t>
  </si>
  <si>
    <t>Multimillionär Samuel Fulton wurde in seiner Jugend von seiner großen Liebe abgewiesen, weil er zu arm war. Jetzt ist er zwar reich, aber einsam. Er beschließt, sein Vermögen der Familie seiner Jugendliebe zu hinterlassen, doch zuvor will er inkognito den Charakter seiner Erben prüfen und stiftet allerlei Verwirrungen.  In einer Minirolle sitzt James Dean auf einem Barhocker.</t>
  </si>
  <si>
    <t>Heiratet Marjorie</t>
  </si>
  <si>
    <t>By the Light of the Silvery Moon</t>
  </si>
  <si>
    <t>Komödie, Familie, Musik, Liebesfilm</t>
  </si>
  <si>
    <t>tt0045586</t>
  </si>
  <si>
    <t>Doris Day, Gordon MacRae, Leon Ames, Rosemary DeCamp, Billy Gray</t>
  </si>
  <si>
    <t>In all meinen Träumen bist du</t>
  </si>
  <si>
    <t>Mitunter sehr gefühlvolle, sympathisch-unterhaltsame Biografie des Song-Texters Gus Kahn, der bereits seit den 20er Jahren tätig war und zu berühmten Kompositionen (u.a. von Gershwin und Kern) die Texte verfaßte. Die Karriere des bis dahin erfolglosen Talents kommt in Gang, als die Sekretärin eines Musikverlages – Kahns spätere Ehefrau – einige seiner Texte vertont und damit die Personen in den entscheidenden Positionen von ihrer Qualität überzeugt.</t>
  </si>
  <si>
    <t>Mein Traum bist du</t>
  </si>
  <si>
    <t>My Dream Is Yours</t>
  </si>
  <si>
    <t>tt0041671</t>
  </si>
  <si>
    <t>Jack Carson, Doris Day, Lee Bowman, Adolphe Menjou, Eve Arden</t>
  </si>
  <si>
    <t>Ein Manager hat sich mit seinem Schützling, einem Sänger, überworfen und möchte einen neuen zugkräftigen Star präsentieren. Opferbereit hilft er einer jungen Witwe, die als Verkäuferin tätig ist, beim Aufbau ihrer Karriere. Zu guter Letzt werden die beiden ein Paar.</t>
  </si>
  <si>
    <t>Meisterschaft im Seitensprung</t>
  </si>
  <si>
    <t>Please Don't Eat the Daisies</t>
  </si>
  <si>
    <t>Komödie, Familie, Liebesfilm</t>
  </si>
  <si>
    <t>tt0054188</t>
  </si>
  <si>
    <t>Doris Day, David Niven, Janis Paige, Spring Byington, Richard Haydn</t>
  </si>
  <si>
    <t>Die Ehe zwischen Lawrence Mackay, ein gefürchteter New Yorker Theaterkritiker, und seiner Frau Kate ist gleichermaßen mustergültig wie ereignislos. Als Lawrence immer erfolgreicher wird und die platonische Freundschaft zu einer rassigen Schauspielerin in Kates Augen immer gefährlicher wird, überredet sie ihren Mann, zusammen mit ihr und den vier Söhnen in eine idyllische Vorstadt-Gemeinde zu ziehen, um alles wieder ins Lot zu bringen. Die Kinder blühen auf und Kate engagiert sich in der Gemeinde als Leiterin des örtlichen Laien-Theaters. Doch der wesentlich längere Weg zur Arbeit, die Beanspruchung durch die High Society und die dadurch fehlende Zeit für Familie und Entspannung belasten auf lange Sicht das Familienidyll. Eine unterlassene Absprache zwischen Lawrence und Kate bezüglich eines von ihm geschriebenen Theaterstücks bringt die Situation zum überkochen...</t>
  </si>
  <si>
    <t>Mit mir nicht meine Herren</t>
  </si>
  <si>
    <t>Les Seigneurs de la forêt</t>
  </si>
  <si>
    <t>CH, BE</t>
  </si>
  <si>
    <t>tt0053053</t>
  </si>
  <si>
    <t>Orson Welles</t>
  </si>
  <si>
    <t>Jane Osgood schlägt sich als Hummerzüchterin durch. Als sie eine Ladung des kostbaren Guts nicht rechtzeitig erhält, verliert sie ihren besten Kunden. Daraufhin zieht Jane gegen die verantwortliche Eisenbahngesellschaft vor Gericht.</t>
  </si>
  <si>
    <t>Mitternachtsspitzen</t>
  </si>
  <si>
    <t>Midnight Lace</t>
  </si>
  <si>
    <t>Mystery, Thriller</t>
  </si>
  <si>
    <t>tt0054084</t>
  </si>
  <si>
    <t>Doris Day, Rex Harrison, John Gavin, Myrna Loy, Roddy McDowall</t>
  </si>
  <si>
    <t>Die frisch verheiratete Kit Preston erhält mehrere Morddrohungen. Zunächst glaubt ihr keiner, doch dann wird Kit beinahe von einem Stahlträger erschlagen und bleibt im Aufzug stecken. Ihr Ehemann Anthony wird jetzt auch misstrauisch.</t>
  </si>
  <si>
    <t>Mord in den Wolken</t>
  </si>
  <si>
    <t>Julie</t>
  </si>
  <si>
    <t>tt0049388</t>
  </si>
  <si>
    <t>Doris Day, Louis Jourdan, Barry Sullivan, Frank Lovejoy, Jack Kelly</t>
  </si>
  <si>
    <t>Bislang glaubte Stewardess Julie ihr erster Mann habe Selbstmord begangen. Bis der aktuelle Gemahl Henry ihr offenbart, dass er ihn erdrosselt hat. Der eifersüchtige Pianist schärft Julie ein, sich nur ja nicht von ihm zu trennen. Sie flüchtet, doch Henry ist Passagier beim nächsten Flug, den Julie betreut…</t>
  </si>
  <si>
    <t>Nur Du allein</t>
  </si>
  <si>
    <t>Eröffnung der Wiener Festwochen 2013 - Wien, Wien, nur du allein?</t>
  </si>
  <si>
    <t>Music</t>
  </si>
  <si>
    <t>tt5213308</t>
  </si>
  <si>
    <t>Angelika Kirchschlager, Michael Schade, Philharmonia Schrammeln Wien, Willi Resetarits</t>
  </si>
  <si>
    <t>Wien 1945: Mit seiner Eifersucht treibt der amerikanische Arzt Michael Parker (Rock Hudson) seine Frau Lisa (Cornell Borchers) aus dem Haus. In dem Glauben, sie sei tot, kehrt Michael mit Tochter Suzy  (Shelley Fabares) in die Staaten zurück. Jahre später begegnen sich Michael und Lisa zufällig in Chicago wieder. Sie beschließen, es noch einmal miteinander zu versuchen. Doch Suzy will die "fremde" Frau nicht akzeptieren.  Dieses hölzerne Drama bietet nur eine Überraschung: Als Rock Hudsons Assistent ist der junge Clint Eastwood zu entdecken.</t>
  </si>
  <si>
    <t>Picknick im Pyjama</t>
  </si>
  <si>
    <t>The Pajama Game</t>
  </si>
  <si>
    <t>Musik, Komödie, Liebesfilm</t>
  </si>
  <si>
    <t>tt0050814</t>
  </si>
  <si>
    <t>Doris Day, John Raitt, Carol Haney, Eddie Foy Jr., Reta Shaw</t>
  </si>
  <si>
    <t>Kate Williams, die den Spitznamen “Babe” trägt, arbeitet in einer Pyjama-Fabrik. Als die Forderung der Belegschaft nach siebeneinhalb Prozent mehr Lohn abgelehnt wird, stellt sich Kate an die Spitze an eines Arbeiter-Komitees. Persönlich trägt sie dem neuen Betriebsleiter Sid Sorokin die Beschwerden und Wünsche der Angestellten vor, begeht aber den Fehler, sich dabei in ihn zu verlieben. Bevor sie jedoch ihren Sid in die Arme schließen kann, sind noch zahlreiche Turbulenzen zu überstehen.</t>
  </si>
  <si>
    <t>Reporter der Liebe</t>
  </si>
  <si>
    <t>Teacher's Pet</t>
  </si>
  <si>
    <t>tt0052278</t>
  </si>
  <si>
    <t>Clark Gable, Doris Day, Gig Young, Mamie Van Doren, Nick Adams</t>
  </si>
  <si>
    <t>Schreiberling Jim Gannon ist ein Reporter der alten Schule und schwört auf seinen Beruf. Als er von der Theorie einer Professorin der Zeitungswissenschaften hört, legt er sich prompt mit ihr an. Denn von dieser Theorie hält Jim wenig. Doch trotz beruflicher Differenzen kommen sich die Beiden langsam, aber sicher näher...</t>
  </si>
  <si>
    <t>Romanze mit Hindernissen</t>
  </si>
  <si>
    <t>On Moonlight Bay</t>
  </si>
  <si>
    <t>tt0043880</t>
  </si>
  <si>
    <t>Doris Day, Gordon MacRae, Jack Smith, Leon Ames, Rosemary DeCamp</t>
  </si>
  <si>
    <t>Fürs Jahr 1917 ist die junge Margie eine sensationelle Erscheinung: Sie turnt am liebsten in Hosen herum und ist auch sonst ein echter Wildfang. Das ändert sich radikal, als Margie den Nachbarjungen William kennenlernt. Zunächst sind ihre Eltern begeistert, aber als Margies Schwarm progressive Ansichten äußert, untersagt der Papa die ungebührliche Verbindung. Das kann das Pärchen nicht stoppen...</t>
  </si>
  <si>
    <t>Schick mir keine Blumen</t>
  </si>
  <si>
    <t>Send Me No Flowers</t>
  </si>
  <si>
    <t>tt0058571</t>
  </si>
  <si>
    <t>Rock Hudson, Doris Day, Tony Randall, Paul Lynde, Hal March</t>
  </si>
  <si>
    <t>Hypochonder George Kimball erwacht aus Albträumen, sucht seinen Lieblingsarzt auf und glaubt durch ein Missverständnis, er habe nicht mehr lange zu leben. Er mietet eine Grabstätte und vertraut sich seinem besten Freund Arnold Nash an. Die Freunde machen sich auf die Suche nach einem geeigneten Mann für Georges Frau Judy. Außerdem will George jetzt endlich Versäumtes nachholen. Wegen Judys Eifersucht kommt es zum Rauswurf, bis der Mann vom Bestattungsinstitut alles ins Lot bringt.</t>
  </si>
  <si>
    <t>Schwere Colts in zarter Hand</t>
  </si>
  <si>
    <t>Calamity Jane</t>
  </si>
  <si>
    <t>Komödie, Musik, Liebesfilm, Western</t>
  </si>
  <si>
    <t>tt0045591</t>
  </si>
  <si>
    <t>Doris Day, Howard Keel, Allyn Ann McLerie, Philip Carey, Dick Wesson</t>
  </si>
  <si>
    <t>Westernheldin Calamity Jane befreit ihren Freund Lieutenant Gilmartin aus den Händen von Indianern. Sie hilft dem Besitzer eines Vergnügungs-Etablissements in Deadwood, Dakota, aus der Verlegenheit, indem sie für seine Bühnenshow die Sängerin Katie Brown aus Chicago herbei schafft. Gilmartin und Revolverheld Wild Bill Hickcock verlieben sich beide in die Sängerin, was Jane auf die Palme bringt. Sie zieht die Männerklamotten aus, wandelt sich zum Weib und kriegt jetzt jeden Mann, den sie will.</t>
  </si>
  <si>
    <t>Spiel mit mir</t>
  </si>
  <si>
    <t>Sing, aber spiel nicht mit mir</t>
  </si>
  <si>
    <t>Comedy, Music</t>
  </si>
  <si>
    <t>tt0057505</t>
  </si>
  <si>
    <t>Adrian Hoven, Wera Frydtberg, Karin Heske</t>
  </si>
  <si>
    <t>Ein Zirkusbesitzer hat zwei echte Attraktionen unter seinem Zeltdach: seine hübsche singende und reitende Tochter und den beliebten und begabten Elefanten Jumbo. Als sich ein attraktiver junger Mann von der Konkurrenz in den Zirkus einschleicht und offensichtlich gedenkt, den Laden zu übernehmen, bricht in der Manege reichlich Chaos aus.</t>
  </si>
  <si>
    <t>Spion in Spitzenhöschen</t>
  </si>
  <si>
    <t>The Glass Bottom Boat</t>
  </si>
  <si>
    <t>tt0060463</t>
  </si>
  <si>
    <t>Doris Day, Rod Taylor, Arthur Godfrey, John McGiver, Paul Lynde</t>
  </si>
  <si>
    <t>Witwe Jennifer Nelson ist gleichzeitig als Fremdenführerin für die Abteilung eines Weltraumforschungskonzerns und als Wassernixe für Touristen tätig, die mit dem Glasbodenboot ihres Vaters die Tiefseewelt erkunden. Als Wissenschaftler Bruce Templeton sie beim Angeln zufällig an den Haken kriegt, stellt er sie als Biografin für das nicht existente Projekt Venus ein, um sie schneller verführen zu können. Der CIA hält Jennifer jedoch für eine sowjetische Spionin. Bis sich alles aufklärt, richten Jennifer und der CIA die Labors beinahe zu Grunde.</t>
  </si>
  <si>
    <t>Tyrannische Liebe</t>
  </si>
  <si>
    <t>Love Me or Leave Me</t>
  </si>
  <si>
    <t>Musik, Drama, Liebesfilm</t>
  </si>
  <si>
    <t>tt0048317</t>
  </si>
  <si>
    <t>Doris Day, James Cagney, Cameron Mitchell, Robert Keith, Tom Tully</t>
  </si>
  <si>
    <t>Biopic um die in den zwanziger Jahren in den USA populäre Ruth Etting. Als leicht verkrüppelter Manager mit Anfällen von Jähzorn zeigt James Cagney in rasenden Streitigkeiten, was aus seinen Gangsterfiguren der Warner-Zeit geworden ist.</t>
  </si>
  <si>
    <t>Und wäre die Liebe nicht..</t>
  </si>
  <si>
    <t>One Desire</t>
  </si>
  <si>
    <t>tt0048448</t>
  </si>
  <si>
    <t>Anne Baxter, Rock Hudson, Julie Adams, Carl Benton Reid, Natalie Wood</t>
  </si>
  <si>
    <t>Animiermädchen Tracey will zusammen mit dem Zocker Clint die Rückkehr ins bürgerliche Leben schaffen. Sie ziehen in eine andere Stadt und Tracy nimmt sich zweier fremder Kinder an. Doch Harmonie und Liebe werden auf eine schwere Probe gestellt...</t>
  </si>
  <si>
    <t>Was diese Frau alles so treibt</t>
  </si>
  <si>
    <t>The Thrill of It All</t>
  </si>
  <si>
    <t>tt0057581</t>
  </si>
  <si>
    <t>Doris Day, James Garner, Arlene Francis, Edward Andrews, Reginald Owen</t>
  </si>
  <si>
    <t>Als Gattin des Frauenarztes Gerald Boyer und treu sorgende Mutter führt Beverly ein zufriedenes Hausfrauendasein. Das ändert sich, als sie der Chef einer Seifenfabrik als neues Reklamegirl engagiert und Beverly über Nacht zum Star wird. Gerald reagiert eifersüchtig: Mit einer List will er Beverly an den Herd zurücklocken...</t>
  </si>
  <si>
    <t>Wo warst Du als das Licht ausging</t>
  </si>
  <si>
    <t>Where Were You When the Lights Went Out?</t>
  </si>
  <si>
    <t>tt0063801</t>
  </si>
  <si>
    <t>Doris Day, Terry-Thomas, Patrick O'Neal, Lola Albright, Steve Allen</t>
  </si>
  <si>
    <t>In dem Moment, als ein Stromausfall ganz New York ins Chaos stürzt, will sich der Bankangestellte Waldo Zirrer, der den Trubel für sich genutzt hat, gerade mit 2 Millionen Dollar Beute aus dem Staub machen. Gleichzeitig mit dem Strom fällt auch die Vorstellung der Broadway-Schauspielerin Margaret Garrison aus, wodurch sie früher nach Hause kommt und ihren Mann bei einem Schäferstündchen mit einer Reporterin erwischt.Wütend flüchtet sie auf ihr Landhaus und betäubt sich mit einer riesigen Dosis Schlafmittel. Zirrer, der ausgerechnet in der Nähe eine Autopanne hat, will vom Landhaus aus eine Werkstatt anrufen, trinkt aber aus Versehen den Rest des Mittels. Als dann noch der Ehemann und Garrisons Agent auftauchen, ist das Chaos perfekt.</t>
  </si>
  <si>
    <t>Zaubernächte in Rio</t>
  </si>
  <si>
    <t>Romance on the High Seas</t>
  </si>
  <si>
    <t>tt0040745</t>
  </si>
  <si>
    <t>Jack Carson, Janis Paige, Don DeFore, Doris Day, Oscar Levant</t>
  </si>
  <si>
    <t>Michael Kent und seine Frau Elvira stehen sich in puncto Eifersucht in nichts nach. Als ihr Mann eine schon gebuchte Seereise anlässlich ihres dritten Hochzeitstages nicht antreten kann - oder will -, glaubt Mrs. Kent sofort an eine Affäre. Sie will ihren Michael in flagranti ertappen. Anstatt allein auf Kreuzfahrt zu gehen, bleibt sie heimlich in New York, um ihren Mann überwachen zu können. Mr. Kent wundert sich, dass seine Frau allein reisen will, und wittert ebenfalls Untreue. Deshalb beauftragt er den Privatdetektiv Peter Virgil mit ihrer Beschattung während des Schiffsaufenthaltes. Den aber hat die junge Sängerin Georgia Garrett auf Bitten der Gattin unter dem Namen von Mrs. Kent mit ihrem Ticket und ihren Papieren angetreten. Peter Virgil ist von seinem Überwachungsobjekt mehr als begeistert. Die falsche Mrs. Kent und der angebliche Geschäftsmann Peter Virgil verlieben sich heftig ineinander. Damit sind den Verwicklungen und Verwirrungen Tür und Tor geöffnet.</t>
  </si>
  <si>
    <t>Elizabeth Taylor</t>
  </si>
  <si>
    <t>tt0330258</t>
  </si>
  <si>
    <t>Elizabeth Taylor und ein noch nie dagewesener Zugang zum persönlichen Archiv des Stars enthüllen das komplexe Innenleben und die Verletzlichkeit der bahnbrechenden Ikone.</t>
  </si>
  <si>
    <t>Das Land des Regenbaums</t>
  </si>
  <si>
    <t>Raintree County</t>
  </si>
  <si>
    <t>Liebesfilm, Drama, Historie</t>
  </si>
  <si>
    <t>tt0050882</t>
  </si>
  <si>
    <t>Elizabeth Taylor, Montgomery Clift, Eva Marie Saint, Nigel Patrick, Lee Marvin</t>
  </si>
  <si>
    <t>Kurz vor dem amerikanischen Bürgerkrieg wendet sich der junge Dichter Shawnessy von seiner Jugendliebe Nell Gaither ab und gerät in die Fänge der verführerischen Südstaatenschönheit Susanna Drake , die ihm glaubhaft vorschwindelt, von ihm schwanger zu sein. Shawnessy wird wohlhaben, aber die Ehe bleibt gefühlsarm, denn die Frauen der Drakes haben einen Hang zu psychischen Krankheiten und driften, wie Susannas Mutter oft in den Wahnsinn ab. Um seinen eigenen Lebensweg zu suchen, flieht John schließlich aus der perversen Beziehung und schließt sich im Bürgerkrieg der Nordstaatenarmee an...</t>
  </si>
  <si>
    <t>Die süße Falle</t>
  </si>
  <si>
    <t>Love Is Better Than Ever</t>
  </si>
  <si>
    <t>tt0044852</t>
  </si>
  <si>
    <t>Larry Parks, Elizabeth Taylor, Josephine Hutchinson, Tom Tully, Ann Doran</t>
  </si>
  <si>
    <t>Ein Platz an der Sonne</t>
  </si>
  <si>
    <t>Ein Platz an der Sonne für jung und alt</t>
  </si>
  <si>
    <t>Family, Music</t>
  </si>
  <si>
    <t>tt8843990</t>
  </si>
  <si>
    <t>Jo Ment Combo, Frank Elstner, Hamburger Fernsehballett, Peter Fröhlich</t>
  </si>
  <si>
    <t>George ist in ärmlichen Verhältnissen aufgewachsen. Durch seinen reichen Onkel lernt er die schöne Angela kennen und verliebt sich sofort in sie. Doch noch bevor sie heiraten, erfährt die Beziehung eine dramatische Wende. Denn Alice, George's frühere Geliebte, taucht plötzlich auf und beichtet ihm, dass sie ein Kind von ihm erwartet.</t>
  </si>
  <si>
    <t>Ein verwöhntes Biest</t>
  </si>
  <si>
    <t>The Girl Who Had Everything</t>
  </si>
  <si>
    <t>Liebesfilm, Drama</t>
  </si>
  <si>
    <t>tt0045816</t>
  </si>
  <si>
    <t>Elizabeth Taylor, Fernando Lamas, William Powell, Gig Young, James Whitmore</t>
  </si>
  <si>
    <t>Der renommierte amerikanische Anwalt Steve Latimer ist bestürzt, als seine eigenwillige Tochter Jean sich in den Gangster Victor Ramondi verliebt, den er nur widerstrebend vor einem Untersuchungsausschuss des Senats verteidigt hat. Um ihre Heirat mit dem Syndikatsboss zu verhindern, sagt Latimer ihm den Kampf an. Daraufhin zeigt Ramondi der jungen Frau sein wahres Gesicht.</t>
  </si>
  <si>
    <t>Hotel International</t>
  </si>
  <si>
    <t>The V.I.P.s</t>
  </si>
  <si>
    <t>tt0057634</t>
  </si>
  <si>
    <t>Elizabeth Taylor, Richard Burton, Louis Jourdan, Elsa Martinelli, Margaret Rutherford</t>
  </si>
  <si>
    <t>Wegen dichten Nebels schließt der Londoner Flughafen. Die Passagiere des Fluges nach New York werden nach langer Wartezeit im Hotel International untergebracht.</t>
  </si>
  <si>
    <t>Symphonie des Herzens</t>
  </si>
  <si>
    <t>Rhapsody</t>
  </si>
  <si>
    <t>Drama, Musik, Liebesfilm</t>
  </si>
  <si>
    <t>tt0047408</t>
  </si>
  <si>
    <t>Elizabeth Taylor, Vittorio Gassman, John Ericson, Louis Calhern, Michael Chekhov</t>
  </si>
  <si>
    <t>Die Dreiecksromanze zwischen einem Pianisten, einem Geiger und einer verwöhnten und egoistischen jungen Frau führt nach Verwicklungen und Konflikten zur Läuterung der kapriziösen Dame.</t>
  </si>
  <si>
    <t>Wirbel um Judy</t>
  </si>
  <si>
    <t>A Date with Judy</t>
  </si>
  <si>
    <t>tt0040271</t>
  </si>
  <si>
    <t>Wallace Beery, Jane Powell, Elizabeth Taylor, Carmen Miranda, Xavier Cugat</t>
  </si>
  <si>
    <t>Die Freundschaft der beiden Teenager Judy  und Carol wird auf die Probe gestellt, als sie sich in den gutaussehenden Stephen Andrews verlieben. Dabei kommt noch erschwerend hinzu, dass Judy bereits mit Carols Bruder Oogie zusammen ist. Der Ärger ist jedoch nur von kurzer Dauer, denn als Judy vermutet, dass ihr Vater eine Affäre hat, setzen sie und Carol alles daran, um die Ehe ihrer Eltern zu retten...</t>
  </si>
  <si>
    <t>Fred MacMurray</t>
  </si>
  <si>
    <t>Fred MacMurray: The Guy Next Door</t>
  </si>
  <si>
    <t>tt0479040</t>
  </si>
  <si>
    <t>Edward Dmytryk, Beverly Garland, June Haver</t>
  </si>
  <si>
    <t>Champagner in Paris</t>
  </si>
  <si>
    <t>Terror und Champagner - Hitlers Stellvertreter in Paris</t>
  </si>
  <si>
    <t>Documentary, History</t>
  </si>
  <si>
    <t>tt37250195</t>
  </si>
  <si>
    <t>Die fünfköpfige amerikanische Familie Willard erfüllt sich einen langgehegten Traum, einmal nach Europa, speziell nach Paris zu reisen. Doch die Eltern Harry und Katie müssen schon kurz vor der Abfahrtund während der Schiffsreise feststellen, daß mit zwei Teenagern und einem jüngeren Kind die große Erholung wohl nicht möglich sein wird, vor allem weil die Kinder langsam aber sicher auch das andere Geschlecht entdecken. Das ist aber noch gar nichts gegen die Schwierigkeiten, die vor Ort in Paris entstehen, als Harry in der Kanalisation verloren geht und später ein Gigolo sich an seine Frau heranmacht. Auch die Begegnung mit einer Gräfin, zufällig die Mutter von Tochter Amys neuem Freund Nick verläuft nicht unfallfrei. Es ist also ein langer Weg bis zu einem romantischen Moment in der Pariser Luft...</t>
  </si>
  <si>
    <t>Der fliegende Pauker</t>
  </si>
  <si>
    <t>The Absent-Minded Professor</t>
  </si>
  <si>
    <t>Komödie, Familie, Science Fiction</t>
  </si>
  <si>
    <t>tt0054594</t>
  </si>
  <si>
    <t>Fred MacMurray, Nancy Olson, Keenan Wynn, Tommy Kirk, Leon Ames</t>
  </si>
  <si>
    <t>Obwohl er aufgrund seiner Zerstreutheit schon zweimal seine eigene Hochzeit verpaßt hat, arbeitet Professor Ned Brainard auch beim dritten Anlauf bis kurz vor dem Ereignis an seinen Experimenten im Labor, als ihn eine Explosion ausschaltet. Als er wieder erwachtet, findet er einen schwebenden Behälter mit einer seltsamen Masse vor, die für die Schwerkraftaufhebung verantwortlich ist. Kurzerhand nennt er die Masse "Flummi". Die große Entdeckung bewahrt ihn aber nicht vor dem Zorn seiner Braut Betsy die er damit in die Arme seines Rivalen Shelby Ashton treibt. Er bemüht sich, sie wiederzugewinnen, indem er mit "Flummi" dem unterlegenen Basketballteam seiner Uni hilft, doch Betsy glaubt ihm nicht mehr. Dafür bekommt er Schwierigkeiten, als sein inzwischen ebenfalls präpariertes Auto, ein Ford T, bei seinen Flugabenteuern ausgerechnet von dem Finanzhai Alonzo Hawk beobachtet wird, der die Erfindung für sich haben will...</t>
  </si>
  <si>
    <t>Der glücklichste Millionär</t>
  </si>
  <si>
    <t>Der etwas exzentrische Millionär Anthony Drexel Biddle lebt mit seiner Familie unter recht kuriosen Verhältnissen, doch sowohl seine Frau als auch der neue Butler Lawless müssen sich damit anfreunden. Als Töchterchen Cordy sich in New Jersey auf der Schule in den freundlichen Angie Duke verliebt, steht einer baldigen Hochzeit eigentlich nur eins im Weg: dem keimenden Konkurrenzkampf zwischen den etwas schrägen Familien Biddle und Duke, der schließlich sogar das Verlöbnis sprengt.</t>
  </si>
  <si>
    <t>Der grosse Regen</t>
  </si>
  <si>
    <t>The Rains of Ranchipur</t>
  </si>
  <si>
    <t>Abenteuer, Drama, Liebesfilm</t>
  </si>
  <si>
    <t>tt0048538</t>
  </si>
  <si>
    <t>Lana Turner, Richard Burton, Fred MacMurray, Joan Caulfield, Michael Rennie</t>
  </si>
  <si>
    <t>Auf Einladung der Maharani kommt Lord Alan Esketh mit seiner Frau Edwina nach Ranchipur. Immer an Ablenkung durch andere Männer interessiert, fällt der Blick Edwinas wohlwollend auf den Adoptivsohn der Maharani, den Arzt Dr. Safti. Safti bleibt den Annäherungsversuchen Edwinas gegenüber standhaft, was diese nur umso mehr anstachelt - bis sie feststellen muss, dass sie sich wirklich in Safti verliebt hat. Auch er hegt eigentlich tiefe Gefühle für sie, doch sintflutartige Regenfälle, ein Erdbeben und ein Dammbruch lassen ihn andere Prioritäten setzen.</t>
  </si>
  <si>
    <t>Der unheimliche Zotti</t>
  </si>
  <si>
    <t>The Shaggy Dog</t>
  </si>
  <si>
    <t>Komödie, Familie, Fantasy</t>
  </si>
  <si>
    <t>tt0053271</t>
  </si>
  <si>
    <t>Fred MacMurray, Jean Hagen, Tommy Kirk, Annette Funicello, Tim Considine</t>
  </si>
  <si>
    <t>Nachdem Wilby Daniels einen Ring der Borgias versehentlich aus dem Museum mitgenommen hat, verwandelt er sich in einen Hund. Nun schwebt er in Lebensgefahr, denn sein Vater kann Hunde auf den Tod nicht ausstehen. Außerdem verwandelt sich Wilby unkontrolliert hin und her und entlarvt dabei die neuen Nachbarn als russische Spione. Keiner will dem sprechenden Hund Glauben schenken und so verhindert Wilby als Hund selbst deren verbrecherische Absichten.</t>
  </si>
  <si>
    <t>Die Welt gehört der Frau</t>
  </si>
  <si>
    <t>Marlene Charell: Die Welt gehört der Frau</t>
  </si>
  <si>
    <t>tt3829828</t>
  </si>
  <si>
    <t>Marlène Charell, Dick Price, Ingrid van Bergen</t>
  </si>
  <si>
    <t>Nach einem plötzlichen Todesfall braucht der Konzern Gifford Motors plötzlich einen neuen General Manager, woraufhin Firmeneigner Ernest Gifford (Clifton Webb) die geeignesten Kandidaten für die Nachfolge nach New York einlädt. Er besteht darauf, dass sie ihre Frauen mitbringen, denn er sieht Zusammenhänge zwischen dem funktionierenden Familienleben und dem Arbeitsengagement.</t>
  </si>
  <si>
    <t>Ein Ehemann zuviel</t>
  </si>
  <si>
    <t>Too Many Husbands</t>
  </si>
  <si>
    <t>tt0033174</t>
  </si>
  <si>
    <t>Fred MacMurray, Jean Arthur, Melvyn Douglas, Dorothy Peterson, Melville Cooper</t>
  </si>
  <si>
    <t>Es gibt immer ein Morgen</t>
  </si>
  <si>
    <t>There's Always Tomorrow</t>
  </si>
  <si>
    <t>tt0049843</t>
  </si>
  <si>
    <t>Fred MacMurray, Barbara Stanwyck, Joan Bennett, William Reynolds, Pat Crowley</t>
  </si>
  <si>
    <t>Das geordnete Leben des Spielzeugfabrikanten und dreifachen Familienvaters Clifford Groves wird plötzlich von seiner Jugendliebe Norma durcheinander gebracht.</t>
  </si>
  <si>
    <t>Frau ohne Gewissen</t>
  </si>
  <si>
    <t>Die Frau ohne Gewissen</t>
  </si>
  <si>
    <t>tt4666526</t>
  </si>
  <si>
    <t>Charlotte Böcklin, Alphons Fryland, Mara Markhoff</t>
  </si>
  <si>
    <t>Der Versicherungsangestellte Walter Neff bespricht ein Tonband mit seinem Geständnis: Als er Phyllis Dietrichson bei der Erneuerung ihrer Autoversicherung kennenlernt, ist es um ihn geschehen. Trotz der väterlichen Fürsorge seines Chefs Barton Keyes lässt er sich auf eine Affäre mit der verheirateten Frau ein und plant mit ihr einen Mord einschließlich Versicherungsbetrug. Ein Plan, der nicht gut gehen kann …</t>
  </si>
  <si>
    <t>Gefährliche Flitterwochen</t>
  </si>
  <si>
    <t>Above Suspicion</t>
  </si>
  <si>
    <t>tt0035605</t>
  </si>
  <si>
    <t>Joan Crawford, Fred MacMurray, Conrad Veidt, Basil Rathbone, Reginald Owen</t>
  </si>
  <si>
    <t>Peter Galt vom britischen Außenministerium bittet Professor Richard Myles und seine frischangetraute Ehefrau Frances, als Touristen getarnt zunächst nach Paris und dann in das von den Nazis besetzte Österreich zu reisen. Der Physiker Myles soll beurteilen, wie wichtig die Information eines in Österreich untergetauchten Agenten über eine deutsche Wunderwaffe ist. Myles und seine Frau kommen ihrem Ziel in Innsbruck rasch näher, als sich ein alter Freund von Myles als Spion der Nazis entpuppt. Eine turbulente Flucht nach Italien beginnt.</t>
  </si>
  <si>
    <t>Keine Zeit für die Liebe</t>
  </si>
  <si>
    <t>No Time for Love</t>
  </si>
  <si>
    <t>tt0036208</t>
  </si>
  <si>
    <t>Claudette Colbert, Fred MacMurray, Ilka Chase, Richard Haydn, Paul McGrath</t>
  </si>
  <si>
    <t>Die unbequeme, an berufliche Auseinandersetzungen gewöhnte Starfotografin eines New Yorker Magazins gerät bei der Ausführung eines Auftrags in private Konflikte. Sie verliebt sich in einen sich rüpelhaft gebenden Arbeiter einer Tunnelbau-Kolonne, der nach der Veröffentlichung der Fotos seine Stellung verliert. Daraufhin stellt sie ihn als ihren Assistenten ein, um sich, wie sie meint, von ihrer Verliebtheit zu heilen. Natürlich kommt alles anders als erwartet.</t>
  </si>
  <si>
    <t>Liebe im Handumdrehen</t>
  </si>
  <si>
    <t>Hands Across the Table</t>
  </si>
  <si>
    <t>tt0026452</t>
  </si>
  <si>
    <t>Carole Lombard, Fred MacMurray, Ralph Bellamy, Astrid Allwyn, Ruth Donnelly</t>
  </si>
  <si>
    <t>Regi Allen ist eine New Yorker Maniküre, die wild entschlossen ist, Armut und Elend durch ihre Ehe mit einem reichen Mann zu entkommen. Sie lernt bei einem ihrer Jobs den Erben des Savoy-Carlton-Hotels, Allen Macklyn, kennen. Der ehemalige Sportpilot ist seit einem Unfall auf einen Rollstuhl angewiesen. Allen verliebt sich in die junge Frau, gesteht ihr jedoch seine Liebe nicht, da er die Antwort fürchtet.</t>
  </si>
  <si>
    <t>George C. Scott</t>
  </si>
  <si>
    <t>Anatomie eines Mordes</t>
  </si>
  <si>
    <t>Anatomy of a Murder</t>
  </si>
  <si>
    <t>Krimi, Drama, Mystery</t>
  </si>
  <si>
    <t>tt0052561</t>
  </si>
  <si>
    <t>James Stewart, Lee Remick, Ben Gazzara, Arthur O'Connell, Eve Arden</t>
  </si>
  <si>
    <t>Leutnant Manion hat die Vergewaltigung seiner Frau Laura gerächt. Mit der Ermordung des Gewalttäters. Auf diese Tat steht nur ein Urteil, die Todesstrafe. Rechtsanwalt Dr. Biegler versucht, den Kopf des Leutnants aus der Schlinge zu ziehen. Jedoch sprechen alle Beweise gegen seinen Mandanten. Auch die bildhübsche Laura gerät bald ins Zwielicht, denn ihr Vergewaltiger galt als ehrenwerter Mann. Entspricht ihre Aussage wirklich den Tatsachen? Dr. Biegler sieht nur einen Ausweg: Er muss die Unzurechnungsfähigkeit seines Mandanten beweisen. Der Anwalt kämpft verzweifelt gegen die Welle der erdrückenden Indizien. Im letzten Moment findet sich noch ein neuer Kronzeuge, der den Vergewaltiger schwer belastet. Aber wird dies reichen? Dr. Biegler beginnt sein Schlussplädoyer mit dem Mut der Verzweiflung.</t>
  </si>
  <si>
    <t>Das Grauen</t>
  </si>
  <si>
    <t>BEE113: Das Grauen auf Schloss Witley (1965) &amp; The Curse (1987) mit André Wentzel</t>
  </si>
  <si>
    <t>tt22976748</t>
  </si>
  <si>
    <t>George C. Scott, Trish Van Devere, Melvyn Douglas, John Colicos, Barry Morse</t>
  </si>
  <si>
    <t>Der Komponist John Russell erholt sich gerade in einer alten, abgelegenen Villa vom schrecklichen Unfalltod seiner Frau und seiner Tochter, als er in dem unheimlichen Spukhaus plötzlich von einem wütenden Geist heimgesucht wird...</t>
  </si>
  <si>
    <t>Der gelbe Rolls-Royce</t>
  </si>
  <si>
    <t>The Yellow Rolls-Royce</t>
  </si>
  <si>
    <t>Drama, Komödie, Liebesfilm</t>
  </si>
  <si>
    <t>tt0059927</t>
  </si>
  <si>
    <t>Ingrid Bergman, Rex Harrison, Shirley MacLaine, Jeanne Moreau, George C. Scott</t>
  </si>
  <si>
    <t>Eine prächtige Rolls-Royce-Limousine steht im Mittelpunkt eines bittersüßen Reigens um materielles und wirkliches Glück im Leben und in der Liebe: Der Marquis von Frinton schenkt ihn seiner jungen Frau Eloise - doch bald entdeckt er sie darin mit seinem Assistenten. Der amerikanische Mafioso Paolo Maltese reist mit seiner Verlobten Mae nach Italien und kauft ihr den Rolls-Royce. Mae fühlt sich in Paolos Heimat unwohl, bis sie dem Casanova Stefano begegnet. Die resolute Mrs. Gerda Millett will 1941 kurz vor dem deutschen Angriff auf Jugoslawien mit dem Auto nach Belgrad reisen.</t>
  </si>
  <si>
    <t>Der Prinz und der Prügelknabe</t>
  </si>
  <si>
    <t>The Whipping Boy</t>
  </si>
  <si>
    <t>FR, GB, US, DE</t>
  </si>
  <si>
    <t>Familie, TV-Film</t>
  </si>
  <si>
    <t>tt0111698</t>
  </si>
  <si>
    <t>Truan Munro, Nic Knight, Karen Salt, Andrew Bicknell, Christoph M. Ohrt</t>
  </si>
  <si>
    <t>Der König von Bratenberg lässt den armen Tommi an seinen Hof verschleppen um von nun an der Prügelknabe für seinen verzogenen Sohn Prinz Boris zu sein. Als Tommi erfährt das seine Schwester unschuldig im Gefängnis sitzt, büchsen er und Prinz Boris aus um sie zu retten. Unterwegs geraten die beiden Jungen in die Fänge von zwei miesen Schurken.</t>
  </si>
  <si>
    <t>Der verkehrte Sherlock Holmes</t>
  </si>
  <si>
    <t>They Might Be Giants</t>
  </si>
  <si>
    <t>Komödie, Mystery</t>
  </si>
  <si>
    <t>tt0067848</t>
  </si>
  <si>
    <t>George C. Scott, Joanne Woodward, Jack Gilford, Lester Rawlins, Al Lewis</t>
  </si>
  <si>
    <t>Der verwitwete ehemalige Anwalt und Richter Justin Playfair ist fest davon überzeugt, der berühmte Detektiv Sherlock Holmes zu sein. In dieser Rolle kämpft er gegen das Unrecht. Seine Umgebung zweifelt an seiner Zurechnungsfähigkeit, doch Dr. Watson, Nervenärztin in einer Klinik, verweigert die Unterschrift zu seiner Entmündigung.</t>
  </si>
  <si>
    <t>Die 12 Geschworenen</t>
  </si>
  <si>
    <t>12 Angry Men</t>
  </si>
  <si>
    <t>tt0118528</t>
  </si>
  <si>
    <t>Courtney B. Vance, Ossie Davis, George C. Scott, Armin Mueller-Stahl, Dorian Harewood</t>
  </si>
  <si>
    <t>Ein 18-jähriger Junge aus einem Einwandererghetto wird angeklagt, seinen Vater, der ihn seit seiner frühesten Jugend immer wieder geschlagen hat, in einem Streit erstochen zu haben. Sein Pflichtverteidiger hat ihn mit wenig Energie verteidigt, und die Beweise scheinen eindeutig zu sein. Zunächst sind 11 Geschworene fest von der Schuld des Angeklagten überzeugt. Nur der Geschworene Nr. 8 hat „berechtigte Zweifel“. Da der Richterin ein einstimmiger Beschluss vorgelegt werden muss, folgt daraufhin an diesem laut Wettervorhersage „heißesten Tag des Jahres“ eine lange, lebhafte Diskussion. Weil die Geschworenen (alle sind Männer) von Herkunft, Hautfarbe, Bildung, Lebensalter und Persönlichkeit sehr unterschiedlich sind, kommt es zu Spannungen und Angriffen. Dem Geschworenen Nr. 8 gelingt es in der zermürbenden Sitzung durch Beharrlichkeit, Logik, Redekunst und Einfühlungsvermögen die anderen nach und nach auf seine Seite zu bringen.</t>
  </si>
  <si>
    <t>Die Formel</t>
  </si>
  <si>
    <t>Switzerland</t>
  </si>
  <si>
    <t>Short, Comedy, Drama</t>
  </si>
  <si>
    <t>tt4406456</t>
  </si>
  <si>
    <t>Therese Affolter, Lisa Brand, Beat Gärtner</t>
  </si>
  <si>
    <t>Ein Detektiv entdeckt eine Formel zur Herstellung von Öl aus Kohle, die im „Dritten Reich“ entwickelt wurde. Eine große Ölfirma findet es heraus und versucht, die Formel und jeden, der von ihr weiß, zu zerstören.</t>
  </si>
  <si>
    <t>Die Rache ist mein</t>
  </si>
  <si>
    <t>tt1640440</t>
  </si>
  <si>
    <t>George C. Scott, Richard Basehart, Martin Sheen, Barnard Hughes, Nicolas Beauvy</t>
  </si>
  <si>
    <t>An einem chemischen Kampfstoff der US-Armee, den ein Hubschrauber versprüht, stirbt der Sohn eines Farmers im Krankenhaus. Zur Vermeidung eines öffentlichen Skandals wird erfolglos versucht, dem gleichfalls infizierten Vater den Tod zu verheimlichen. Dieser nützt die verbleibende Zeit zur Selbstjustiz an Menschen und Institutionen.</t>
  </si>
  <si>
    <t>Die Totenliste</t>
  </si>
  <si>
    <t>The List of Adrian Messenger</t>
  </si>
  <si>
    <t>tt0057254</t>
  </si>
  <si>
    <t>George C. Scott, Kirk Douglas, Dana Wynter, Clive Brook, Gladys Cooper</t>
  </si>
  <si>
    <t>Der ehemalige Geheimdienstagent Anthony Gethryn steht vor einem Rätsel: Sein Freund Adrian Messenger ist unter mysteriösen Umständen ermordet worden. Der Tod des Schriftstellers scheint im Zusammenhang mit einer Liste zu stehen, auf der sich die Namen von elf Männern finden, die gemeinsam im Burmakrieg gedient haben. Alle fallen nach und nach unterschiedlichen Mordanschlägen zum Opfer. Gethryn macht sich auf die Jagd nach dem Serienkiller, doch die Raffinesse und ständig wechselnden Masken und Verkleidungen des Killers erschweren die Suche erheblich.</t>
  </si>
  <si>
    <t>Die zwölf Geschworenen</t>
  </si>
  <si>
    <t>★★★★½</t>
  </si>
  <si>
    <t>tt0050083</t>
  </si>
  <si>
    <t>Martin Balsam, John Fiedler, Lee J. Cobb, E.G. Marshall, Jack Klugman</t>
  </si>
  <si>
    <t>Zwölf Geschworene verhandeln im Juryraum in brütender Hitze über das Schicksal eines Jungen, der angeklagt ist, seinen Vater getötet zu haben. Als das Urteil "Schuldig" beinahe feststeht, formuliert der Geschworene Nr. 8 seine Zweifel. Gegen den teils erbitterten Widerstand der Mehrheit entwickelt er nach und nach mit ruhiger Logik seine Argumente. Der Kampf der Meinungen setzt unerwartete Vorurteile und Charakterzüge der zwölf Männer frei, deren Gewissensprüfungen für den Angeklagten ausfallen.</t>
  </si>
  <si>
    <t>Finger weg von meiner Frau</t>
  </si>
  <si>
    <t>Not With My Wife, You Don't!</t>
  </si>
  <si>
    <t>tt0060760</t>
  </si>
  <si>
    <t>Tony Curtis, Virna Lisi, George C. Scott, Carroll O'Connor, Richard Eastham</t>
  </si>
  <si>
    <t>Tom Ferris, ein agiler amerikanischer Air-Force-Offizier, ist darauf spezialisiert, seine Generälen alle Sonderwünsche und deren Frauen “Alltagswünsche” zu erfüllen. Da taucht ebenso unerwartet wie unerwünscht Tank Martin wieder auf – der totgeglaubte Ex-Liebhaber seiner Ehefrau Julia. Und ausgerechnet jetzt wird Tom zu einem mehrwöchigen arktischen Rettungskurs nach Labrador beordert.</t>
  </si>
  <si>
    <t>Haie der Großstadt</t>
  </si>
  <si>
    <t>The Hustler</t>
  </si>
  <si>
    <t>tt0054997</t>
  </si>
  <si>
    <t>Paul Newman, Jackie Gleason, Piper Laurie, George C. Scott, Myron McCormick</t>
  </si>
  <si>
    <t>Eddie Felson ist ein zynischer und leidenschaftlicher Billardspieler, der in den Billardhallen der Großstadt unerfahrenen Spielern das Geld abjagt. Doch seine Gedanken kreisen nur um ein Ziel: Er will endlich den Landesmeister Minnesota Fats, besiegen. Ein Match gegen den Profi endete für Eddie einst in einer Katastrophe. Mit Hilfe der Alkoholikerin Sarah und dem Manager Bert Gordon will Eddie noch einmal den Kampf gegen Minnesota aufnehmen, ganz gleich welchen Preis er dafür bezahlen muß.</t>
  </si>
  <si>
    <t>Hardcore - Ein Vater sieht rot</t>
  </si>
  <si>
    <t>Hardcore</t>
  </si>
  <si>
    <t>Mystery, Drama, Krimi</t>
  </si>
  <si>
    <t>tt0079271</t>
  </si>
  <si>
    <t>George C. Scott, Peter Boyle, Season Hubley, Dick Sargent, Leonard Gaines</t>
  </si>
  <si>
    <t>Jake VanDorn ist der typische amerikanische Familienvater und Geschäftsmann. Als jedoch seine Tochter auf dem Weg in ein Feriencamp vermisst wird, muss er Privatdetektive engagieren, da sonst keine Spur gefunden wird. Der Schnüffler Mast (Peter Boyle) identifiziert das Mädchen schließlich in einem billigen Pornofilm. Jetzt wird VanDorn persönlich aktiv, um das Mädchen aus der Porno-Szene zu befreien, doch das ist für den sonst blitzsauberen Mann nicht ganz so einfach, wie es scheint.</t>
  </si>
  <si>
    <t>Hospital</t>
  </si>
  <si>
    <t>The Hospital</t>
  </si>
  <si>
    <t>Comedy, Drama, Mystery</t>
  </si>
  <si>
    <t>tt0067217</t>
  </si>
  <si>
    <t>George C. Scott, Diana Rigg, Barnard Hughes</t>
  </si>
  <si>
    <t>Herbert Block ist Chefarzt eines New Yorker Krankenhauses. Seit seine Frau ihn verließ und die Kinder ihn enteigneten, spielt Dr. Block mit dem Gedanken, sich umzubringen. Da häufen sich in seiner Klinik seltsame Todesfälle. In dieser Situation lernt er die junge Barbara kennen, die ihren im Koma liegenden Vater aus dem Hospital holen will.</t>
  </si>
  <si>
    <t>Inseln Im Strom</t>
  </si>
  <si>
    <t>Islands in the Stream</t>
  </si>
  <si>
    <t>tt0076211</t>
  </si>
  <si>
    <t>George C. Scott, David Hemmings, Gilbert Roland, Hart Bochner, Susan Tyrrell</t>
  </si>
  <si>
    <t>Die Insel Bimini liegt im Atlantik in der Florida-Straße vor Miami. Der Maler Thomas Hudson bewohnt ein Haus am Rande der Insel. Es ist gut gegen die auf der Insel herrschenden Naturgewalten geschützt. So hat es als einziges Haus auf der Insel einen Kamin gegen die Kälte der stürmischen Winter. Thomas Hudson beschäftigt Personal, das das Haus in Ordnung hält und mit dem er gemeinsam in der Hurrikan-Saison gegen die Stürme kämpft. Die Vermarktung seiner Bilder übernimmt ein New Yorker Makler. Die Verpachtung einer Ranch in Montana und eine geerbte Ölquelle gestatten Hudson und seinen geschiedenen Frauen finanzielle Unabhängigkeit._x000D_ Hudson genießt das Leben auf der Insel im Golfstrom in vollen Zügen, und arbeitet trotz seiner materiellen Unabhängigkeit diszipliniert.</t>
  </si>
  <si>
    <t>Klauen wir gleich die ganze Bank</t>
  </si>
  <si>
    <t>Bank Shot</t>
  </si>
  <si>
    <t>tt0071194</t>
  </si>
  <si>
    <t>George C. Scott, Joanna Cassidy, Sorrell Booke, Clifton James, Bob Balaban</t>
  </si>
  <si>
    <t>Walter Ballantine (George C. Scott) ist Spezialist für das Unmögliche: Zunächst flieht er auf spektakuläre Weise aus einem Straflager. Dann entführt er mit einigen Komplizen gleich eine ganze Bankfiliale per Tieflader. Das FBI ist ihm jedoch bald auf den Fersen. Ein Katz-und-Maus-Spiel beginnt.</t>
  </si>
  <si>
    <t>Patton – Rebell in Uniform</t>
  </si>
  <si>
    <t>Patton</t>
  </si>
  <si>
    <t>Kriegsfilm, Drama, Historie</t>
  </si>
  <si>
    <t>tt0066206</t>
  </si>
  <si>
    <t>George C. Scott, Karl Malden, Stephen Young, Michael Strong, Carey Loftin</t>
  </si>
  <si>
    <t>Während des Zweiten Weltkriegs führt der egozentrische General Patton die 7. US-Armee in Tunesien gegen Rommels Afrika-Corps zum Sieg. Mit seiner neu formierten 3. Armee marschiert er danach an der Spitze seiner Truppen in rasantem Tempo durch Westeuropa. Doch durch undiplomatische, prahlerische Äußerungen macht sich Patton bald Feinde an höherer Stelle.</t>
  </si>
  <si>
    <t>Polizeirevier Los Angeles-Ost</t>
  </si>
  <si>
    <t>The New Centurions</t>
  </si>
  <si>
    <t>Krimi, Drama, Action</t>
  </si>
  <si>
    <t>tt0068997</t>
  </si>
  <si>
    <t>George C. Scott, Stacy Keach, Jane Alexander, Scott Wilson, Rosalind Cash</t>
  </si>
  <si>
    <t>In den 70ern gilt das Polizeirevier Los Angeles Ost als „schwarzer Osten" der Stadt – genau dort patroullieren der hartgesottene Streifenpolizist Kilvinsky und sein junger, idealistischer Kollege Roy. Nach seiner Pensionierung weiß Kilvinsky nichts mehr mit sich anzufangen, während Roy beim Streifendienst zunehmend nicht nur sein Leben, sondern auch seine Ehe aufs Spiel setzt…</t>
  </si>
  <si>
    <t>Wen die Meute hetzt</t>
  </si>
  <si>
    <t>The Last Run</t>
  </si>
  <si>
    <t>Krimi, Thriller</t>
  </si>
  <si>
    <t>tt0067329</t>
  </si>
  <si>
    <t>George C. Scott, Tony Musante, Trish Van Devere, Colleen Dewhurst, Aldo Sambrell</t>
  </si>
  <si>
    <t>Portugal: Harry Garmes, in die Jahre gekommener Gangster, will's noch einmal wissen: Er übernimmt den Auftrag, den flüchtigen Sträfling Paul und dessen Freundin Claudie nach Frankreich zu schmuggeln. Als die beiden in eine Falle geraten, haut Harry sie heraus, denn er hat sich in Claudie verliebt.</t>
  </si>
  <si>
    <t>Wer Sturm sät</t>
  </si>
  <si>
    <t>Wer Wind erntet, sät Sturm</t>
  </si>
  <si>
    <t>tt4663082</t>
  </si>
  <si>
    <t>Sabine Postel</t>
  </si>
  <si>
    <t>Tennessee 1925: Ein aufgeklärter Lehrer, der Darwins Evolutionstheorie lehrt, die eine Verwandtschaft zwischen Menschen und Affen als gegeben ansieht, ruft an seiner neuen Schule religiöse Eiferer auf den Plan, die die biblische Schöpfungsgeschichte verteidigen wollen.</t>
  </si>
  <si>
    <t>Goldie Hawn</t>
  </si>
  <si>
    <t>Greece</t>
  </si>
  <si>
    <t>tt27416122</t>
  </si>
  <si>
    <t>Maria Dolores, Mary Karapanagiotou, Hrysa Petratou</t>
  </si>
  <si>
    <t>American Wildcats</t>
  </si>
  <si>
    <t>Wildcats</t>
  </si>
  <si>
    <t>tt0092214</t>
  </si>
  <si>
    <t>Goldie Hawn, Swoosie Kurtz, Robyn Lively, Brandy Gold, James Keach</t>
  </si>
  <si>
    <t>Schlechte Karten für Molly McGrath. Niemand vertraut der High-School-Lehrerin ein Football-Team an. Eine Frau hat eben nur süß und sexy zu sein. Aber irgendwie schafft sie’s doch. Sie bekommt ihr Team, die “Wildcats”, der desolateste Haufen, der sich je auf dem Football-Feld getummelt hat. Doch mit viel Charme und noch mehr Tricks dressiert sie ihre Wildkatzen, bis alle nach ihrer Pfeife tanzen.</t>
  </si>
  <si>
    <t>DRJWVK~S</t>
  </si>
  <si>
    <t>Ein Vogel auf dem Drahtseil</t>
  </si>
  <si>
    <t>Bird on a Wire</t>
  </si>
  <si>
    <t>Action, Abenteuer, Komödie, Liebesfilm</t>
  </si>
  <si>
    <t>tt0099141</t>
  </si>
  <si>
    <t>Mel Gibson, Goldie Hawn, David Carradine, Bill Duke, Stephen Tobolowsky</t>
  </si>
  <si>
    <t>Mit seiner Aussage gegen zwei Rauschgift-Gangster gewinnt Kronzeuge Rick Jarmin zwei Feinde fürs Leben. Trotz ständig wechselnder Identität spüren die Killer ihn wieder auf, als sie nach 15 Jahren aus dem Knast entlassen werden. Zufällig wird Rick zur gleichen Zeit von seiner ehemaligen Geliebten wiedererkannt, die er Knall auf Fall verlassen hat. Sie ist noch immer stinksauer auf ihn, aber die irrwitzige Verfolgungsjagd quer durch die USA, die sie sich mit den Killern liefern, verhindert die Rache – vorerst.</t>
  </si>
  <si>
    <t>Overboard – Ein Goldfisch fällt ins Wasser</t>
  </si>
  <si>
    <t>Overboard</t>
  </si>
  <si>
    <t>tt0093693</t>
  </si>
  <si>
    <t>Goldie Hawn, Kurt Russell, Edward Herrmann, Mike Hagerty, Katherine Helmond</t>
  </si>
  <si>
    <t>Die stinkreiche Joanne schikaniert auf ihrer Luxusyacht das Personal nach Strich und Faden. Als sie in trunkenem Zustand über Bord fällt und das Gedächtnis verliert, leugnet ihr Ehemann Grant, sie zu kennen. Dean, ein um seinen Lohn betrogener Zimmermann, rächt sich an ihr, indem er sie als seine Frau ausgibt. Die Ahnungslose hat nun einen heruntergekommenen Haushalt und vier verwilderte Kinder zu versorgen. Wider Erwarten bringt sie Ordnung in Deans Leben, bis zufällig ihr Ehemann auftaucht und Joanne sich an ihr früheres Leben erinnert.</t>
  </si>
  <si>
    <t>Schmetterlinge sind frei</t>
  </si>
  <si>
    <t>Butterflies Are Free</t>
  </si>
  <si>
    <t>tt0068326</t>
  </si>
  <si>
    <t>Goldie Hawn, Edward Albert, Eileen Heckart, Paul Michael Glaser, Michael Warren</t>
  </si>
  <si>
    <t>Gegen den Willen seiner Mutter zieht Don Baker, der von Geburt an blind ist, in eine eigene Wohnung, wo er bald seine Nachbarin, die Schauspielerin Jill, kennenlernt. Obwohl die beiden grundverschieden sind, können sie sehr viel voneinander lernen.</t>
  </si>
  <si>
    <t>Sugarland Express</t>
  </si>
  <si>
    <t>The Sugarland Express</t>
  </si>
  <si>
    <t>Crime, Drama</t>
  </si>
  <si>
    <t>tt0072226</t>
  </si>
  <si>
    <t>Goldie Hawn, Ben Johnson, Michael Sacks</t>
  </si>
  <si>
    <t>Eine junge Frau und ihr aus dem Gefängnis geflohener Ehemann wollen ihr von den Behörden zur Adoption freigegebenes Kind zurückholen und verwickeln sich in eine Entführungsaktion. Mit einem Polizisten als Geisel und einer Kolonne von Verfolgern auf den Fersen fahren sie quer durch Texas, verursachen einen Sensationszirkus und enden im Kugelhagel der Polizei.</t>
  </si>
  <si>
    <t>Grace Kelly</t>
  </si>
  <si>
    <t>tt0085616</t>
  </si>
  <si>
    <t>Cheryl Ladd, Lloyd Bridges, Diane Ladd</t>
  </si>
  <si>
    <t>BL4GQM~B</t>
  </si>
  <si>
    <t>Ein Mädchen vom Lande</t>
  </si>
  <si>
    <t>tt4313576</t>
  </si>
  <si>
    <t>Ernst Deutsch, Hannelore Schroth, Heinz Drache</t>
  </si>
  <si>
    <t>Ein einstiger Star findet nach Jahren persönlicher und familiärer Krise wieder Anschluß an eine neue Karriere.</t>
  </si>
  <si>
    <t>Grünes Feuer</t>
  </si>
  <si>
    <t>Green Fire</t>
  </si>
  <si>
    <t>tt0047050</t>
  </si>
  <si>
    <t>Stewart Granger, Grace Kelly, Paul Douglas, John Ericson, Murvyn Vye</t>
  </si>
  <si>
    <t>Der Abenteurer Rian Mitchell entdeckt in Kolumbien einen alten Stollen, in dem er ein üppiges Smaragdvorkommen vermutet. Zusammen mit seinem Kumpel Vic will er die Mine ausbeuten. Wäre da nur nicht die hübsche Plantagenbesitzerin Catherine Knowland, die der Sache skeptisch gegenüber steht... Selten gezeigter, farbenprächtiger Abenteuerfilm aus der goldenen Ära Hollywoods. In den Hauptrollen sind die damaligen Superstars Stewart Granger und die zudem bezaubernde Grace Kelly zu sehen.</t>
  </si>
  <si>
    <t>Mogambo</t>
  </si>
  <si>
    <t>tt0046085</t>
  </si>
  <si>
    <t>Clark Gable, Grace Kelly, Ava Gardner</t>
  </si>
  <si>
    <t>Clark Gable spielt eine seiner großen Paraderollen als wortkarger Einzelgänger Victor Marswell, der sich als Großwildjäger in die afrikanische Wildnis zurückgezogen hat. Eines Tages wird seine Abgeschiedenheit durch zwei aufregende Frauen durcheinander gebracht: Gleichzeitig treten die Tänzerin Eloise und die elegante Linda Nordley in sein Leben. Beide verlieben sich in den verschlossenen Abenteuerer. Auf einer Safari kommt es zur gefährlichen Konfrontation...</t>
  </si>
  <si>
    <t>Vierzehn Stunden</t>
  </si>
  <si>
    <t>Fourteen Hours</t>
  </si>
  <si>
    <t>tt0043560</t>
  </si>
  <si>
    <t>Paul Douglas, Richard Basehart, Barbara Bel Geddes, Debra Paget, Agnes Moorehead</t>
  </si>
  <si>
    <t>Ein junger Mann ist mit der Welt am Ende: Seinen Eltern meint er nichts zu bedeuten und er glaubt, dass er seine Freundin nicht glücklich machen kann. Von seinen Sorgen getrieben, landet er auf dem Sims eines Hochhauses, fest entschlossen sich das Leben zu nehmen. Doch ein beherzter Polizist versucht ihn mit allen Mitteln davon abzuhalten...</t>
  </si>
  <si>
    <t>Gregory Peck</t>
  </si>
  <si>
    <t>A Conversation with Gregory Peck</t>
  </si>
  <si>
    <t>tt6999106</t>
  </si>
  <si>
    <t>Gregory Peck, Cecilia Peck, Veronique Peck</t>
  </si>
  <si>
    <t>Der Fall Paradin</t>
  </si>
  <si>
    <t>The Paradine Case</t>
  </si>
  <si>
    <t>Drama, Mystery, Liebesfilm</t>
  </si>
  <si>
    <t>tt0039694</t>
  </si>
  <si>
    <t>Gregory Peck, Ann Todd, Alida Valli, Charles Laughton, Charles Coburn</t>
  </si>
  <si>
    <t>Die schöne Mrs. Paradin wird verdächtigt, ihren blinden Mann vergiftet zu haben. Der Anwalt Keane wird mit ihrer Verteidigung beauftragt. Obwohl verheiratet, erliegt er schon bald den verführerischen Reizen seiner charismatischen Mandantin. Als sich im Laufe des Verfahrens herausstellt, dass Mrs. Paradin ein Verhältnis mit ihrem Stallknecht Latour hatte, versucht Keane den Liebhaber in einem harten Kreuzverhör als Mörder zu entlarven. Das Manöver misslingt, Latour belastet Mrs. Paradin und begeht anschließend Selbstmord. Keane muss erkennen, dass seine Mandantin schuldig ist – seine Karriere ist zerstört.</t>
  </si>
  <si>
    <t>Des Königs Admiral</t>
  </si>
  <si>
    <t>Captain Horatio Hornblower R.N.</t>
  </si>
  <si>
    <t>Abenteuer, Kriegsfilm, Historie</t>
  </si>
  <si>
    <t>tt0043379</t>
  </si>
  <si>
    <t>Gregory Peck, Virginia Mayo, Robert Beatty, Moultrie Kelsall, Terence Morgan</t>
  </si>
  <si>
    <t>Im Auftrag der englischen Krone soll Captain Horatio Hornblower einem südamerikanischen Diktator Waffen für den Kampf gegen Spanien liefern. Er ist noch auf hoher See, da schließen England und Spanien Frieden.So kann Captain Hornblower mühelos die englische Gefangene Lady Barbara von einem spanischen Schiff befreien. Er verliebt sich in die Schöne, doch das Schicksal will es, daß beide schon in festen Händen sind. So bringt der Captain seinen Schützling nach England und zieht resigniert in den Krieg gegen Napoleon.</t>
  </si>
  <si>
    <t>Die 27. Etage</t>
  </si>
  <si>
    <t>Mirage</t>
  </si>
  <si>
    <t>tt0059448</t>
  </si>
  <si>
    <t>Gregory Peck, Diane Baker, Walter Matthau, Robert H. Harris, Kevin McCarthy</t>
  </si>
  <si>
    <t>Atomwissenschaftler David Stillwell  muss hilflos mitansehen, wie sein Chef aus einem Fenster im 27. Stock in den Tod stürzt. Stillwell verliert aufgrund des Schocks sein Gedächtnis. Plötzlich bekommt er es aus für ihn mysteriösen Gründen mit unbekannten Verfolgern zu tun. Nachdem Stillwell bei der Polizei abblitzt, engagiert er einen Privatdetektiv der die rätselhaften Vorgänge entschlüsseln soll.</t>
  </si>
  <si>
    <t>Die Entscheidung</t>
  </si>
  <si>
    <t>Die Alpenklinik - Riskante Entscheidung</t>
  </si>
  <si>
    <t>Germany, Austria</t>
  </si>
  <si>
    <t>tt1314694</t>
  </si>
  <si>
    <t>Erol Sander, Anica Dobra, Sigmar Solbach</t>
  </si>
  <si>
    <t>Pittsburgh, Ende des 19. Jahrhunderts: Als sich der Fabrikantensohn Paul Scott in die Arbeitertochter Mary Rafferty verliebt, stehen die Eltern Kopf. Zuerst behindert nur der soziale Stand das junge Glück, doch als ein Stahlarbeiterstreik ausbricht, werden die Väter des Paares auch noch zu erbitterten Gegnern…</t>
  </si>
  <si>
    <t>Die Wildnis ruft</t>
  </si>
  <si>
    <t>The Yearling</t>
  </si>
  <si>
    <t>Drama, Familie, Western</t>
  </si>
  <si>
    <t>tt0039111</t>
  </si>
  <si>
    <t>Gregory Peck, Jane Wyman, Claude Jarman Jr., Chill Wills, Clem Bevans</t>
  </si>
  <si>
    <t>Die Wildnis ruft ist die bewegende Geschichte des kleinen Jody und seines Freundes – einem verwaisten Rehkitz – in den Sümpfen Floridas. Die Hollywood-Legende Gregory Peck ist hier in einem Oscar-gekrönten Meisterwerk, nach dem berühmten Roman von Marjorie Rawlings, zu sehen.</t>
  </si>
  <si>
    <t>Die zweite Wahl</t>
  </si>
  <si>
    <t>Murphy's Romance</t>
  </si>
  <si>
    <t>Komödie, Drama, Liebesfilm</t>
  </si>
  <si>
    <t>tt0089643</t>
  </si>
  <si>
    <t>Sally Field, James Garner, Brian Kerwin, Corey Haim, Dennis Burkley</t>
  </si>
  <si>
    <t>Emma (Sally Field) hat endgültig die Nase voll. Nach der Scheidung zieht sie mit Sohn Jake (Corey Haim) auf eine Pferderanch nach Arizona. Dort lernt sie den 60-jährigen Drugstore-Besitzer Murphy Jones (James Garner) kennen und schätzen. Ausgerechnet jetzt taucht Emmas Ex-Mann Bobby (Brian Kerwin) auf und macht es sich in ihrem neuen Zuhause gemütlich. Er kehrt schnell zu seinen unangenehmen Gewohnheiten zurück und legt sich mit Murphy an… Mit Regisseur Martin Ritt drehte Sally Field auch das Politdrama „Norma Rae – Eine Frau steht ihren Mann“, für den sie 1979 den Oscar erhielt.</t>
  </si>
  <si>
    <t>Schlüssel zum Himmelreich</t>
  </si>
  <si>
    <t>The Keys of the Kingdom</t>
  </si>
  <si>
    <t>tt0036983</t>
  </si>
  <si>
    <t>Gregory Peck, Thomas Mitchell, Vincent Price, Rose Stradner, Roddy McDowall</t>
  </si>
  <si>
    <t>Monsignore von Tweedside leitet Untersuchungen gegen Pastor Chrisholm, über den einige Beschwerden eingegangen sind. Zufällig geraten ihm die Tagebücher des Pastoren in die Hände und erfährt dort interessante Dinge: Einst arbeitete dieser in China als Missionar und erlitt Armut, Hunger, Krankheit und Elend. Doch nach und nach gewann er das Vertrauen der Chinesen, während ein alter Schulfreund mit List und Tücke immer höhere Ämter in der Kirche bekleidete. Gibt es ein Geheimnis hinter den Beschwerden gegen Pastor Chrisholm?</t>
  </si>
  <si>
    <t>Sturmfahrt nach Alaska</t>
  </si>
  <si>
    <t>The World in His Arms</t>
  </si>
  <si>
    <t>tt0045339</t>
  </si>
  <si>
    <t>Gregory Peck, Ann Blyth, Anthony Quinn, John McIntire, Carl Esmond</t>
  </si>
  <si>
    <t>Der mit Robbenpelzen handelnde Kapitän Jonathan Clark lernt um 1850 in San Francisco die russische Adelige Marina kennen, die ihn bittet, sie mit seinem Schiff nach Alaska zu bringen, um so der geplanten Hochzeit mit dem sinistren Prinzen Semyon zu entgehen. Die beiden verlieben sich ineinander, doch Seymon schreitet zur Tat und entführt Marina mit dem Schiff, um sie dann mittels Erpressung zur Heirat zu zwingen. Clark, der ständig noch mit seinem Intimfeind und Haudegen-Konkurrenten Portugee - welcher Marina ebenfalls mag - zu kämpfen hat, nimmt die Verfolgung auf...</t>
  </si>
  <si>
    <t>Tabu der Gerechten</t>
  </si>
  <si>
    <t>Gentleman's Agreement</t>
  </si>
  <si>
    <t>tt0039416</t>
  </si>
  <si>
    <t>Gregory Peck, Dorothy McGuire, John Garfield, Celeste Holm, Anne Revere</t>
  </si>
  <si>
    <t>Der verwitwete Journalist Phil Green soll in seinem ersten Artikel für ein New Yorker Magazin über antisemitische Tendenzen in den USA schreiben. Um besseren Einblick zu bekommen, gibt er sich selbst als Jude aus. Das Resultat übertrifft seine Erwartungen: Mit Ausnahme der Moderedakteurin Anne verhalten sich seine neuen Kollegen abweisend und auch außerhalb der Arbeit erfährt Phil Benachteiligungen und Diskriminierung. Dies geht sogar so weit, dass sein Sohn  in der Schule wegen seines angeblichen Judentums verprügelt wird und Phils Verlobte Kathy die Verbindung in Frage stellt.</t>
  </si>
  <si>
    <t>Warum hab ich ja gesagt</t>
  </si>
  <si>
    <t>Katie Fforde - Warum hab ich ja gesagt?</t>
  </si>
  <si>
    <t>tt5148112</t>
  </si>
  <si>
    <t>Ursula Karven, Marek Erhardt, Nick Julius Schuck, Christian Erdmann</t>
  </si>
  <si>
    <t>Sportreporter Mike und Modedesignerin Marilla heiraten Hals über Kopf, um gleich festzustellen, dass sie nicht zusammenpassen. Er kann mit Marillas Modekollegen nichts anfangen, ihr sind Mikes Pokerfreunde suspekt. Dann findet Marilla auch noch das Foto einer unbekannten Schönheit ...</t>
  </si>
  <si>
    <t>Wer die Nachtigall stört</t>
  </si>
  <si>
    <t>To Kill a Mockingbird</t>
  </si>
  <si>
    <t>tt0056592</t>
  </si>
  <si>
    <t>Mary Badham, Gregory Peck, Phillip Alford, John Megna, Frank Overton</t>
  </si>
  <si>
    <t>Rechtsanwalt Atticus Finch lebt mit seiner Tochter Scout und seinem Sohn Jem in einer Kleinstadt in Alabama. Als im Jahre 1932 der Farbige Tom Robinson angeklagt wird, eine Weiße vergewaltigt zu haben, verwandelt sich der kleine Ort in ein Pulverfass. Schon bald nachdem Atticus zum Pflichtverteidiger für Tom bestellt worden ist, bekommen auch die Kinder die wachsende Intoleranz zu spüren. Nach Kräften bemüht sich der einfühlsame Vater, ihnen die Vorgänge verständlich zu machen. Doch auch er spürt insgeheim, dass es für den blindwütigen Fanatismus und den tiefsitzenden Rassenhass seiner Mitbürger in Kinderseelen keine vorstellbaren Begriffe geben kann. Dabei stehen Atticus Finch und den Kindern die dramatischsten Stunden erst noch bevor .</t>
  </si>
  <si>
    <t>Harrison Ford</t>
  </si>
  <si>
    <t>Timeless Heroes: Indiana Jones and Harrison Ford</t>
  </si>
  <si>
    <t>tt30023697</t>
  </si>
  <si>
    <t>Harrison Ford, Phoebe Waller-Bridge, Kathleen Kennedy</t>
  </si>
  <si>
    <t>Ein detaillierter Blick auf einen unglaublichen Moment in der Filmgeschichte, als Steven Spielberg und George Lucas ein fantastisches Kreativteam zusammenstellten, um gemeinsam an einem weiteren Meilenstein der Filmgeschichte zu arbeiten, mit bisher unveröffentlichtem Filmmaterial und Interviews mit Spielberg, Lucas, Harrison Ford, Kathleen Kennedy, Frank Marshall, James Mangold und vielen anderen.</t>
  </si>
  <si>
    <t>A6JA44~8</t>
  </si>
  <si>
    <t>AESFXP~K</t>
  </si>
  <si>
    <t>Ausnahmesituation</t>
  </si>
  <si>
    <t>Extraordinary Measures</t>
  </si>
  <si>
    <t>tt1244659</t>
  </si>
  <si>
    <t>Brendan Fraser, Harrison Ford, Keri Russell, Courtney B. Vance, Meredith Droeger</t>
  </si>
  <si>
    <t>Kaum sind die materiellen Sorgen aus der Welt, holt einen das Schicksal an anderer Stelle ein: Der erfolgreiche Geschäftsmann John Crowley muss schockiert erfahren, dass zwei seiner Sprösslinge an einer tödlichen Erbkrankheit leiden, gegen die es bisher kein adäquates Mittel gibt. Doch der Familienvater gibt nicht auf: Im Internet stößt er auf die Veröffentlichungen von Dr. Robert Stonehill, der auf Grundlage seiner theoretischen Arbeit ein wirksames Medikament in Aussicht stellt. Zuerst möchte der eigensinnige Mediziner nichts von einer Zusammenarbeit wissen. Erst als Crowley ihn mit seiner Frau Aileen und den erkrankten Kindern bekannt macht, beginnt der harte Kern des Wissenschaftlers zu schmelzen. Nun fehlen nur noch die benötigten finanziellen Mittel…</t>
  </si>
  <si>
    <t>Der einzige Zeuge</t>
  </si>
  <si>
    <t>Witness</t>
  </si>
  <si>
    <t>Krimi, Drama, Liebesfilm, Thriller</t>
  </si>
  <si>
    <t>tt0090329</t>
  </si>
  <si>
    <t>Harrison Ford, Kelly McGillis, Josef Sommer, Lukas Haas, Jan Rubeš</t>
  </si>
  <si>
    <t>Inspector John Book soll einen Mord an einem Kollegen aufklären, den ein zehnjähriger Amish- Junge als einziger Zeuge beobachtet hat. Als er merkt, daß er mit dem Fall in ein Wespennest sticht, taucht Book in der ländlichen Sicherheit der Amish-People unter. Diese Nachfahren einer altdeutschen Reformsekte führen ein Leben mit den Mitteln des 16. Jahrhunderts, was für den überzeugten Großstädter Book eine Menge neuer Erfahrungen bedeutet. Auf die Bösewichte braucht er trotzdem nicht lange zu warten.</t>
  </si>
  <si>
    <t>Frantic</t>
  </si>
  <si>
    <t>France, United States, Canada, United Kingdom, Netherlands</t>
  </si>
  <si>
    <t>tt0095174</t>
  </si>
  <si>
    <t>Harrison Ford, Betty Buckley, Emmanuelle Seigner</t>
  </si>
  <si>
    <t>Die Frau des amerikanischen Herzchirurgen Walker verschwindet spurlos aus ihrem Pariser Hotelzimmer. Walker macht sich in der fremden Stadt auf die Suche. Ein versehentlich vertauschter Koffer vom Flughafen bringt einen Anhaltspunkt. Er findet die Besitzerin, eine Französin, die für dunkle Gestalten einen Bombenzünder ins Land geschmuggelt hat. Zu zweit nehmen sie Kontakt mit den Waffenschiebern auf.</t>
  </si>
  <si>
    <t>Indiana Jones - Jäger des verlorenen Schatzes</t>
  </si>
  <si>
    <t>Raiders of the Lost Ark</t>
  </si>
  <si>
    <t>Abenteuer, Action</t>
  </si>
  <si>
    <t>tt0082971</t>
  </si>
  <si>
    <t>Harrison Ford, Karen Allen, Paul Freeman, John Rhys-Davies, Ronald Lacey</t>
  </si>
  <si>
    <t>Der Archäologe Dr. Henry Jones wird von Regierungsagenten auf die Bundeslade angesetzt, das Behältnis, in dem Moses Gesetzestafeln aufbewahrt wurden. Laut Geheiminformationen suchen auch die Nazis nach der Lade, da sie den Besitzer unbesiegbar machen soll. Jones, genannt Indiana Jones, reist daraufhin nach Nepal, wo er einen alten Kollegen aufspüren will, jedoch nur dessen Tochter findet, die sich ihm anschließt. Ein altes Schmuckstück führt sie nach Ägypten, wo die Nazis mit Belloqs Hilfe bereits Ausgrabungen vornehmen. So kommt es zum Wettlauf um die Auffindung der Quelle der Seelen…</t>
  </si>
  <si>
    <t>Indiana Jones Und Der Letzte Kreuzzug</t>
  </si>
  <si>
    <t>Indiana Jones and the Last Crusade</t>
  </si>
  <si>
    <t>tt0097576</t>
  </si>
  <si>
    <t>Harrison Ford, Sean Connery, Denholm Elliott, Alison Doody, John Rhys-Davies</t>
  </si>
  <si>
    <t>Wir schreiben das Jahr 1938: Doktor Jones wird vom Mäzen eines Museums beauftragt, den Heiligen Gral und somit die wichtigste Reliquie der Christenheit zu finden. Jones' Einwand, es würde der falsche Jones gefragt werden, denn der eigentliche Experte sei sein Vater Henry, fördert nur die Erkenntnis zu Tage, dass Jones senior bereits die Spur aufgenommen hatte, mittlerweile aber verschwunden ist. Nun ist des Doktors Jagdinstinkt geweckt. Besorgt um das Wohlergehen des Vaters und mit dem Museumskurator Marcus Brody im Gepäck tritt Jones eine Reise in die alte Welt an, um das zustande zu bringen, was die mittelalterlichen Kreuzzüge nicht geschafft hatten: den Kelch zu finden, der beim letzten Abendmahl gereicht worden war und das Blut Jesu am Kreuz aufgefangen hatte. Erwartungsgemäß ist aber nicht nur der Doktor auf der Suche - auch die Schergen Hitlers wollen sich die Sagen umwobenen Kräfte des Kelches sichern, verheißt er doch das ewige Leben…</t>
  </si>
  <si>
    <t>Indiana Jones und der Tempel des Todes</t>
  </si>
  <si>
    <t>Indiana Jones and the Temple of Doom</t>
  </si>
  <si>
    <t>tt0087469</t>
  </si>
  <si>
    <t>Harrison Ford, Kate Capshaw, Ke Huy Quan, Amrish Puri, Roshan Seth</t>
  </si>
  <si>
    <t>Indiana Jones kehrt zurück! Nachdem er bei der Erringung eines Diamanten in einem Nachtclub in Shanghai beinahe vergiftet, erdolcht und erschossen wurde, flieht er mit einer halbhysterischen Clubsängerin und seinem jungen asiatischen Freund Short Round mit einem Flugzeug. Doch über Indien wird auch hier ein Mordversuch gegen sie ausgeführt und alle drei müssen abspringen. Sie gelangen in ein Dorf, aus dem heilige Steine und sämtliche Kinder entführt wurden. Die Spur führt zu einem Fürstenpalast im Dschungel, wo sie einem machtgierigen Jungfürsten auf die Spur kommen, der die Kinder in den Minen arbeiten läßt. Doch hinter ihm steht ein noch machtvollerer Sektenführer...</t>
  </si>
  <si>
    <t>Mosquito Coast</t>
  </si>
  <si>
    <t>The Mosquito Coast</t>
  </si>
  <si>
    <t>Adventure, Drama, Thriller</t>
  </si>
  <si>
    <t>tt0091557</t>
  </si>
  <si>
    <t>Harrison Ford, Helen Mirren, River Phoenix</t>
  </si>
  <si>
    <t>Der Idealist Allie Fox wandert mit seiner Familie aus und baut sich eine neue Existenz in der sogenannten Mosquito Coast in Honduras auf. Fortan leben sie abgeschottet von der Zivilisation in ihrem kleinen Paradies. Mit der Zeit wird aber immer klarer, dass sich Allie in einen Herrscherwahn reinsteigert.</t>
  </si>
  <si>
    <t>Ruf der Wildnis</t>
  </si>
  <si>
    <t>Adventure Yellowstone - Der Ruf der Wildnis</t>
  </si>
  <si>
    <t>★★★★★</t>
  </si>
  <si>
    <t>tt14949440</t>
  </si>
  <si>
    <t>Bucks glückliches Hundeleben wird vollkommen auf den Kopf gestellt, als er seinem Zuhause in Kalifornien entrissen wird und sich plötzlich in der fremden Wildnis Alaskas zu Zeiten des Goldrauschs wiederfindet. Er wird in ein Rudel von Post-Schlittenhunden gesteckt und muss sich hier erst einmal behaupten. Nachdem Buck einen gefährlichen Befehl verweigert, wird er lebensgefährlich verletzt. Zum Glück findet ihn John Thornton, der Buck wieder aufpäppelt und gesundpflegt. Die beiden werden unzertrennliche Freunde und für Buck beginnt das Abenteuer seines Lebens, bis er schließlich seinen wahren Platz in der Welt findet.</t>
  </si>
  <si>
    <t>Sechs Tage, sieben Nächte</t>
  </si>
  <si>
    <t>Six Days Seven Nights</t>
  </si>
  <si>
    <t>Romanze</t>
  </si>
  <si>
    <t>Anne Heche, Harrison Ford, David Schwimmer, Jacqueline Obradors, Temuera Morrison</t>
  </si>
  <si>
    <t>Workaholic Robin macht mit ihrem Verlobten Frank Urlaub auf Hawaii. Als Robin beruflich von dort nach Tahiti muss, bleibt ihr nichts anderes als mit dem klapprigen Flieger des Aussteigers Quinn mitzufliegen. Prompt stürzt die Maschine ab und die beiden landen auf einer einsamen Insel.</t>
  </si>
  <si>
    <t>Helen Hunt</t>
  </si>
  <si>
    <t>Hunter from Elswhere - Eine Reise mit Helen Britton</t>
  </si>
  <si>
    <t>DE</t>
  </si>
  <si>
    <t>tt14752164</t>
  </si>
  <si>
    <t>Helen Britton</t>
  </si>
  <si>
    <t>Der Film begleitet die Künstlerin auf ihrer Suche nach kostbaren und alltäglichen Materialien und ihrer Erkundung fast vergessener Handwerkstechniken und zeigt ihre Begegnungen mit den letzten verbliebenen Bewahrern eines verschwindenden Wissens, folgt ihr von Idar-Oberstein (Rheinland-Pfalz) über Lauscha (Thüringen) bis nach Newcastle (New South Wales) und Bangkok.</t>
  </si>
  <si>
    <t>Das Glücksprinzip</t>
  </si>
  <si>
    <t>Pay It Forward</t>
  </si>
  <si>
    <t>tt0223897</t>
  </si>
  <si>
    <t>Kevin Spacey, Helen Hunt, Angie Dickinson, Haley Joel Osment, Jay Mohr</t>
  </si>
  <si>
    <t>Eugene Simonet ist Lehrer und will einen seiner Schüler dazu ansporen die Welt zu verbessern. Dieser entwickelt das "Pay it forward-Prinzip": tue einem Menschen etwas Gutes und dieser wird es an drei weitere Menschen weitergeben.</t>
  </si>
  <si>
    <t>Peggy Sue hat geheiratet</t>
  </si>
  <si>
    <t>Peggy Sue Got Married</t>
  </si>
  <si>
    <t>Komödie, Drama, Fantasy</t>
  </si>
  <si>
    <t>tt0091738</t>
  </si>
  <si>
    <t>Kathleen Turner, Nicolas Cage, Barry Miller, Catherine Hicks, Joan Allen</t>
  </si>
  <si>
    <t>Peggy Sue, Geschäftsfrau und Mutter zweier Kinder, will sich gerade von ihrem windigen Mann Charlie scheiden lassen. Auf einem Klassentreffen zum 25. Abschlußjubiläum bricht sie ohnmächtig zusammen und erwacht im Jahre 1960. Mit dem Wissen einer reifen Frau erlebt sie erneut die turbulente Zeit ihrer eigenen Pubertät, lernt Charlie neu schätzen und bleibt - zurück in der Zukunft - mit ihm zusammen.</t>
  </si>
  <si>
    <t>Soul Surfer</t>
  </si>
  <si>
    <t>Biography, Drama, Family</t>
  </si>
  <si>
    <t>tt1596346</t>
  </si>
  <si>
    <t>AnnaSophia Robb, Dennis Quaid, Helen Hunt</t>
  </si>
  <si>
    <t>Die 13-jährige Bethany Hamilton ist der Hoffnungsträger des professionellen Surfsports auf Hawaii, als sie beim Training plötzlich von einem Tigerhai angegriffen wird. Sie verliert dabei ihren linken Arm. Zunächst unter Schock durch dieses traumatische Erlebnis und mit geplatzten Zukunftsträumen, schöpft Bethany bald wieder Hoffnung und findet zu ihrem Glauben an Gott und an das Leben selbst zurück. Bereits einen Monat nach ihrem Unfall steht sie wieder auf dem Surfbrett.</t>
  </si>
  <si>
    <t>Helen Hunt, Bill Paxton, Jami Gertz</t>
  </si>
  <si>
    <t>Humphrey Bogart</t>
  </si>
  <si>
    <t>Becoming Attractions: The Trailers of Humphrey Bogart</t>
  </si>
  <si>
    <t>tt0423855</t>
  </si>
  <si>
    <t>Robert Osborne, Humphrey Bogart</t>
  </si>
  <si>
    <t>Casablanca</t>
  </si>
  <si>
    <t>tt0034583</t>
  </si>
  <si>
    <t>Humphrey Bogart, Ingrid Bergman, Paul Henreid</t>
  </si>
  <si>
    <t>Während des Zweiten Weltkrieges betreibt der zynische Amerikaner Rick Blaine eine Bar in Casablanca, in der eines Tages der vor den Nazis geflohene Widerstandskämpfer Victor Laszlo mit seiner Frau Ilsa auftaucht. Von Nazi-Major Strasser verfolgt hoffen sie, dass ihnen Rick zur Flucht in die USA verhelfen kann. Nach anfänglicher Weigerung erfüllt Rick, der früher eine Affäre mit Ilsa hatte, ihren Wunsch. Kurz vor dem Abflug muss sich Ilsa endgültig zwischen den beiden Männern entscheiden.</t>
  </si>
  <si>
    <t>Die Caine war ihr Schicksal</t>
  </si>
  <si>
    <t>tt0926045</t>
  </si>
  <si>
    <t>Robert Meyn, Hans Paetsch, Josef Dahmen</t>
  </si>
  <si>
    <t>Kapitän Queeg übernimmt das Kommando auf der US "Caine". Er verwirrt seine Mannschaft mit unverständlichen Entscheidungen über die Führung des Schiffes. Nach und nach wird die Situation immer unhaltbarer, die Mannschaft merkt, daß Queeg neurotisch ist und eine Gefahr für alle darstellt. Als der Kapitän während eines Hurrikans völlig die Nerven verliert, übernimmt der Zweite Offizier das Kommando, um das Schiff zu retten. Für Queeg ist das Meuterei. Er rächt sich bitter für die Schande während der Verhandlung vor dem Militärgericht.</t>
  </si>
  <si>
    <t>Die Maske Runter</t>
  </si>
  <si>
    <t>Deadline - U.S.A.</t>
  </si>
  <si>
    <t>Krimi, Drama</t>
  </si>
  <si>
    <t>tt0044533</t>
  </si>
  <si>
    <t>Humphrey Bogart, Ethel Barrymore, Kim Hunter, Ed Begley, Warren Stevens</t>
  </si>
  <si>
    <t>Der Chefredakteur Ed Hutcheson kämpft an drei Fronten: Er muss sich gegen die Machenschaften eines einflussreichen Gangsterchef wehren, er will seinen Zeitungsbetrieb aufrecht erhalten und im gleichen Zug seine Ehe retten. Der Film zeigt die Notwendigkeit einer unabhängigen Presse.</t>
  </si>
  <si>
    <t>Die schwarze Natter</t>
  </si>
  <si>
    <t>½</t>
  </si>
  <si>
    <t>tt0200092</t>
  </si>
  <si>
    <t>Emmerich Hanus, Miriam Horwitz, Margarete Hübler</t>
  </si>
  <si>
    <t>Vincent Parry, der zu Unrecht wegen Mordes an seiner Frau verurteilt war, flieht aus San Quentin. Eine junge Frau, Irene Jansen, liest ihn auf, erkennt ihn, hilft ihm trotzdem auf der Flucht und quartiert ihn sogar bei sich ein. Parry unterzieht sich einer Gesichtsoperation und klärt danach auf eigene Faust den Mord an seiner Frau. Er schaltet dabei noch einen kleinen erpresserischen Ganoven aus und klärt außerdem den Mord an seinem einzigen Freund. Zum Happy End treffen sich Parry und Jansen in Peru, um neu zu beginnen.</t>
  </si>
  <si>
    <t>Die Spur des Falken</t>
  </si>
  <si>
    <t>The Maltese Falcon</t>
  </si>
  <si>
    <t>Mystery, Krimi, Thriller</t>
  </si>
  <si>
    <t>tt0033870</t>
  </si>
  <si>
    <t>Humphrey Bogart, Mary Astor, Gladys George, Peter Lorre, Barton MacLane</t>
  </si>
  <si>
    <t>Im Auftrag einer Frau beschattet Privatdetektiv Miles Archer einen Mann. Doch schnell entwickelt sich der anfängliche Routineauftrag für Archers Partner, den hartgesottenen, zynischen Sam Spade  zu einer heimtückischen Falle: Als sowohl Archer als auch der zu beschattende Mann ermordet werden, gerät Spade selber unter Mordverdacht. Bei seinen Recherchen stößt er auf eine Gruppe zwielichtiger Gestalten, die alle einer wertvollen Statue hinterherjagen: dem geheimnisvollen Malteser Falken.</t>
  </si>
  <si>
    <t>Haben und Nichthaben</t>
  </si>
  <si>
    <t>To Have and Have Not</t>
  </si>
  <si>
    <t>Abenteuer, Liebesfilm, Kriegsfilm</t>
  </si>
  <si>
    <t>tt0037382</t>
  </si>
  <si>
    <t>Humphrey Bogart, Walter Brennan, Lauren Bacall, Dolores Moran, Hoagy Carmichael</t>
  </si>
  <si>
    <t>Eine der größten Liebesgeschichten des 20. Jahrhunderts ist diesem Film zuzuschreiben: Das spätere Ehepaar Humphrey Bogart und Lauren Bacall lernte sich während der Dreharbeiten kennen. Bogart spielt darin den romantischen Helden Harry Morgan, der sich vom zynischen Beobachter zum aktiven Kämpfer wandelt. Morgan, Besitzer eines Kabinenbootes auf der Insel Martinique, wird von dem Gaullisten Gerard gebeten, einen französischen Untergrundkämpfer einzuschmuggeln. Morgan weigert sich, Politik ist nicht seine Sache. Seine Meinung ändert sich, als er die junge Amerikanerin Marie kennen lernt. Um ihr ein Flugticket zu kaufen, nimmt er den abenteuerlichen Job an. Nach einer Vorlage von Ernest Hemingway entstand ein Film voller Dramatik und erotischer Spannung.</t>
  </si>
  <si>
    <t>Orchid, der Gangsterbruder</t>
  </si>
  <si>
    <t>Brother Orchid</t>
  </si>
  <si>
    <t>Komödie, Krimi, Drama, Liebesfilm</t>
  </si>
  <si>
    <t>tt0032285</t>
  </si>
  <si>
    <t>Edward G. Robinson, Ann Sothern, Humphrey Bogart, Donald Crisp, Ralph Bellamy</t>
  </si>
  <si>
    <t>Gangsterboss John Sarto zieht sich aus dem Geschäft zurück, verlässt seine Freundin Flo Addams und bereist die Welt. Doch nach fünf Jahren kehrt er wieder in sein altes Revier zurück, um seine alte Gang wieder zu leiten. Doch die Gang wird nun von Jack Buck geführt. Zudem hat Flo ihre eigenen Geschäfte mit dem texanischen Rancher Clarence Fletcher laufen. Bald hat Sarto eine neue Gang aufgebaut und drängt mit Kraft in sein altes Revier vor. Bucks Männer verüben einen Anschlag auf Sarto, den er schwer verletzt überlebt. Er kann in ein Kloster flüchten, wo er nicht nur gesundgepflegt wird, sondern auch unter dem Einfluss der Mönche seine Weltanschauung ändert.</t>
  </si>
  <si>
    <t>Schach dem Teufel</t>
  </si>
  <si>
    <t>Beat the Devil</t>
  </si>
  <si>
    <t>IT, GB, US</t>
  </si>
  <si>
    <t>Abenteuer, Komödie</t>
  </si>
  <si>
    <t>tt0046414</t>
  </si>
  <si>
    <t>Humphrey Bogart, Jennifer Jones, Gina Lollobrigida, Robert Morley, Peter Lorre</t>
  </si>
  <si>
    <t>Das abenteuerlustige Ehepaar Dannreuther trifft in einem italienischen Hafen auf ein Ehepaar, welches zu seiner Kaffeeplantage in Afrika will. um sie scharen sich vier Gauner, angeführt von dem undurchsichtigen Petersen.  Auf See explodiert das Schiff, auf dem alle nach Afrika wollen. Sie werden gerettet, geraten aber in arabische Gefangenschaft. Nachdem sie wieder befreit werden, bleiben die Dannreuthers allein zurück. Die Gauner werden verhaftet und die Plantagenbesitzer stoßen auf ein Uranvorkommen.</t>
  </si>
  <si>
    <t>Tokio-Joe</t>
  </si>
  <si>
    <t>Tokyo Joe</t>
  </si>
  <si>
    <t>Drama, Thriller, Krimi</t>
  </si>
  <si>
    <t>tt0041967</t>
  </si>
  <si>
    <t>Humphrey Bogart, Alexander Knox, Florence Marly, Sessue Hayakawa, Jerome Courtland</t>
  </si>
  <si>
    <t>In Tokyo Joe spielt Bogart einen Oberst der Luftwaffe, der nach dem 2. Weltkrieg zurück nach Tokyo kehrt um seine Diskothek wieder aufzubauen, die er aufgeben musste. Als er erfährt, dass seine ehemalige Geliebte, eine Flüchtige aus Russland, noch am Leben ist und geheiratet hat, beschließt er sie zurück zu gewinnen.</t>
  </si>
  <si>
    <t>Tote schlafen fest</t>
  </si>
  <si>
    <t>The Big Sleep</t>
  </si>
  <si>
    <t>tt0038355</t>
  </si>
  <si>
    <t>Humphrey Bogart, Lauren Bacall, John Ridgely, Martha Vickers, Louis Jean Heydt</t>
  </si>
  <si>
    <t>Der Privatdetektiv Philip Marlowe wird von einer reichen Familie angeheuert. Bevor der komplizierte Fall gelöst ist, hat er es mit Mord, Erpressung und vielleicht Liebe zu tun.</t>
  </si>
  <si>
    <t>Von Stadt zu Stadt</t>
  </si>
  <si>
    <t>The Strawberry Blonde</t>
  </si>
  <si>
    <t>tt0034236</t>
  </si>
  <si>
    <t>James Cagney, Olivia de Havilland, Rita Hayworth, Alan Hale, Jack Carson</t>
  </si>
  <si>
    <t>Der glücklose Zirkusdirektor Nick Coster erkennt das Talent des jungen Käseverkäufers Matt Varney, der einen ausgebrochenen Löwen allein mit einer Mistgabel in Schach halten konnte. Unter der Leitung des einstmals berühmten Dompteurs "Hoffmann, der Große" lernt Matt das Handwerk von der Pike auf. Als Hoffmann sich immer mehr dem Alkohol ergibt, wird er von Coster gefeuert. Matt nimmt die ihm gebotene Chance wahr, und schon bald wird seine Löwennummer die Attraktion des Zirkus. Der von Neid zerfressene Hoffmann kehrt darauf noch einmal zurück, um sich an Matt zu rächen, und wird im Verlauf einer Schlägerei von einem seiner eigenen Löwen tödlich verletzt.</t>
  </si>
  <si>
    <t>Wir sind keine Engel</t>
  </si>
  <si>
    <t>We're No Angels</t>
  </si>
  <si>
    <t>tt0048801</t>
  </si>
  <si>
    <t>Humphrey Bogart, Aldo Ray, Peter Ustinov, Joan Bennett, Basil Rathbone</t>
  </si>
  <si>
    <t>Den drei Häftlingen Joseph, Albert und Julius gelingt an Weihnachten die Flucht von der Teufelsinsel. Während sie in einer französischen Kolonialstadt auf ein Schiff warten, wollen sie einen Laden ausrauben, um sich Proviant und Kleidung zu verschaffen. Doch wider Erwarten fassen sie Zuneigung zu den Betreibern und deren 18-jähriger Tochter. Als dann der hochnäsige Besitzer des Ladens mit dem jungen Paul auf der Bildfläche erscheint, beschließen sie, ihre "Gastfamilie" mit Hilfe der Giftschlange Adolf von diesen Plagen zu befreien.</t>
  </si>
  <si>
    <t>Ingrid Bergman</t>
  </si>
  <si>
    <t>Ingrid Bergman: In Her Own Words</t>
  </si>
  <si>
    <t>Sweden, Denmark, Germany</t>
  </si>
  <si>
    <t>tt4621016</t>
  </si>
  <si>
    <t>Ingrid Bergman, Pia Lindström, Robertino Rossellini</t>
  </si>
  <si>
    <t>Ein persönlicher und fesselnder Bericht über das außergewöhnliche Leben und Werk von Ingrid Bergman (1915-82), einer jungen Schwedin, die eine der berühmtesten Schauspielerinnen des Weltkinos wurde.</t>
  </si>
  <si>
    <t>Das Haus der Lady Alquist</t>
  </si>
  <si>
    <t>Gaslight</t>
  </si>
  <si>
    <t>Thriller, Drama, Mystery, Krimi</t>
  </si>
  <si>
    <t>tt0036855</t>
  </si>
  <si>
    <t>Charles Boyer, Ingrid Bergman, Joseph Cotten, May Whitty, Angela Lansbury</t>
  </si>
  <si>
    <t>Ende des 19. Jahrhunderts findet die kleine Paula Alquist ihre Tante Alice ermordet in ihrem Haus. Die Juwelen der Sängerin bleiben seitdem verschollen und der Mörder wird nie gefasst. Als Paula nach einem ausländischen Internatsaufenthalt zehn Jahre später an ihrer Gesangskarriere bastelt und sich in den Musiklehrer Gregory Anton verliebt, heiratet sie ihn schon wenige Zeit später. Die junge Künstlerin, welche die schrecklichen Ereignisse vergangener Tage mittlerweile vergessen hat, verbringt daraufhin die Flitterwochen mit ihrem Mann in eben jenem Haus in England, in dem ihre Tante umgebracht wurde. Anfangs scheint das Glück perfekt, doch im Laufe der Zeit geschehen merkwürdige und mysteriöse Dinge im Haus und Paula beginnt, an ihrem Verstand zu zweifeln …</t>
  </si>
  <si>
    <t>Schreie und Flüstern</t>
  </si>
  <si>
    <t>Viskningar och rop</t>
  </si>
  <si>
    <t>SE</t>
  </si>
  <si>
    <t>tt0069467</t>
  </si>
  <si>
    <t>Liv Ullmann, Ingrid Thulin, Kari Sylwan, Harriet Andersson, Erland Josephson</t>
  </si>
  <si>
    <t>Schwedisches Drama von Ingmar Bergman, in dem die beiden Schwestern Maria und Karin im Schweden des 18. Jahrhunderts zu ihrem Elternhaus zurückkehren, um sich von ihrer krebskranken Schwester Agnes zu verabschieden. Dort angekommen ist aber jede nur mit sich selbst beschäftigt.</t>
  </si>
  <si>
    <t>Stromboli</t>
  </si>
  <si>
    <t>Italy, United States</t>
  </si>
  <si>
    <t>tt0041931</t>
  </si>
  <si>
    <t>Ingrid Bergman, Mario Vitale, Renzo Cesana</t>
  </si>
  <si>
    <t>In den Jahren nach dem Zweiten Weltkrieg strandet die Litauerin Karin in einem italienischen Flüchtlingslager. Dort begegnet sie dem Soldaten Antonio. Um dem Lager zu entfliehen, zögert sie nicht lange: Sie heiratet Antonio und folgt ihm auf seine Heimatinsel Stromboli, wo er vor dem Krieg als Fischer sein Tagewerk verrichtete. Karin ist entsetzt über die Armut und die in jeder Beziehung einfachen Verhältnisse, die sie dort vorfindet. Als am schlimmsten empfindet sie jedoch die Bedrohung, die als Damoklesschwert über der Insel hängt – der aktive Vulkan, der über den Siedlungen thront. Die Bewohner der Insel empfangen Karin überwiegend mit Argwohn. Und auch Antonio stellt sich tumb und gewalttätig heraus. Die inzwischen schwangere Karin beschließt, dass sie ihr Kind nicht in dieser Umgebung zur Welt bringen will. Doch gerade, als sie einen Entschluss fasst, bricht der Vulkan aus und die Insel versinkt im Chaos…</t>
  </si>
  <si>
    <t>Jack Nicholson</t>
  </si>
  <si>
    <t>AFI Life Achievement Award: A Tribute to Jack Nicholson</t>
  </si>
  <si>
    <t>tt0156040</t>
  </si>
  <si>
    <t>Jack Nicholson, Peter Fonda, Kathleen Turner, Sean Penn</t>
  </si>
  <si>
    <t>Exzentrisch, unberechenbar und genial: Mit zwölf Oscar-Nominierungen hält Jack Nicholson den Schauspieler-Rekord, dreimal holte er Gold. Er ist eine Hollywood-Ikone, so allgegenwärtig wie unergründlich. Das Porträt wandelt mit Interviews und Filmausschnitten auf den Spuren des Filmstars und sucht nach dem Menschen hinter der Legende.</t>
  </si>
  <si>
    <t>Das letzte Kommando</t>
  </si>
  <si>
    <t>The Last Detail</t>
  </si>
  <si>
    <t>tt0070290</t>
  </si>
  <si>
    <t>Jack Nicholson, Otis Young, Randy Quaid, Clifton James, Carol Kane</t>
  </si>
  <si>
    <t>Zwei Matrosen, Buddusky und Mulhall müssen den jungen Straftäter Medows in ein Gefängnis nach Portsmouth überführen. Dabei entscheiden sich die beiden Matrosen dem Straftäter noch ein paar letzte schöne Stunden zu bereiten, bevor er für acht Jahre wegen eines Diebstahls hinter Gitter soll. Der Weg in den Knast führt durch Kneipen, billige Hotels und Bordelle.</t>
  </si>
  <si>
    <t>Einer flog über das Kuckucksnest</t>
  </si>
  <si>
    <t>One Flew Over the Cuckoo's Nest</t>
  </si>
  <si>
    <t>tt0073486</t>
  </si>
  <si>
    <t>Jack Nicholson, Brad Dourif, Louise Fletcher, Danny DeVito, William Redfield</t>
  </si>
  <si>
    <t>McMurphy ist ein krimineller gesellschaftlicher Außenseiter. Mitte dreißig, ehemaliger Korea-Kämpfer, wegen Ungehorsam aus der Armee entlassen, wird er wegen Schlägereien, Notzucht und Trunksucht in eine Strafanstalt eingeliefert. Von dort aus lässt er sich mit einem Trick zur Beobachtung in eine psychiatrische Anstalt überweisen. In die graue Welt einer anonymen Heilanstalt wird McMurphy eines Tages eingeliefert. Er findet dort ein unmenschliches System vor, das seine hilf- und willenlosen Patienten in „Chronische“ (schwere Fälle) und „Akute“ (leichte Fälle) aufteilt. Eine despotische Oberschwester unterdrückt mit einer Schar brutaler Wärter jede individualistische Regung. Der Zustand der Kranken wird mit pharmazeutischen Mitteln oder Elektroschock-Therapie „behandelt“ und dadurch noch weiter verschlechtert. In diesem System muss McMurphy wie ein Katalysator wirken … er stellt das System der Irrenanstalt in Frage und wiegelt die Insassen auf.</t>
  </si>
  <si>
    <t>Shining</t>
  </si>
  <si>
    <t>The Shining</t>
  </si>
  <si>
    <t>Drama, Horror</t>
  </si>
  <si>
    <t>tt0081505</t>
  </si>
  <si>
    <t>Jack Nicholson, Shelley Duvall, Danny Lloyd</t>
  </si>
  <si>
    <t>Der ehemalige Lehrer und Schriftsteller Jack Torrance übernimmt die Stelle des Hausverwalters in einem mit einem Mythos behafteten Berghotel in Colorado. Während der Wintermonate soll Jack das alleinstehende Gebäude im Auge behalten. Der Familienvater sieht darin die perfekte Gelegenheit, in Ruhe seinen Roman zu beenden. Auch seine Frau Wendy freut sich auf die Zeit im abgeschiedenen Hotel. Nur der sechsjährige Sohn Danny hat bei der ganzen Sache so seine Bedenken. Es dauert nicht lange bis die dunklen Vorahnungen und blutigen Visionen, die dem Jungen schon kurz nach dem Einzug das erste mal begegnen, zur Realität werden: Vater Jack beginnt immer mehr, den Verstand zu verlieren. Mit einer Axt bewaffnet, beginnt der wahnsinnig Gewordene die Jagd auf seine Familie.</t>
  </si>
  <si>
    <t>Wolf - Das Tier im Manne</t>
  </si>
  <si>
    <t>Wolf</t>
  </si>
  <si>
    <t>Horror, Drama, Liebesfilm</t>
  </si>
  <si>
    <t>tt0111742</t>
  </si>
  <si>
    <t>Jack Nicholson, Michelle Pfeiffer, James Spader, Kate Nelligan, Richard Jenkins</t>
  </si>
  <si>
    <t>Lektor Will Randall wird von einem Werwolf gebissen. Von da an verwandelt sich der Leisetreter in einem ehrgeizigen Mann. Er gibt seiner untreuen Ehefrau den Laufpass und bootet seinen Konkurrenten aus. Als dieser ebenfalls zum Werwolf wird, kommt es zum erbarmungslosen Kampf auf Leben und Tod.</t>
  </si>
  <si>
    <t>Zeit der Zärtlichkeit</t>
  </si>
  <si>
    <t>Die kurze Zeit der Zärtlichkeit</t>
  </si>
  <si>
    <t>tt0270465</t>
  </si>
  <si>
    <t>Mira Gittner, Christoph Gareisen, Marina Anna Eich</t>
  </si>
  <si>
    <t>Seit dem Tod ihres Mannes besteht das Leben von Aurora Greenway nur noch aus der Beziehung zu ihrer Tochter Emma. Die beiden sind wie dicke Freundinnen. Doch je älter Emma wird, desto komplizierter wird die Beziehung zwischen Mutter und Tochter. Als Emma heiratet und Aurora mit dem Schwiegersohn nicht einverstanden ist, kommt es zum Bruch. Während Emma eine Familie gründet und dickköpfig in die Ehekrise schliddert, steht Aurora mit einem Mal alleine da. Völlig alleingelassen, kommt sie ihrem Nachbarn Garrett näher. Aber das Schicksal schlägt zu und die Mutter wird wieder mit dem Tod konfrontiert …</t>
  </si>
  <si>
    <t>Jamie Lee Curtis</t>
  </si>
  <si>
    <t>Jamie Lee Curtis, un cri de liberté à Hollywood</t>
  </si>
  <si>
    <t>tt23117720</t>
  </si>
  <si>
    <t>Jamie Lee Curtis, Micky Sébastian, Marika Auer</t>
  </si>
  <si>
    <t>Ein Porträt der amerikanischen Schauspielerin Jamie Lee Curtis, Tochter der legendären Schauspieler Tony Curtis und Janet Leigh, mythische Scream Queen und brillante Comedy-Darstellerin.</t>
  </si>
  <si>
    <t>Freaky Friday – Ein voll verrückter Freitag</t>
  </si>
  <si>
    <t>Freaky Friday</t>
  </si>
  <si>
    <t>tt0322330</t>
  </si>
  <si>
    <t>Lindsay Lohan, Jamie Lee Curtis, Harold Gould, Chad Michael Murray, Mark Harmon</t>
  </si>
  <si>
    <t>Dr. Tess Coleman und ihre 15-jährige Tochter Anna kommen nicht gerade gut miteinander aus. Besser gesagt: Sie liegen sich meist in den Haaren. Ärger gibt's um alles. Um die Frisur, die Klamotten, die Musik, die schulischen Leistungen und natürlich die Liebe.  Eines verrückten Freitags sorgen zwei identische chinesische Glückskekse für ein absolutes Chaos: Tess und Anna stellen fest, dass sie sich jeweils im Körper der anderen befinden. Horror! Während Tess sich nun mit fiesen Lehrern, Klausuren und ihrer Musikkarriere rumschlagen muss, frischt Anna das Outfit ihrer Mutter auf, bringt ihre Psychoklienten an den Rand des Nervenzusammenbruchs und Mamis Kreditkarte ans Limit.</t>
  </si>
  <si>
    <t>Halloween – Die Nacht des Grauens</t>
  </si>
  <si>
    <t>Halloween</t>
  </si>
  <si>
    <t>Horror, Thriller</t>
  </si>
  <si>
    <t>tt0077651</t>
  </si>
  <si>
    <t>Donald Pleasence, Jamie Lee Curtis, Nancy Kyes, P. J. Soles, Charles Cyphers</t>
  </si>
  <si>
    <t>1963, Halloween-Nacht im Kaff Haddonfield: Die Teenagerin Judith Myers wird in ihrem Elternhaus von ihrem sechsjährigen Bruder brutal erstochen - Michael Myers hat das erste Mal zugeschlagen! Der Junge kommt daraufhin in das Smith’s Grove Warren County Sanatorium in die Obhut von Psychiater Sam Loomis. Schon bald ist dieser davon überzeugt, dass sich in der Gestalt des Kindes das absolut Böse verbirgt. 15 Jahre danach, am Vorabend von Halloween, gelingt Michael die Flucht aus der Heilanstalt. Der maskierte Killer macht sich auf den Weg nach Haddonfield, wo sich arglose Teenager wie Laurie Strode auf ein bisschen Horrorspaß freuen...</t>
  </si>
  <si>
    <t>Crime, Drama, Horror</t>
  </si>
  <si>
    <t>tt1502407</t>
  </si>
  <si>
    <t>Jamie Lee Curtis, Judy Greer, Andi Matichak</t>
  </si>
  <si>
    <t>Der Film knüpft an die Geschehnisse des Films "Halloween - Die Nacht des Grauens" an, jedoch wird Michael Myers nach dem Beschuss von Psychiater Dr. Loomis in Laurie Strodes Haus in Haddonfield verhaftet, statt wie im ursprünglichen zweiten Teil die Flucht zu ergreifen, um weiter morden zu können. So wird Michael erneut in einer Psychiatrie inhaftiert, bis es ihm 40 Jahre später zu Halloween gelingt, aus der Anstalt zu entkommen und sich wieder nach Haddonfield zu begeben. Laurie Strode, die erneut Myers Ziel darstellt, hat sich allerdings während der letzten vier Jahrzehnte auf seinen Ausbruch vorbereitet.</t>
  </si>
  <si>
    <t>Halloween H20 - Zwanzig Jahre später</t>
  </si>
  <si>
    <t>Halloween II – Das Grauen kehrt zurück</t>
  </si>
  <si>
    <t>Halloween II</t>
  </si>
  <si>
    <t>tt0082495</t>
  </si>
  <si>
    <t>Jamie Lee Curtis, Donald Pleasence, Charles Cyphers, Jeffrey Kramer, Lance Guest</t>
  </si>
  <si>
    <t>Es ist noch immer Halloween...Obwohl Dr. Loomis mehrfach auf den wahnsinnigen Michael Myers gefeuert hat, schafft es der Killer doch, auf mysteriöse Weise zu entkommen. Die Junge Laurie Strode wird mit einem Schock erstmal in ein Krankenhaus eingeliefert. Doch der wahre Horror fängt jetzt erst an, denn Michael Myers verfolgt Laurie fanatisch weiter und tötet jeden, der sich ihm in den Weg stellt. Die Nacht des Grauens erreicht ihren blutigen Höhepunkt...</t>
  </si>
  <si>
    <t>True Lies – Wahre Lügen</t>
  </si>
  <si>
    <t>True Lies</t>
  </si>
  <si>
    <t>tt0111503</t>
  </si>
  <si>
    <t>Arnold Schwarzenegger, Jamie Lee Curtis, Tom Arnold, Bill Paxton, Tia Carrere</t>
  </si>
  <si>
    <t>Harry Tasker führt ein äußerst ungewöhnliches Doppelleben: Gegenüber seiner Familie und seinen Mitmenschen gibt er vor, ein langweiliger Vertreter einer Computerfirma zu sein. Doch das ist nicht sein wirklicher Beruf. In Wahrheit ist er ein Top-Agent des supergeheimen “Omega-Sector”, eine amerikanische Organisation, die noch über dem CIA angesiedelt ist und als letzte Verteidigungslinie der Regierung fungiert. Zusammen mit seinem Partner Gib hat er den Auftrag, eine arabische Terrorgruppe aufzuspüren. Die haben nämlich vier russische Atomsprengköpfe in die Finger bekommen und wollen damit die Freilassung inhaftierter Mitstreiter erpressen, sonst lassen sie die Bomben in amerikanischen Großstädten hochgehen. Als Harrys Frau Helen ihr ödes Eheleben satt hat und zudem unter merkwürdigen Umständen in einen höchst brisanten Fall hineingezogen wird, ist Tasker gleich zweifach gefordert: im Kampf gegen die skrupellosen Atomterroristen und um seine Frau…</t>
  </si>
  <si>
    <t>Jodie Foster</t>
  </si>
  <si>
    <t>Jodie Foster - Hollywood dans la peau</t>
  </si>
  <si>
    <t>tt14811056</t>
  </si>
  <si>
    <t>Buddy Foster, Evelyn Foster, Jodie Foster</t>
  </si>
  <si>
    <t>Von einer Kindheit zwischen Disney-Produktionen, einem Lolita-Image als Teenager bis hin zum Aufstieg zur Filmproduzentin: Der Werdegang des Multitalents Jodie Foster zeugt von einem stetigen Kampf um Anerkennung in Hollywood und der Unterhaltungsbranche. Über die Karriere der klugen Schauspielerin und Produzentin, die schon mit 13 Jahren weltberühmt wurde.</t>
  </si>
  <si>
    <t>Der Mauretanier</t>
  </si>
  <si>
    <t>The Mauritanian</t>
  </si>
  <si>
    <t>tt4761112</t>
  </si>
  <si>
    <t>Tahar Rahim, Jodie Foster, Benedict Cumberbatch, Shailene Woodley, Zachary Levi</t>
  </si>
  <si>
    <t>Auf Befehl der US-Regierung wurde der Mauretanier Mohamedou Ould Slahi vor Jahren auf den Militärstützpunkt Guantanamo verschleppt und wird dort immer noch ohne Anklage oder Gerichtsverfahren festgehalten. Durch unzählige Verhöre und Folter längst aller Hoffnung beraubt, ist Slahi überrascht, als sich die Anwältin Nancy Hollander und ihre Kollegin Teri Duncan plötzlich für seinen Fall interessieren. Ohne selbst von seiner Unschuld überzeugt zu sein, bieten sie ihm an seine Verteidigung zu übernehmen. Dabei stellen ihnen die Behörden zahlreiche Hindernisse in den Weg, allen voran Militärstaatsanwalt Stuart Couch, der davon überzeugt ist, mit Slahi einen der Drahtzieher hinter den Terroranschlägen vom 11. September 2001 festgesetzt zu haben. Nach und nach bringt Nancy Hollanders kontroverser und aufopferungsvoller Einsatz Beweise und Fakten ans Tageslicht, die eine schockierende Verschwörung offenbaren und die klar gegen die freiheitlichen Grundrechte der US-Verfassung verstoßen.</t>
  </si>
  <si>
    <t>Julia Roberts</t>
  </si>
  <si>
    <t>Premio Donostia a Julia Roberts</t>
  </si>
  <si>
    <t>tt1730132</t>
  </si>
  <si>
    <t>Javier Bardem, Dede Gardner, Richard Jenkins</t>
  </si>
  <si>
    <t>Fletcher’s Visionen</t>
  </si>
  <si>
    <t>Conspiracy Theory</t>
  </si>
  <si>
    <t>Action, Drama, Mystery, Thriller</t>
  </si>
  <si>
    <t>tt0118883</t>
  </si>
  <si>
    <t>Mel Gibson, Julia Roberts, Patrick Stewart, Cylk Cozart, Steve Kahan</t>
  </si>
  <si>
    <t>Wo immer er kann, verbreitet der New Yorker Taxifahrer Jerry Fletcher seine abstrusen Verschwörungstheorien. Doch eines Tages scheint er mit einer seiner schrulligen Visionen einen wunden Punkt des amerikanischen Geheimdienstes getroffen zu haben. Jahrelang hat ihm keiner ein Wort geglaubt, jetzt ist alle Welt hinter ihm her. Jerry hat nur eine Chance: Die ganze Wahrheit muß ans Licht...</t>
  </si>
  <si>
    <t>Money Monster</t>
  </si>
  <si>
    <t>tt2241351</t>
  </si>
  <si>
    <t>George Clooney, Julia Roberts, Jack O'Connell</t>
  </si>
  <si>
    <t>TV-Moderator Lee Gates hat es durch seine erfolgreiche Finanzshow im Fernsehen zu einiger Berühmtheit gebracht. Er genießt den Ruf, das Geld-Genie der Wall Street zu sein. Doch nachdem er seinen Zuschauern eine High-Tech-Aktie empfohlen hat, deren Kurs anschließend auf mysteriöse Weise abstürzt, nimmt ein wütender Investor Gates, seine Crew und seine Star-Produzentin Patty Fenn live on air als Geisel. Gates und Fenn versuchen verzweifelt am Leben zu bleiben und gleichzeitig die Wahrheit hinter einem Netz aus Lügen rund um das große Geld aufzudecken.</t>
  </si>
  <si>
    <t>Notting Hill</t>
  </si>
  <si>
    <t>tt0125439</t>
  </si>
  <si>
    <t>Hugh Grant, Julia Roberts, Richard McCabe</t>
  </si>
  <si>
    <t>Der sympathische Buchhändler William glaubt seinen Augen nicht zu trauen, als eines Tages der Hollywood-Star Anna Scott ausgerechnet seinem Laden im Londoner Stadtteil Notting Hill einen Besuch abstattet. Angezogen von der Normalität von Williams Leben entspannt sich allmählich zwischen der Kinoprinzessin und dem schüchternen Single eine zarte Liebe. Doch nicht nur die scheinbar unvereinbaren Welten, auch das plötzliche Auftauchen von Annas Freund stellen die ohnehin kaum für möglich gehaltene Beziehung auf eine harte Probe.</t>
  </si>
  <si>
    <t>Katharine Hepburn</t>
  </si>
  <si>
    <t>Iran</t>
  </si>
  <si>
    <t>tt15324860</t>
  </si>
  <si>
    <t>African Queen</t>
  </si>
  <si>
    <t>The African Queen</t>
  </si>
  <si>
    <t>tt0043265</t>
  </si>
  <si>
    <t>Humphrey Bogart, Katharine Hepburn, Robert Morley</t>
  </si>
  <si>
    <t>Erster Weltkrieg, mitten im Nirgendwo in Afrika. Die Missionarin Rose Sayer überzeugt den Kapitän der African Queen, sich einen Weg den Fluss hinunter zu schlagen, um den mit selbstgebauten Torpedos das Panzerschiff der Deutschen zu kapern</t>
  </si>
  <si>
    <t>Der Regenmacher</t>
  </si>
  <si>
    <t>tt0352768</t>
  </si>
  <si>
    <t>Liselotte Pulver, Stefan Wigger, Walter Richter</t>
  </si>
  <si>
    <t>Eine Dürreperiode beunruhigt die Bauern im Mittelwesten Amerikas. Der Scharlatan Billy Starbuck verspricht dem Farmer Curry, für ganze 100 Dollar Regen herbeizuzaubern. Currys Tochter Lizzie, ein alterndes Mädchen, das die Familie endlich an den Mann zu bringen hofft, ist mißtrauisch. Aber bald beginnt sie, den charmanten Vagabunden mit anderen Augen zu sehen.</t>
  </si>
  <si>
    <t>Die Schwester der Braut</t>
  </si>
  <si>
    <t>Holiday</t>
  </si>
  <si>
    <t>Komödie, Liebesfilm, Drama</t>
  </si>
  <si>
    <t>tt0030241</t>
  </si>
  <si>
    <t>Katharine Hepburn, Cary Grant, Doris Nolan, Lew Ayres, Edward Everett Horton</t>
  </si>
  <si>
    <t>Der charmante Johnny Case ist mit der Prominenten Julie Seton liiert, deren schwerreicher Vater ihr beider Leben schon völlig verplant hat. Johnny möchte aber lieber andere Wege gehen und verbündet sich mit Julias Schwester Linda, die im Gegensatz zum Rest der konservativen Familie nicht gerade ein Kind von Traurigkeit ist. Johnny muss sich entscheiden.</t>
  </si>
  <si>
    <t>Plötzlich im letzten Sommer</t>
  </si>
  <si>
    <t>Suddenly, Last Summer</t>
  </si>
  <si>
    <t>Thriller, Drama, Mystery</t>
  </si>
  <si>
    <t>tt0053318</t>
  </si>
  <si>
    <t>Elizabeth Taylor, Katharine Hepburn, Montgomery Clift, Albert Dekker, Mercedes McCambridge</t>
  </si>
  <si>
    <t>Ein junger, homosexueller Mann wird unter schauerlichen Umständen getötet. Seine Cousine, die einzige Augenzeugin, erleidet dabei einen Schock. Die Mutter des Mannes, eine reiche Witwe, will verhindern, dass die Wahrheit über die Begleitumstände des Mordes bekannt werden. Sie veranlasst die Einlieferung der Augenzeugin in eine Nervenheilanstalt. Dort soll an dem Mädchen eine grauenhafte Operation vorgenommen werden.</t>
  </si>
  <si>
    <t>Kathy Bates</t>
  </si>
  <si>
    <t>A Family Affair</t>
  </si>
  <si>
    <t>tt21051906</t>
  </si>
  <si>
    <t>Nicole Kidman, Zac Efron, Joey King</t>
  </si>
  <si>
    <t>Was könnte schlimmer sein, als die Assistentin eines schwierigen Filmstars zu sein, der einen nicht ernst nimmt? Herauszufinden, dass er auf die eigene Mutter steht!</t>
  </si>
  <si>
    <t>Are You There God Its Me Margaret</t>
  </si>
  <si>
    <t>Are You There God? It's Me, Margaret.</t>
  </si>
  <si>
    <t>tt9185206</t>
  </si>
  <si>
    <t>Abby Ryder Fortson, Rachel McAdams, Kathy Bates, Elle Graham, Benny Safdie</t>
  </si>
  <si>
    <t>Die elfjährige Margaret wird aus ihrem Leben in New York City in die Vorstadt von New Jersey vertrieben, wo sie die chaotischen und turbulenten Zeiten der Pubertät mit neuen Freunden in einer neuen Schule durchlebt. Sie verlässt sich auf ihre Mutter Barbara, die ebenfalls damit zu kämpfen hat, sich an das Leben außerhalb der Großstadt anzupassen, und auf ihre Großmutter Sylvia, die nicht glücklich darüber ist, dass sie weggezogen sind und sie bei jeder Gelegenheit daran erinnert.  Basiert auf Judy Blumes Romanklassiker „Bist du da, Gott? Ich bin's, Margaret“ von 1970.</t>
  </si>
  <si>
    <t>Die Berufung - Ihr Kampf für Gerechtigkeit</t>
  </si>
  <si>
    <t>On the Basis of Sex</t>
  </si>
  <si>
    <t>Drama, Historie</t>
  </si>
  <si>
    <t>tt4669788</t>
  </si>
  <si>
    <t>Felicity Jones, Armie Hammer, Justin Theroux, Sam Waterston, Kathy Bates</t>
  </si>
  <si>
    <t>Die Vereinigten Staaten von Amerika in den 1950er Jahren: Frauen und Männer sind zwar in der Theorie gleichgestellt, doch gibt es immer noch zahlreiche Bereiche, die Frauen nicht offenstehen, sie dürfen etwa weder Polizistin noch Richterin werden. Für Ruth Bader Ginsberg bedeutet das einen Karriereverlauf, den sie so nicht hinnehmen möchte: Nachdem sie ihr Jura-Studium in Harvard als Jahrgangsbeste abgeschlossen hat, muss sie sich mit einer Stelle als Professorin begnügen, obwohl sie lieber bei Gericht arbeiten würde. Da macht sie ihr Mann Marty auf den Fall Charles Moritz aufmerksam, der sich aufopferungsvoll um seine kranke Mutter kümmert, allerdings aufgrund seines Geschlechts nicht den eigentlich üblichen Steuernachlass erhält. Ruth sieht ihre Chance gekommen, einen Präzedenzfall zu schaffen und die rückständigen Strukturen der Gesellschaft und die Gesetzeslage aufzubrechen…</t>
  </si>
  <si>
    <t>Frühstück bei ihr (USA, 1990, Romanze)</t>
  </si>
  <si>
    <t>White Palace</t>
  </si>
  <si>
    <t>Susan Sarandon, James Spader, Kathy Bates, Jason Alexander, Eileen Brennan</t>
  </si>
  <si>
    <t>Der 27jährige Yuppie Max lernt in einer Kneipe die 43jährige Kellnerin Nora kennen und verbringt angetrunken mit ihr die Nacht. Doch außer ihrer Leidenschaft füreinander und einem harten Schicksal - Max ist Witwer und Noras Sohn verunglückte tödlich - haben die beiden wenig gemeinsam. Noras mangelnder Ordnungssinn stört den feinen Max, der versnobte jüdische Freundeskreis des Werbemanagers macht sich über die Serviererin lustig. Nora verzweifelt schließlich über all den Differenzen und flüchtet nach New York. Doch eine wilde und leidenschaftliche Liebe treibt Max in die Metropole, wo er mit der Frau seines Herzens ein völlig neues Leben beginnen will.</t>
  </si>
  <si>
    <t>Gemeinsam stärker – Personal Effects</t>
  </si>
  <si>
    <t>Personal Effects</t>
  </si>
  <si>
    <t>CA, DE, US</t>
  </si>
  <si>
    <t>tt1138489</t>
  </si>
  <si>
    <t>Michelle Pfeiffer, Ashton Kutcher, Kathy Bates, Spencer Hudson, John Mann</t>
  </si>
  <si>
    <t>Walters Schwester wurde kürzlich brutal misshandelt und getötet. Die Erinnerungen an seine Schwester und die Ereignisse quälen den 24-jährigen Wrestling-Champion zutiefst. Zudem kümmert Walter sich um seine depressive Mutter Gloria. Lindas Ehemann starb an einer Schussverletzung. Die 42-jährige muss diesen plötzlichen und schmerzhaften Verlust verkraften und ihrem taubstummen Sohn zuliebe trotzdem stark sein. Linda und Walter lernen sich in der Therapiestunde für Angehörige von Gewaltopfern kennen. Beide haben kürzlich einen geliebten Menschen verloren und sind traumatisiert. Aus dieser gleichgesinnten Verbindung zweier Fremder und allen Widrigkeiten zum Trotz entsteht eine zarte Beziehung zwischen den beiden, die allerdings auf sehr dünnem Eis steht. Als der vermeintliche Mörder von Walters Schwester vor Gericht freigesprochen wird, kommt es zu dramatischen Verwicklungen... Wie heilt man eine Wunde, die man nicht mit den Augen sehen kann? Natürlich mit Liebe...</t>
  </si>
  <si>
    <t>Gilly Hopkins - Eine wie keine</t>
  </si>
  <si>
    <t>The Great Gilly Hopkins</t>
  </si>
  <si>
    <t>Komödie, Drama, Familie</t>
  </si>
  <si>
    <t>tt1226766</t>
  </si>
  <si>
    <t>Sophie Nélisse, Kathy Bates, Glenn Close, Bill Cobbs, Octavia Spencer</t>
  </si>
  <si>
    <t>Gilly Hopkins ist ein Pflegekind und wird von einer Familie zur nächsten weitergereicht. Daher hat sie es sich zur Aufgabe gemacht niemanden zu brauchen – weder ihr aufrichtiger Sozialarbeiter Mr. Ellis noch ihre engagierte Lehrerin Miss Harris und schon gar nicht ihre neue Pflegemutter Maime Trotter. Gilly‘s einziger Wunsch ist es, dass ihre leibliche Mutter Courtney sie zurückholt, daher heckt sie seinen Plan aus. Doch vielleicht ist die neue Pflegefamilie gar nicht so schlimm und das große Glück ist näher als man zu glauben meint …</t>
  </si>
  <si>
    <t>Grüne Tomaten</t>
  </si>
  <si>
    <t>Fried Green Tomatoes</t>
  </si>
  <si>
    <t>tt0101921</t>
  </si>
  <si>
    <t>Kathy Bates, Jessica Tandy, Mary-Louise Parker, Mary Stuart Masterson, Cicely Tyson</t>
  </si>
  <si>
    <t>„Ich werde nie verstehen, warum alle glaubten, sie habe diesen Mann umgebracht…“. Im Warteraum des Altersheimes zieht die zierliche alte Dame die dicke, frustrierte Hausfrau in ihren Bann.  Durch die Erzählungen lernt sie Idgie kennen, eine selbstbewußte junge Frau, die immer tat, was sie wollte. Und die eher zaghafte Ruth, die von Idgie aus einer gewalttätigen Ehe befreit wurde. Gemeinsam betreiben sie ein Café. Doch dann wurde Ruth’s Mann ermordet aufgefunden…  Leider ist die Besuchszeit um. Widerwillig steigt Evelyn zu ihrem Ehemann ins Auto. Natürlich wird sie zurückkommen, um den Rest der Geschichte zu hören, denn sie fühlt, wie in ihr durch die Geschichte Kraft für neues Leben wächst.</t>
  </si>
  <si>
    <t>Heilende Quellen</t>
  </si>
  <si>
    <t>Warm Springs</t>
  </si>
  <si>
    <t>Kenneth Branagh, Cynthia Nixon, David Paymer, Tim Blake Nelson, Matt O'Leary</t>
  </si>
  <si>
    <t>1921: Die Kinderlähmung zwingt Franklin D. Roosevelt, Starpolitiker der Demokraten, in den Rollstuhl. Im Heilbad Warm Springs in Georgia lernt er das Leben mit neuen Augen zu sehen. Auch dank seiner Frau wird soziales Engagement zu seiner Kraftquelle</t>
  </si>
  <si>
    <t>Im Zeichen der Libelle</t>
  </si>
  <si>
    <t>Dragonfly</t>
  </si>
  <si>
    <t>Thriller, Fantasy, Mystery, Horror, Liebesfilm, Drama</t>
  </si>
  <si>
    <t>tt0259288</t>
  </si>
  <si>
    <t>Kevin Costner, Joe Morton, Ron Rifkin, Susanna Thompson, Kathy Bates</t>
  </si>
  <si>
    <t>Dr. Joe Darrow ist eigentlich Realist, doch nach dem Tod seiner geliebten Frau Emily geschehen seltsame Dinge. Er spürt ihre Gegenwart und glaubt fest daran, dass sie ihm aus dem Jenseits etwas mitteilen will. Doch welche Bedeutung haben die Libellenzeichen, die er sieht? Wie soll Joe die unheimlichen Geschehnisse deuten? Logisch erklären kann er die Einbildungen nicht, die er bekommt. Nachdem man ihn entlassen hat, führt ihn die Spur in den Dschungel Venezuelas an den Ort zurück, an dem Emily ums Leben kam. Joe macht sich auf, weil er Gewissheit braucht. Wird er etwas über die genauen Todesumstände seiner Frau erfahren? Wird er sie vielleicht sogar wiedersehen? Das Geheimnis liegt in einem Wasserfall verborgen...</t>
  </si>
  <si>
    <t>Kein Mittel gegen Liebe</t>
  </si>
  <si>
    <t>A Little Bit of Heaven</t>
  </si>
  <si>
    <t>tt1440161</t>
  </si>
  <si>
    <t>Kate Hudson, Gael García Bernal, Romany Malco, Kathy Bates, Lucy Punch</t>
  </si>
  <si>
    <t>Marley genießt ihr Leben in vollen Zügen: Sie hat tolle Freunde, lebt in einem hippen Apartmenthaus im Herzen New Orleans und ist erfolgreich im Job. Ihre Freizeit genießt sie mit ihren besten Freunden in ihrem Lieblingsclub und gegen heißen Sex mit ihrem Lover hat sie auch nichts einzuwenden. Nur feste Liebesbeziehungen sind nicht ihr Ding. Ausgerechnet eine schwere Krankheit soll all dies ändern. Der schüchterne Dr. Goldstein tritt in ihr Leben und sie begreift, wie wichtig die große Liebe für ein erfülltes Leben ist. Und so öffnet Marleys Lebensfreude und Kampfeswille allen Beteiligten die Augen für die wirklich wichtigen und schönen Dinge im Leben…</t>
  </si>
  <si>
    <t>Love Liza</t>
  </si>
  <si>
    <t>US, FR, DE</t>
  </si>
  <si>
    <t>Philip Seymour Hoffman, Jack Kehler, Sarah Koskoff, Stephen Tobolowsky, Erika Alexander</t>
  </si>
  <si>
    <t>Nach dem Selbstmord seiner Frau Liza überrascht der scheinbar gut gelaunte Wilson Joel seine Kollegen mit dem Entschluss, in das Hotel zurückzukehren, in dem er und Liza einst ihre Flitterwochen verbrachten. Die Frage nach der Ursache ihres Suizids verfolgt ihn bis in das hawaiianische Badeparadies, doch obwohl er ihren Abschiedsbrief stets bei sich trägt, weigert sich der verschlossene Kleinstädter, Lizas Gründe zur Kenntnis zu nehmen. Auf der Rückreise entwickelt er seine Verdrängungsmethode mit Hilfe von Benzin weiter, das er aus dem Tank seines Autos inhaliert. Benebelt durch das Suchtmittel legt er immer merkwürdigere Verhaltensweisen an den Tag und beschwört eine Katastrophe herauf.</t>
  </si>
  <si>
    <t>Relative Strangers</t>
  </si>
  <si>
    <t>Danny DeVito, Kathy Bates, Ron Livingston, Neve Campbell, Beverly D'Angelo</t>
  </si>
  <si>
    <t>Dr. Richard Clayton hat alles, was sich ein Mann wünschen kann: Eine hinreißende Verlobte, wundervolle Eltern und eine erfolgreiche Karriere als Psychiater. Während sein Hochzeitstag näher rückt und sein Buch auf der Bestsellerliste nach oben klettert, konfrontiert ihn sein eifersüchtiger Bruder mit der Nachricht, er sei adoptiert. Schockiert macht sich Richard auf die Suche nach seinen biologischen Eltern und findet Frank und Agnes Manure. Seine Erzeuger sind laut, unkultiviert, rücksichtslos und in jeder Hinsicht anders. Binnen kürzester Zeit gelingt es dem Chaos-Paar, Richards Karriere zu ruinieren, seine Freunde und Adoptiveltern zu vergraulen und sogar die Hochzeit zu gefährden. Doch als Richard vor den Trümmern seiner Existenz steht, erkennt er, dass es auch etwas Positives gibt, das er von Frank und Agnes lernen kann.</t>
  </si>
  <si>
    <t>Schatten und Nebel</t>
  </si>
  <si>
    <t>Shadows and Fog</t>
  </si>
  <si>
    <t>Woody Allen, Mia Farrow, John Malkovich, John Cusack, Madonna</t>
  </si>
  <si>
    <t>Der schüchterne Buchhändler Kleinman wird eines Nachts von seinen Nachbarn geweckt, damit er ihnen bei einer Bürgerwehr hilft, um einen Serienmörder zu jagen, der die Stadt unsicher macht. Als er jedoch fertig ist, sind die Nachbarn bereits weitergezogen, woraufhin Kleinman durch die nebligen Straßen irrt und nicht weiß, wohin er soll. Schließlich trifft er die Schwertschluckerin Irmy die ihrem Freund Paul aus einem in der Nähe gastierenden Zirkus davongelaufen ist und die beiden setzen ihre Reise durch die Nacht gemeinsam fort, immer wieder Menschen begegnend, doch auch stets in Furcht vor dem Mörder...</t>
  </si>
  <si>
    <t>Summer Camp</t>
  </si>
  <si>
    <t>tt26928684</t>
  </si>
  <si>
    <t>Diane Keaton, Kathy Bates, Alfre Woodard</t>
  </si>
  <si>
    <t>Nora, Ginny und Mary sind seit ihrer Kindheit miteinander befreunden und verbrachten früher jeden Sommer zusammen in einem Ferienlager. Jahre später bietet sich ihnen die Gelegenheit, sich wieder zu treffen.</t>
  </si>
  <si>
    <t>Kurt Russell</t>
  </si>
  <si>
    <t>Red Bird Vs. Crow OJ Vs. Ripley Vs. Chicken Vs. Kurt Russell Vs. Tom Cruise: Day of Judgement</t>
  </si>
  <si>
    <t>Short, Action</t>
  </si>
  <si>
    <t>tt13758716</t>
  </si>
  <si>
    <t>Red Bird, Chicken, Crow</t>
  </si>
  <si>
    <t>Breakdown</t>
  </si>
  <si>
    <t>tt0118771</t>
  </si>
  <si>
    <t>Kurt Russell, J.T. Walsh, Kathleen Quinlan</t>
  </si>
  <si>
    <t>Das Ehepaar Jeffrey und Amy Taylor möchte von Massachusetts nach Kalifornien umziehen und durchquert mit dem Auto das Landesinnere der USA. Bei einer Autopanne hilft der Trucker Warren, der Amy bis zur nächsten Raststätte mit Telefonmöglichkeit mitnimmt. Jeff wartet vergeblich auf Hilfe, kann jedoch den Wagen inzwischen selbst wieder zum Laufen bringen und macht sich auf den Weg zum vereinbarten Treffpunkt. An der Raststätte angekommen, erkundigt sich Jeff nach seiner Frau, die nicht aufzufinden ist. Doch wen er auch fragt – niemand hat seine Frau gesehen, die örtliche Polizei gibt sich machtlos.</t>
  </si>
  <si>
    <t>Das mörderische Paradies</t>
  </si>
  <si>
    <t>The Mean Season</t>
  </si>
  <si>
    <t>tt0089572</t>
  </si>
  <si>
    <t>Kurt Russell, Mariel Hemingway, Richard Jordan, Richard Masur, Richard Bradford</t>
  </si>
  <si>
    <t>Der Reporter Malcolm Anderson arbeitet für eine Zeitung in Miami. Er wird von einem Serienmörder angerufen, der sagt, er möge Andersons Schreibstil. Der Serientäter bietet Anderson einige Hintergrundinformationen an, die der Journalist verwendet. Der Mörder zeigt ein wachsendes Interesse am Privatleben des Reporters und entführt dessen Freundin, die Lehrerin Christine Connelly.</t>
  </si>
  <si>
    <t>Mit einem Bein im Kittchen</t>
  </si>
  <si>
    <t>Used Cars</t>
  </si>
  <si>
    <t>tt0081698</t>
  </si>
  <si>
    <t>Kurt Russell, Jack Warden, Gerrit Graham, Frank McRae, Deborah Harmon</t>
  </si>
  <si>
    <t>Zwei Gebrauchtwagenhändler versuchen mit allen Mitteln, sich gegenseitig die Kunden wegzulocken. Der Grund: Ihre Verkaufsplätze liegen sich direkt gegenüber an der gleichen Straße. Dieser temporeiche Film voller Gags wurde von Steven Spielberg und John Milius produziert. Mit Jack Warden und Kurt Russell als zwielichtiger, junger Autoverkäufer, der versucht, mit 10.000 Dollar einen Senatorensitz zu kaufen.</t>
  </si>
  <si>
    <t>Superhirn in Tennisschuhen</t>
  </si>
  <si>
    <t>The Computer Wore Tennis Shoes</t>
  </si>
  <si>
    <t>Komödie, Familie, Drama</t>
  </si>
  <si>
    <t>tt0065566</t>
  </si>
  <si>
    <t>Kurt Russell, Cesar Romero, Joe Flynn, William Schallert, Alan Hewitt</t>
  </si>
  <si>
    <t>Dexter Riley ist nicht gerade eine große Leuchte. Kein Wunder, dass er vom Stromschlag getroffen wird, als er versucht, den neuen College-Computer anzuschließen - ein Geschenk von A.J. Arno, dem reichsten Geschäftsmann der Stadt. Fatale Folge des unfreiwilligen Elektroschocks: Dexters Gehirn verwandelt sich in einen Computer, und aus dem verlachten Trottel wird ein Super-Genie, um das sich die eitlen College-Professoren reißen. Der plötzliche Ruhm steigt Dexter so in den Kopf, dass er darüber ganz seine alten Freunde vergisst. Bis er dann dringend ihre Hilfe braucht - denn in seinem Kopf befinden sich brisante Informationen über illegale Geschäfte, die von Arnos Computer stammen ...</t>
  </si>
  <si>
    <t>Michael Caine</t>
  </si>
  <si>
    <t>Candid Caine: A Self Portrait of Michael Caine</t>
  </si>
  <si>
    <t>2019–</t>
  </si>
  <si>
    <t>tt5074450</t>
  </si>
  <si>
    <t>Michael Caine, Stanley Caine, Sidney Edwards</t>
  </si>
  <si>
    <t>1 Mord für 2</t>
  </si>
  <si>
    <t>Sleuth</t>
  </si>
  <si>
    <t>Drama, Mystery, Thriller</t>
  </si>
  <si>
    <t>tt0857265</t>
  </si>
  <si>
    <t>Michael Caine, Jude Law, Harold Pinter, Carmel O'Sullivan, Kenneth Branagh</t>
  </si>
  <si>
    <t>Andrew Wyke ist durch das Verfassen von Krimis zu Reichtum gekommen. Dennoch hat ihn seine Frau wegen dem arbeitslosen Schauspieler Milo Tindle verlassen. Wyke lädt den Rivalen zu sich in sein entlegenes Anwesen ein und heuchelt Verständnis für die Situation, weist aber auch darauf hin, dass seine Frau Luxus gewöhnt ist. Um ihr ein schönes Leben bieten zu können, soll Milo die Juwelen Wykes stehlen und zu Geld machen. Milo geht auf das Angebot ein, ahnt allerdings nicht, dass Wyke Perfides im Schilde führt.</t>
  </si>
  <si>
    <t>Das Mörderspiel</t>
  </si>
  <si>
    <t>Deathtrap</t>
  </si>
  <si>
    <t>Mystery, Thriller, Komödie, Krimi, Drama</t>
  </si>
  <si>
    <t>tt0083806</t>
  </si>
  <si>
    <t>Michael Caine, Christopher Reeve, Dyan Cannon, Irene Worth, Henry Jones</t>
  </si>
  <si>
    <t>Früher einmal war Sidney Bruhl ein angesehener Drehbuchautor am Theater, doch seine besten Jahre sind lange vorbei. Heute verdient er seine Brötchen, indem er den Nachuchs in Seminaren schult. Als ihm eines Tages Clifford Anderson, einer seiner Schüler, ein ausgesprochen gutes Werk mit dem Titel “Das Mörderspiel” gibt, ist er begeistert – so begeistert, daß er gemeinsam mit seiner Frau Myra plant, den jungen Mann zu ermorden, um dann die Geschichte unter seinem eigenen Namen verkaufen zu können.</t>
  </si>
  <si>
    <t>Genie und Schnauze</t>
  </si>
  <si>
    <t>Without a Clue</t>
  </si>
  <si>
    <t>tt0096454</t>
  </si>
  <si>
    <t>Michael Caine, Ben Kingsley, Jeffrey Jones, Lysette Anthony, Nigel Davenport</t>
  </si>
  <si>
    <t>Sherlock Holmes hat es nie gegeben. Dr. Watson ist in Wirklichkeit das Superhirn und präsentiert den drittklassigen Schauspieler, Trinker und Schürzenjäger Reginald Kincaid der Öffentlichkeit als Sherlock Holmes. Als Watson seinen Strohmann nach einem seiner Exzesse entläßt, muß er feststellen, daß an der Wahrheit kein Interesse besteht und niemand dem “Assistenten” Watson einen Fall anvertrauen will. Kincaid wird reaktiviert und steht mehr oder weniger zufällig bei der Wiederbeschaffung gestohlener 5-Pfund-Druckplatten seinen Mann, mit denen Bösewicht Moriarty die britische Wirtschaft in den Ruin treiben will.</t>
  </si>
  <si>
    <t>Inception</t>
  </si>
  <si>
    <t>tt1375666</t>
  </si>
  <si>
    <t>Leonardo DiCaprio, Joseph Gordon-Levitt, Elliot Page</t>
  </si>
  <si>
    <t>Beim Versuch in das Unterbewusstsein des Industriellen Saito einzudringen, stoßen Cobb und seine Mitstreiter auf unerwartete Schwierigkeiten. Saito hatte Verteidigungsstrategien gegen den Gedankendiebstahl trainiert und baut nun einen Abwehrriegel auf, doch erst der Verrat eines Kollegen lässt den Versuch scheitern, dem Schlafenden Geheimnisse zu entlocken. Da seine Auftraggeber unbedingten Erfolg gefordert hatten, muss Cobb, der auf Grund einer drohenden Verurteilung nicht mehr in die USA zurück kann, fliehen, doch Saito kommt ihm zuvor. Allerdings nicht um ihn zu bestrafen, sondern um ihm einen Deal vorzuschlagen.</t>
  </si>
  <si>
    <t>Löwen aus zweiter Hand</t>
  </si>
  <si>
    <t>Secondhand Lions</t>
  </si>
  <si>
    <t>Familie, Komödie</t>
  </si>
  <si>
    <t>tt0327137</t>
  </si>
  <si>
    <t>Michael Caine, Robert Duvall, Haley Joel Osment, Josh Lucas, Kyra Sedgwick</t>
  </si>
  <si>
    <t>Angeblich um einen Job als Stenotypistin anzunehmen, in Wahrheit aber um ungestört einen Freund zu sehen, lädt die Jungmutter Mae Anfang der 60er Jahre ihren Sohn Walter für die Dauer der Ferien bei ihren als verschroben und unberechenbar geltenden Großonkels ab, vorgeblich, damit ein Mann aus im wird, in Wahrheit aber, damit sich Walter nach Millionen umsehen kann, auf denen die alten Herren angeblich sitzen. In einem Sommer der Abenteuer wird aus Misstrauen Verständnis und aus Distanz Freundschaft.</t>
  </si>
  <si>
    <t>Mord mit kleinen Fehlern</t>
  </si>
  <si>
    <t>Thriller, Mystery, Krimi</t>
  </si>
  <si>
    <t>tt0069281</t>
  </si>
  <si>
    <t>Laurence Olivier, Michael Caine, Alec Cawthorne, John Matthews, Eve Channing</t>
  </si>
  <si>
    <t>Andrew Wyke ist ein reicher englischer Krimiautor. Er lädt Milo Tindle in sein großes Landhaus ein, um eine unangenehme Angelegenheit zu regeln: Milo und die Frau des Schriftstellers haben ein Verhältnis und wollen heiraten. Wyke schlägt ein für alle Parteien vorteilhaftes Vorgehen vor. Doch nachdem sich Milo darauf eingelassen hat, erweist sich der betrügerische Plan als Beginn eines tödlichen Katz-und-Maus-Spiels.</t>
  </si>
  <si>
    <t>Morgen ist ein neuer Tag</t>
  </si>
  <si>
    <t>Hurry Sundown</t>
  </si>
  <si>
    <t>tt0061796</t>
  </si>
  <si>
    <t>Michael Caine, Jane Fonda, John Phillip Law, Diahann Carroll, Robert Hooks</t>
  </si>
  <si>
    <t>Michael Douglas</t>
  </si>
  <si>
    <t>Michael Douglas, le fils prodige</t>
  </si>
  <si>
    <t>tt27795960</t>
  </si>
  <si>
    <t>Als ältester Sohn des legendären Schauspielers und Produzenten Kirk Douglas (1916-2020) war es für Michael Douglas nicht leicht, sich in Hollywood durchzusetzen und wie sein Vater ein anerkannter Schauspieler und ein angesehener Produzent zu werden.</t>
  </si>
  <si>
    <t>Falling Down – Ein ganz normaler Tag</t>
  </si>
  <si>
    <t>Falling Down</t>
  </si>
  <si>
    <t>US, FR</t>
  </si>
  <si>
    <t>tt0106856</t>
  </si>
  <si>
    <t>Michael Douglas, Robert Duvall, Barbara Hershey, Rachel Ticotin, Tuesday Weld</t>
  </si>
  <si>
    <t>Der Angestellte William Foster, der nur über sein Nummernschild "D-Fens" identifiziert wird, will an einem heißen Tag zur Geburtstagsparty seiner Tochter fahren. Doch es ist ein schlechter Tag: er sitzt im Stau, die Leute sind wütend, er ist geschieden und darf seine Tochter eigentlich gar nicht sehen. Da steigt D-Fens einfach aus seinem stehenden Auto aus und macht sich zu Fuß auf den Weg, eine Odyssee, die ihn an all dem vorbeiführt, was er haßt und was ihn aufregt. Als erstes muß ein ausländischer Ladenbesitzer dran glauben, der ihm kein Kleingeld geben will. D-Fens zertrümmert den Laden und setzt seinen Weg fort. Bald schon erhält er bei einem illegalen Waffenhändler ausreichend Gelegenheit, sich schwer zu bewaffnen und bahnt sich den Weg durch die Großstadt. Die willkürliche Anhäufung von unterschiedlichen Gewalttaten fällt ausgerechnet dem Polizisten Prendergast auf, der seinen letzten Diensttag feiert...</t>
  </si>
  <si>
    <t>Sag kein Wort</t>
  </si>
  <si>
    <t>Don't Say a Word</t>
  </si>
  <si>
    <t>tt0260866</t>
  </si>
  <si>
    <t>Michael Douglas, Sean Bean, Brittany Murphy, Skye McCole Bartusiak, Guy Torry</t>
  </si>
  <si>
    <t>Feiertagsstimmung in New York: Auch der renommierte Psychiater Dr. Nathan Conrad freut sich auf einen angenehmen Tag mit Frau und Kind. Doch was als friedliches Familienfest geplant war, entwickelt sich zum Alptraum: Die achtjährige Tochter Jessie wird entführt – mitten aus ihrem Kinderzimmer heraus. Noch ehe Conrad die Polizei rufen kann, melden sich die Täter, die die gesamte Wohnung mit einer Überwachungsanlage versehen haben. Statt eines Lösegeldes verlangen sie eine Information. Nathan soll binnen weniger Stunden einer traumatisierten Patientin seines Kollegen Dr. Sachs eine mysteriöse Nummer entlocken. Die 18-jährige Elisabeth, Insassin einer psychiatrischen Klinik, ist die Einzige, die den Entführern das geben kann, worauf sie seit zehn Jahren harren: einen Hinweis auf das Versteck des Zehn-Millionen-Dollar-Diamanten, den Elisabeths ermordeter Vater einst bei einem gemeinsamen Coup hatte verschwinden lassen. Ein Wettlauf gegen die Zeit beginnt …</t>
  </si>
  <si>
    <t>Solitary Man</t>
  </si>
  <si>
    <t>tt1294213</t>
  </si>
  <si>
    <t>Michael Douglas, Susan Sarandon, Jesse Eisenberg</t>
  </si>
  <si>
    <t>Der New Yorker Autohändler Ben Kalmen hat es nicht leicht. Durch seine eigene Schuld hat ihn seine Ehefrau Nancy verlassen, seine einst erfolgreiche Autohauskette ist bankrott und das Altern bereitet ihm auch Sorgen. Seine Tochter ist genervt von Bens ständigen One-Night-Stands, mit denen der notorische Womanizer seine Lebenskrise zu bekämpfen versucht. Um sein berufliches Comeback voranzutreiben, beginnt er eine Affäre mit Jordan, der Tochter eines einflussreichen Unternehmers. Der sorgfältig geplante Neuanfang gerät allerdings ins Wanken, als Ben übers Wochenende Jordans attraktive Tochter Allyson zum Vorstellungsgespräch an seine alte Universität begleitet.</t>
  </si>
  <si>
    <t>The Sentinel - Wem kannst du trauen</t>
  </si>
  <si>
    <t>The Sentinel</t>
  </si>
  <si>
    <t>tt0443632</t>
  </si>
  <si>
    <t>Michael Douglas, Kiefer Sutherland, Eva Longoria, Martin Donovan, Kim Basinger</t>
  </si>
  <si>
    <t>Krise beim Secret Service: Nach dem Mord an einem Agenten stoßen Geheimdienstler David Breckinridge und seine junge Partnerin Jill auf ein Mordkomplott gegen den Präsidenten. Offenbar gibt es einen Verräter in den eigenen Reihen, und alle Spuren führen zu Pete Garrison, Sicherheitsmann der First Lady. Garrison ist nicht nur Davids ehemaliger Lehrmeister, sondern gleichzeitig eine Legende des Secret Service, seit er vor über 20 Jahren das Leben des Präsidenten rettete. Doch Garrison scheint ein brisantes Geheimnis zu hüten.</t>
  </si>
  <si>
    <t>Traffic – Macht des Kartells</t>
  </si>
  <si>
    <t>Traffic</t>
  </si>
  <si>
    <t>Thriller, Drama, Krimi</t>
  </si>
  <si>
    <t>tt0181865</t>
  </si>
  <si>
    <t>Michael Douglas, Benicio del Toro, Catherine Zeta-Jones, Erika Christensen, Don Cheadle</t>
  </si>
  <si>
    <t>Drei Tänze in einem Rauschgift-Reigen: Ein frustrierter mexikanischer Drogenfahnder will korrupte Landsleute ans Messer liefern... Eine High-Society-Ehefrau muss feststellen, dass ihr ganzer Reichtum auf Drogen-Geschäften ihres Gatten beruht. Von Cops beschattet, einem halbseidenen Anwalt beraten und den Partnern ihres Mannes unter Druck gesetzt, fällt sie eine folgenschwere Entscheidung... Ein konservativer Richter wird zum obersten Drogenjäger der USA berufen, ohne zu merken, dass die eigene Tochter längst abhängig ist...</t>
  </si>
  <si>
    <t>Morgan Freeman</t>
  </si>
  <si>
    <t>AFI Life Achievement Award: A Tribute to Morgan Freeman</t>
  </si>
  <si>
    <t>2016–2019</t>
  </si>
  <si>
    <t>tt1974199</t>
  </si>
  <si>
    <t>Casey Affleck, Carole Bayer Sager, Matthew Broderick, Don Cheadle</t>
  </si>
  <si>
    <t>SPIRITUELLE SPUREN SUCHE_x000D_ In der Komödie „Bruce Allmächtig“ spielte Morgan Freeman einen modernen Gott im weißen Anzug - nun begibt sich der Oscar-Preisträger selber auf die Suche nach höheren Mächten. Woher kommen wir? Was passierte am Anfang? Und vor allem: Wer ist eigentlich Gott? Um Antworten auf diese Fragen zu finden, besucht Freeman mehrere Kontinente und Kulturen - eine Reise von den Indianern Nordamerikas über Israel bis ins indische Varanasi, die heiligste Stadt des Hinduismus. Er erkundet, welche persönlichen Erfahrungen Menschen mit der Kraft machen, die wir Gott nennen, und entdeckt ganz unterschiedliche Rituale und Gebetsweisen. In den USA begleitet er ein Navajo-Mädchen dabei, wie es sich bei einem Initiationsritual dem Göttlichen nähert. Er geht den Spuren des Stammvaters Abraham in Jerusalem nach und erzählt von den drei Weltreligionen, die hier aufeinandertreffen.</t>
  </si>
  <si>
    <t>… denn zum Küssen sind sie da</t>
  </si>
  <si>
    <t>Kysset som fikk snøen til å smelte</t>
  </si>
  <si>
    <t>NO</t>
  </si>
  <si>
    <t>tt0203625</t>
  </si>
  <si>
    <t>Kristian Dale Hakkelberg, Stian Barsnes Simonsen, Silje Andresen</t>
  </si>
  <si>
    <t>Die New Yorkerin Stella träumt davon eines Tages Küchenchefin in einem guten Restaurant zu werden. Neben ihrer Leidenschaft für das Kochen hat sie aber auch eine für Männer ...</t>
  </si>
  <si>
    <t>Das Beste kommt zum Schluss</t>
  </si>
  <si>
    <t>The Bucket List</t>
  </si>
  <si>
    <t>tt0825232</t>
  </si>
  <si>
    <t>Jack Nicholson, Morgan Freeman, Sean Hayes, Beverly Todd, Alfonso Freeman</t>
  </si>
  <si>
    <t>Durch einen traurigen Umstand lernen sich der weiße Milliardär Edward Cole und der afroamerikanische Automechaniker Carter Chambers kennen. Beide haben Krebs und liegen im selben Zimmer eines Krankenhauses. Als sich herausstellt, dass sowohl Cole als auch Chambers nach der Prognose der Ärzte nur noch wenige Monate zu leben haben, versuchen beide, der restlichen Zeit das Maximale abzutrotzen. Eine Liste mit Dingen, die sie vor dem nahen Tod unbedingt noch erledigen wolle, soll ihnen dabei helfen, der erschreckenden Tatsache ins Auge zu blicken. Dank der finanziellen Möglichkeiten Coles setzen die Männer ihre Planung auch gegen private Widerstände in die Tat um. Bei ihrer Reise rund um die Welt lernen sich Cole und Chambers immer besser kennen und entwickeln ein Gespür für die wahren Wünsche des anderen, die sie unterstützen wollen.</t>
  </si>
  <si>
    <t>High Crimes – Im Netz der Lügen</t>
  </si>
  <si>
    <t>High Crimes</t>
  </si>
  <si>
    <t>Drama, Mystery, Thriller, Krimi</t>
  </si>
  <si>
    <t>tt0257756</t>
  </si>
  <si>
    <t>Ashley Judd, Morgan Freeman, Jim Caviezel, Amanda Peet, Adam Scott</t>
  </si>
  <si>
    <t>Claire Kubiks Welt steht Kopf. Eben noch war die profilierte Topanwältin in glücklicher Ehe mit dem Ex-Marine Tom verheiratet. Schlagartig zerbricht dieses Idyll, als Tom festgenommen und vor dem Militärgericht des Mordes angeklagt wird. Ron Chapman, so Toms angeblich wahrer Name, soll zehn Jahre zuvor bei einem Einsatz in El Salvador neun Menschen massakriert haben. Claire hält zu ihrem Mann. Ihr zur Seite stehen der Militäranwalt Embry sowie der unkonventionelle Jurist Grimes. Zwar deuten immer mehr Indizien auf eine hochrangige Verschwörung hin, doch erschüttern Claires Nachforschungen zunehmend auch ihr Vertrauen in Tom.</t>
  </si>
  <si>
    <t>Im Netz der Spinne</t>
  </si>
  <si>
    <t>Along Came a Spider</t>
  </si>
  <si>
    <t>CA, US</t>
  </si>
  <si>
    <t>Krimi, Mystery, Thriller, Action</t>
  </si>
  <si>
    <t>tt0164334</t>
  </si>
  <si>
    <t>Morgan Freeman, Monica Potter, Michael Wincott, Dylan Baker, Mika Boorem</t>
  </si>
  <si>
    <t>Nachdem er die Tochter eines Senators gekidnappt hat, fordert der offenbar geisteskranke Entführer Soneji den Polizeipsychologen Dr.Alex Cross persönlich heraus: Cross bleibt keine Wahl und er muss sich auf ein mörderisches Spiel einlassen. Gemeinsam mit der Secret Service-Agentin Jezzie Flannigan beginnt er die Jagd auf den Verbrecher. Schon bald wir ihnen klar, dass sie sich in einem raffiniert gespannten Spinnennetz bewegen und ihr Gegner ihnen immer einen Schritt voraus ist. Soneji geht es dabei nicht nur um das hohe Lösegeld, sondern vor allem um Publicity. Nach dem Mord an einem Unbeteiligten spitzt sich die Situation dramatisch zu, und Cross weiß, dass ihm nicht mehr viel Zeit bleibt, um das Leben des Mädchens zu retten.</t>
  </si>
  <si>
    <t>Lucky Number Slevin</t>
  </si>
  <si>
    <t>United Kingdom, Germany, Canada, United States</t>
  </si>
  <si>
    <t>Crime, Drama, Thriller</t>
  </si>
  <si>
    <t>tt0425210</t>
  </si>
  <si>
    <t>Josh Hartnett, Ben Kingsley, Morgan Freeman</t>
  </si>
  <si>
    <t>Job, Frau und Wohnung verloren – es ist wirklich nicht Slevins Tag! Aber als er dann auch noch von zwei brutalen Geldeintreibern mit seinem hoch verschuldeten Freund verwechselt wird, brechen für Slevin wirklich harte Zeiten an. Denn um seine angeblichen Schulden erlassen zu bekommen, soll Slevin den Sohn eines der größten Gangsterbosse New Yorks eliminieren. Ohne eine Chance seine wahre Identität zu beweisen muss Slevin sich auf den mörderischen Deal einlassen. Doch ihm bleibt nicht viel Zeit, denn auch der knallharte Cop Brikowski und der skrupellose Killer Goodcat haben Slevin bereits im Visier.</t>
  </si>
  <si>
    <t>R.E.D. - Älter. Härter. Besser</t>
  </si>
  <si>
    <t>RED</t>
  </si>
  <si>
    <t>Action, Abenteuer, Komödie, Krimi, Thriller</t>
  </si>
  <si>
    <t>tt1245526</t>
  </si>
  <si>
    <t>Bruce Willis, John Malkovich, Morgan Freeman, Helen Mirren, Mary-Louise Parker</t>
  </si>
  <si>
    <t>Frank, Joe, Marvin und Victoria sind Top-Agenten der CIA im Ruhestand. Jedoch macht sie das Wissen, welches sie während ihrer aktiven Zeit erhalten haben, nun zu den Top-Zielen ihres ehemaligen Arbeitgebers. Noch einmal muss sich die alte Riege zusammentun und all ihre Erfahrung nutzen, um der tödlichen Bedrohung immer einen Schritt voraus zu sein. Ihr Ziel ist es, in das CIA Hauptquartier einzubrechen und eine der größten Verschwörungen auf höchster Ebene aufzudecken.</t>
  </si>
  <si>
    <t>Under Suspicion – Mörderisches Spiel</t>
  </si>
  <si>
    <t>Under Suspicion</t>
  </si>
  <si>
    <t>tt0164212</t>
  </si>
  <si>
    <t>Gene Hackman, Morgan Freeman, Thomas Jane, Monica Bellucci, Nydia Caro</t>
  </si>
  <si>
    <t>Der Anwalt Hearst findet beim Joggen eine Leiche. Der ermittelnde Kommissar Benezet glaubt, dass es sich bei Hearst selbst um den Vergewaltiger und Mörder handeln kann, da es noch einen ähnlichen Fall gab, bei dem er auch am Tatort war. Es kommt zu einem sehr eindringlichen Verhör, bei dem auch Hearsts Frau aussagt.</t>
  </si>
  <si>
    <t>Unleashed – Entfesselt</t>
  </si>
  <si>
    <t>Unleashed</t>
  </si>
  <si>
    <t>CN, FR, GB, US</t>
  </si>
  <si>
    <t>tt0342258</t>
  </si>
  <si>
    <t>Jet Li, Morgan Freeman, Bob Hoskins, Kerry Condon, Vincent Regan</t>
  </si>
  <si>
    <t>Normales menschliches Verhalten ist ein Fremdwort für Danny, einen jungen Mann mit dem Wissenstand und der sozialen Reife eines kleines Kindes. Von seinem "Besitzer" Bart wurde er zur Kampfmaschine gedrillt, muß sich jedoch mit einem Halsband versehen jedoch sonst stets in einem Käfig aufhalten, um für Bart in illegalen Gladiatorenkämpfen mit tödlichem Ausgang anzutreten. Als Bart nach einem schweren Unfall ins Koma verfällt, ist Danny auf einmal auf sich gestellt - und gerät an den blinden Klavierstimmer Sam, der ihn behutsam in die normale Welt einführt und ihm beibringt, was es heißt, ein Mensch zu sein. Nur eines Tages wacht Bart aus seinem Koma wieder auf und will seinen Besitz zurück. Bald steht Danny vor schweren moralischen Entscheidungen...</t>
  </si>
  <si>
    <t>Omar Sharif</t>
  </si>
  <si>
    <t>Omar Sharif - Aus dem Leben eines Nomaden</t>
  </si>
  <si>
    <t>tt11802038</t>
  </si>
  <si>
    <t>Omar Sharif, Pierre Boulanger, Paul Chemla</t>
  </si>
  <si>
    <t>Mehrere hoch budgetierte Epen machten Omar Sharif (1932-2015) zu einem Filmstar. Er war ein Schauspieler, aber auch ein Bridge-Spieler, ein Frauenheld, ein Lebemann; er war ein Mann voller Widersprüche, der Kartenspiele mehr liebte als Filme; er war ein ewiger Nomade, der sein halbes Leben in einem Hotel verbrachte.</t>
  </si>
  <si>
    <t>Das B-Team -  Beschränkt und auf Bewährung</t>
  </si>
  <si>
    <t>The Parole Officer</t>
  </si>
  <si>
    <t>Krimi, Komödie</t>
  </si>
  <si>
    <t>tt0283534</t>
  </si>
  <si>
    <t>Steve Coogan, Lena Headey, Ben Miller, Om Puri, Steven Waddington</t>
  </si>
  <si>
    <t>Bewährungshelfer Simon weiß nicht, wie ihm geschieht: Zuerst wird er von London nach Manchester strafversetzt und jetzt soll er auch noch einen Mord begangen haben. Der Beweis seiner Unschuld ist in einem Banksafe eingeschlossen. Unterstützt von ein paar Freunden, wird Simon zum tollkühnen Meisterdieb.</t>
  </si>
  <si>
    <t>Die geheimnisvolle Insel</t>
  </si>
  <si>
    <t>1865: Fünf Bürgerkriegsflüchtlinge im Fesselballon verschlägt es auf die Vulkaninsel von Kapitän Nemo (Omar Sharif). Da an Rettung nicht zu denken ist, richten die Havarierten sich so gut es geht in einer Höhle ein. Während ihrer Erkundungen im Landesinneren geschehen merkwürdige Dinge, die bei den Gestrandeten die Vermutung aufkommen lassen, dass die Insel doch nicht unbewohnt ist...</t>
  </si>
  <si>
    <t>Die Nacht der Generale</t>
  </si>
  <si>
    <t>The Night of the Generals</t>
  </si>
  <si>
    <t>FR, GB</t>
  </si>
  <si>
    <t>Thriller, Mystery, Kriegsfilm, Krimi</t>
  </si>
  <si>
    <t>tt0062038</t>
  </si>
  <si>
    <t>Peter O'Toole, Omar Sharif, Tom Courtenay, Donald Pleasence, Joanna Pettet</t>
  </si>
  <si>
    <t>Warschau im Winter 1942: Eine Dirne wird ermordet. Drei Generäle der deutschen Wehrmacht scheinen in den Fall verwickelt zu sein. Paris im Sommer 1944: Wieder wird eine Dirne ermordet, und wieder sind die drei deutschen Generäle verdächtig, Major Grau der schon in Warschau ermittelte, glaubt endlich den Täter zu kennen. Doch der Mörder ist schneller. Grau wird kaltblütig erschossen. 22 Jahre später geschieht ein neuer Mord an einer Dirne in Hamburg. Ein Mord, der den anderen in allen wesentlichen Punkten gleicht. Wieder scheinen die drei Ex-Generäle in den Fall verwickelt. Inspektor Morand (Phillip Noiret) rollt die Fälle wieder auf. Der einzige Tatzeuge von damals wird gefunden. Kann der Mörder sich jetzt noch einmal retten?</t>
  </si>
  <si>
    <t>Doktor Schiwago</t>
  </si>
  <si>
    <t>Liebe, Tod, Unsterblichkeit - Die geheimen Wege des Doktor Schiwago</t>
  </si>
  <si>
    <t>tt6864368</t>
  </si>
  <si>
    <t>Omar Sharif, Julie Christie, Geraldine Chaplin, Rod Steiger, Alec Guinness</t>
  </si>
  <si>
    <t>Der russische Arzt und Dichter Yuri Schiwago heiratet aus Dankbarkeit Tonya, die Tochter seiner Pflegeeltern. Seine Liebe aber gehört der 17-jährigen Lara. Der Ausbruch der Oktoberrevolution verstrickt Lara und Yuri in die Kriegswirren und stellt ihre Liebe auf eine harte Probe.</t>
  </si>
  <si>
    <t>Funny Girl</t>
  </si>
  <si>
    <t>Biography, Comedy, Drama</t>
  </si>
  <si>
    <t>tt0062994</t>
  </si>
  <si>
    <t>Barbra Streisand, Omar Sharif, Kay Medford</t>
  </si>
  <si>
    <t>Die jüdische Komödiantin Fanny Brice wächst in einem Viertel der New Yorker Lower East Side auf und träumt davon, eines Tages ein großer Star zu werden. Sie interessiert sich vor allem für das Vaudeville-Theater, ein in New York äußerst beliebtes Unterhaltungstheater. Doch der Weg nach oben ist steinig. Von den Kritikern wird ihr wegen ihres unattraktiven Äußeren keine große Zukunft vorausgesagt, doch so leicht gibt sie ihren Traum nicht auf. Mit großer Entschlossenheit und Ehrgeiz schafft sie es, Mitglied der berühmten Ziegfiel Follies von Florenz Ziegfeld zu werden. Nebenbei verliebt sie sich in den Charmeur Nick Arnstein. Doch ihr Aufstieg wird begleitet von Missgunst und Neid, die sie zuweilen an dem Sinn ihrer Karriere zweifeln lassen.</t>
  </si>
  <si>
    <t>Funny Lady</t>
  </si>
  <si>
    <t>tt0073026</t>
  </si>
  <si>
    <t>Barbra Streisand, James Caan, Omar Sharif</t>
  </si>
  <si>
    <t>Dieses lebendig-üppige Musical öffnet ein neues Kapitel in Fannys beruflichem und auch Liebesleben. Geschieden vom wohlhabenden Nick Arnstein, tut sie sich mit dem Songwriter Billy Rose zusammen, einem dreisten Showman, der vor Enthusiasmus für das Theater und Ehrgeiz fast platzt. Zunächst ein äußerst ungewöhnliches Paar, doch man rauft sich zusammen und aus Freundschaft wird Liebe.</t>
  </si>
  <si>
    <t>Lawrence von Arabien</t>
  </si>
  <si>
    <t>Lawrence of Arabia</t>
  </si>
  <si>
    <t>Abenteuer, Historie, Kriegsfilm</t>
  </si>
  <si>
    <t>tt0056172</t>
  </si>
  <si>
    <t>Peter O'Toole, Alec Guinness, Omar Sharif, Anthony Quinn, Jack Hawkins</t>
  </si>
  <si>
    <t>Der britische Offizier Lawrence wird auf die arabische Halbinsel geschickt, um die dortigen politischen Entwicklungen unter Prinz Faisal zu beobachten und den Aufstand der Araber gegen das Osmanische Reich zu unterstützen. Schon kurz nach seiner Ankunft wird dem Briten schonungslos vermittelt, dass es zwischen den verschiedenen Beduinenstämmen einige Konflikte gibt. Wer sich nicht an die Regeln hält, wird erschossen. Im Lager des Prinzen Faisal trifft Lawrence erneut auf Sherif Ali, der ihm bereits in der Wüste begegnete. Gemeinsam machen sie sich auf den Weg, die Wüste Nefud zu durchqueren, um so nach Akaba zu gelangen...</t>
  </si>
  <si>
    <t>Top Secret!</t>
  </si>
  <si>
    <t>Comedy, Crime, Music</t>
  </si>
  <si>
    <t>tt0088286</t>
  </si>
  <si>
    <t>Val Kilmer, Omar Sharif, Jeremy Kemp</t>
  </si>
  <si>
    <t>Nick Rivers, ein amerikanischer Rock ’n’ Roll-Sänger reist zusammen mit seinem Manager nach Ostdeutschland, um auf einem Kultur-Festival aufzutreten. Allerdings weiß er zunächst nicht, dass das Festival als ein Ablenkungsmanöver dienen soll, damit die Ostregierung die NATO-U-Bootflotte bei einem Manöver in der Straße von Gibraltar sabotieren und damit das Kräfteverhältnis der Weltmächte einseitig verlagern kann, um Deutschland wieder zu „vereinen“.</t>
  </si>
  <si>
    <t>Patrick Swayze</t>
  </si>
  <si>
    <t>I Am Patrick Swayze</t>
  </si>
  <si>
    <t>tt9779560</t>
  </si>
  <si>
    <t>Demi Moore, Lori Petty, Jennifer Grey</t>
  </si>
  <si>
    <t>Tanzend von Houston nach Hollywood - Patrick Swayze ist eine Leinwandikone und blieb gleichzeitig immer auch, wie der geliebte Vater, ein Cowboy.  Nachdem er sich in New York in einer Ballettkompanie einen Namen gemacht hatte, zog er nach Los Angeles, um Filmstar zu werden. Wie keiner vor ihm hatte er den Ehrgeiz, alle körperlichen Herausforderungen und Stunts selbst auszuführen. Seinem Talent, aber auch seiner unbedingten Härte gegen sich selbst verdankte er große Erfolge - und sie führten ihn in große Krisen.  In diesem Dokumentarfilm berichten Kollegen und Freunde von seinem Leben und seiner Karriere und zeichnen das Bild eines Künstlers zwischen Depression und Manie, zwischen Abschottung und Geltungsdrang. Im umfangreichen Archivmaterial kommt auch immer wieder Patrick Swayze selbst zu Wort, erzählt von Höhenflügen und Fluchten aus Hollywood in die Einsamkeit der Ranch in New Mexico, wo er 2009 mit nur 57 Jahren verstarb.</t>
  </si>
  <si>
    <t>Die Outsider</t>
  </si>
  <si>
    <t>The Outsiders</t>
  </si>
  <si>
    <t>tt0086066</t>
  </si>
  <si>
    <t>C. Thomas Howell, Matt Dillon, Ralph Macchio, Patrick Swayze, Rob Lowe</t>
  </si>
  <si>
    <t>Die jugendlichen Gangs im US-Amerikanischen Tulsa der 60er Jahre sind Die Outsider. Ponyboy, seine beiden älteren Brüder Soda und Darry sowie ihre Freunde sind die Greasers, eine schmuddelige und rauhbeinige Gang von Unterschichts-Kids. Ihre stärkste Konkurrenz auf den Straßen sind die Socs – kurz für Socials, die aus besseren Verhältnissen stammen. Die jugendlichen Rivalen geraten immer wieder aneinander, wobei die Socs auch nicht vor dem Einsatz von Rasiermessern zurückschrecken. Als zwei der Greasers ein Auge auf Cherry und Marcia, zwei der Freundinnen von Socs-mitgliedern, werfen eskaliert die Situation.</t>
  </si>
  <si>
    <t>Gefährliche Brandung</t>
  </si>
  <si>
    <t>Point Break</t>
  </si>
  <si>
    <t>tt0102685</t>
  </si>
  <si>
    <t>Keanu Reeves, Patrick Swayze, Lori Petty, Gary Busey, John C. McGinley</t>
  </si>
  <si>
    <t>Eine Bande von Bankräubern terrorisiert die Stadt. Mit Plastikmasken als Ex-Präsidenten der USA verkleidet, schlagen sie immer wieder blitzschnell zu. Die Polizei ist vollkommen ratlos, bis der junge FBI-Agent Johnny Utah auf die Idee kommt, sich als Undercover-Agent in das Surfer-Milieu einzuschleichen. Dort trifft er nicht nur auf die junge, attraktive Tyler, sondern auch auf den charismatischen Surf-Guru Bodhi und seine Clique, mit der er sich schnell anfreundet. Bald stellt er aber fest, dass sie die Gangster sind, die auf der Suche nach immer neuen "Kicks" auch Banküberfälle wie einen Sport betreiben.</t>
  </si>
  <si>
    <t>Letters from a Killer</t>
  </si>
  <si>
    <t>tt0119522</t>
  </si>
  <si>
    <t>Patrick Swayze, Kim Myers, Gia Carides</t>
  </si>
  <si>
    <t>Race sitzt in der Todeszelle wegen des angeblichen Mordes an seiner Frau. Mit vier Frauen, die voneinander nichts wissen, hält er Kontakt, indem er ihnen Tonbandaufnahmen schickt. Seine Anwältin schafft es kurz vor seiner Hinrichtung neue Beweise zu finden und Race wird begnadigt. Doch seine letzten Tonbandaufnahmen werden von einem Wärter absichtlich vertauscht. Wieder in Freiheit beginnt eine der Frauen Amok zu laufen und fängt an die anderen Frauen zu töten. Die Morde werden so arrangiert wie der Mord an seiner Frau und so fällt der Verdacht wieder auf ihn. Während Race von der Polizei gejagt wird, hilft ihm eine der Frauen die Identität der Mörderin zu entlarven. Doch Race muß sich bald fragen: Ist die vermeintliche Helferin vielleicht auch die Mörderin?</t>
  </si>
  <si>
    <t>Road House</t>
  </si>
  <si>
    <t>tt0098206</t>
  </si>
  <si>
    <t>Patrick Swayze, Kelly Lynch, Sam Elliott</t>
  </si>
  <si>
    <t>Der professionelle Rausschmeißer Dalton soll das heruntergekommene "Double Deuce" auf Vordermann bringen. Schnell merkt er, daß er mit mehr als nur ein paar Trunkenbolden aufzuräumen hat. Sein Gegenspieler ist der skrupellose Wesley, der mit seinen Mannen nicht nur die Bar, sondern auch die gesamte Stadt terrorisiert. Zu allem Überfluß verliebt sich Dalton in Wesleys Exfreundin Doc. Als der Schurke Daltons besten Freund und Mentor beseitigen läßt, sieht er rot. Er tötet Wesleys Killer, und als der Bösewicht auf Dalton anlegt, wird er von den rechtschaffenen Bürgern der Stadt erschossen.</t>
  </si>
  <si>
    <t>Ruf nach Vergeltung</t>
  </si>
  <si>
    <t>माँ</t>
  </si>
  <si>
    <t>IN</t>
  </si>
  <si>
    <t>tt5690142</t>
  </si>
  <si>
    <t>Sridevi, Nawazuddin Siddiqui, Sajal Ali, Adnan Siddiqui, Akshaye Khanna</t>
  </si>
  <si>
    <t>Devki (Sridevi) ist die liebevolle Mutter zweier Töchter. Zusammen mit ihrem Mann führt sie das perfekte Leben – zumindest scheinbar. Die junge Arya (Sajal Ali) glaubt nicht an die gegenseitige bedingungslose Liebe zwischen Mutter und Tochter. Devki versucht ihr Möglichstes, Arya vom Gegenteil zu überzeugen und dem Mädchen Liebe, Akzeptanz und Verständnis entgegenzubringen, allerdings gestaltet sich dies bald schwieriger als gedacht. Als Mutter ist sie in ihren Augen jedoch die einzige, die die Situation retten kann. Eine Reihe von Geschehnissen lässt zwischen Arya und Devki dennoch eine immer größere Distanz entstehen. Devki ist bald mit der Frage konfrontiert, wie weit sie für die Liebe von Arya gehen will...</t>
  </si>
  <si>
    <t>Philippe Noiret</t>
  </si>
  <si>
    <t>Philippe Noiret: Gentleman saltimbanque</t>
  </si>
  <si>
    <t>tt1427932</t>
  </si>
  <si>
    <t>Yvette Bonnay, Monique Chaumette, George William Dickinson</t>
  </si>
  <si>
    <t>Die Bestechlichen</t>
  </si>
  <si>
    <t>Les Ripoux</t>
  </si>
  <si>
    <t>tt0088002</t>
  </si>
  <si>
    <t>Philippe Noiret, Thierry Lhermitte, Régine, Grace de Capitani, Claude Brosset</t>
  </si>
  <si>
    <t>Die Bestechlichen ist eine erfolgreiche französische Krimi-Komödie über den korrupten Polizisten René, der sich, nachdem sein Partner wegen Korruption verhaftet wurde, mit dem jungen, rechtschaffenden Polizeischulabsolventen François rumschlagen muss.</t>
  </si>
  <si>
    <t>Robert De Niro</t>
  </si>
  <si>
    <t>Remembering the Artist: Robert De Niro, Sr.</t>
  </si>
  <si>
    <t>tt3469674</t>
  </si>
  <si>
    <t>Robert De Niro Sr., Drena De Niro, Robert De Niro</t>
  </si>
  <si>
    <t>Midnight Run – Fünf Tage bis Mitternacht</t>
  </si>
  <si>
    <t>Midnight Run</t>
  </si>
  <si>
    <t>Action, Komödie, Krimi, Thriller</t>
  </si>
  <si>
    <t>tt0095631</t>
  </si>
  <si>
    <t>Robert De Niro, Charles Grodin, Yaphet Kotto, John Ashton, Dennis Farina</t>
  </si>
  <si>
    <t>Der Kopfgeldjäger Jack Walsh träumt von einem kleinem Café zur Altersversorgung. Die 100.000 Dollar, die ihm für die Ergreifung von Johnathan Mardukas geboten werden, kommen gerade recht. Mardukas hat als Buchhalter der Mafia die ehrenwerte Gesellschaft um 15 Millionen Dollar gebracht und das Geld der Sozialhilfe überwiesen. Da er überdies im Besitz geheimer Unterlagen ist, jagt ihn auch das FBI. Walsh hat keine Mühe, den Schreibtischtäter zu fangen. Schwieriger ist es, ihn innerhalb weniger Tage von New nach Los Angeles zu bringen.</t>
  </si>
  <si>
    <t>Ohne Limit</t>
  </si>
  <si>
    <t>Zocken ohne Limit - Online-Glücksspiel außer Kontrolle?</t>
  </si>
  <si>
    <t>tt28356372</t>
  </si>
  <si>
    <t>Nina West</t>
  </si>
  <si>
    <t>Eddie Morra ist am Boden. Dank chronischer Lustlosigkeit und Schreibblockade bleiben Erfolge als Autor so illusionär wie die als Mann, denn nach der Hoffnung hat ihn auch seine geduldige Freundin Lindy verlassen. Als ihm der Zufall jedoch die geheim entwickelte Designerdroge NZT in die Hände spielt, steigt der Verlierer kometenhaft zum Gewinner auf. Grenzen scheint es für Eddies Genialität nun nicht mehr zu geben - bis auf jene, die ihm die Nebenwirkungen der Droge und andere, sehr gefährliche Konsumenten setzen.</t>
  </si>
  <si>
    <t>The Irishman</t>
  </si>
  <si>
    <t>tt1302006</t>
  </si>
  <si>
    <t>Robert De Niro, Al Pacino, Joe Pesci</t>
  </si>
  <si>
    <t>Frank Sheeran arbeitet viele Jahre als Geldeintreiber und Problemlöser für den Mafiaboss Russell Bufalino. Vor seiner Zeit als Gangster fuhr Frank den Wagen einer Fleischerei und kämpfte davor im Zweiten Weltkrieg unter anderem in Sizilien gegen die Achsenmächte, wo er auch die italienische Sprache erlernte, nicht wissend, dass diese seine Eintrittskarte in die Welt des organisierten Verbrechens sein sollte. Auf Empfehlung Russels stellt ihn der mit der Cosa Nostra verbandelte Gewerkschaftsführer Jimmy Hoffa als seinen Bodyguard ein. Zwischen den beiden Männern entwickelt sich erst Respekt, dann eine enge Freundschaft. Je mehr Jahre ins Land ziehen, desto höher steigt Frank auch in den Rängen der Mafia auf und desto grausamer werden die Verbrechen, die er verübt. Dann bekommt er den Auftrag, Hoffa zu ermorden …</t>
  </si>
  <si>
    <t>The Score</t>
  </si>
  <si>
    <t>Germany, Canada, United States</t>
  </si>
  <si>
    <t>tt0227445</t>
  </si>
  <si>
    <t>Robert De Niro, Edward Norton, Marlon Brando</t>
  </si>
  <si>
    <t>Der in die Jahre gekommene Meisterdieb Nick Wells lässt sich von seinem Auftraggeber Max zu einem letzten großen Coup überreden. Ziel ist ein französisches goldenes Königszepter im Wert von 30 Millionen Dollar. Allerdings muss Wells für diesen Auftrag zwei seiner wichtigsten Prinzipien über Bord werfen: Zum ersten Mal operiert er in seiner Heimatstadt Montreal und hat zudem noch einen Partner. Sein Partner Jack hat den komplizierten Coup schon akribisch vorbereitet: Als behinderter Reinigungsmann Brian getarnt hat er Zugang zum Zollgebäude, in dem das Zepter lagert. Mit seinem Insiderwissen sollte der Coup gelingen. Aber er braucht Nick, um den Tresor zu öffnen …</t>
  </si>
  <si>
    <t>Robert Redford</t>
  </si>
  <si>
    <t>Robert Redford: The Golden Look</t>
  </si>
  <si>
    <t>tt10747262</t>
  </si>
  <si>
    <t>Sandra Levy, Jean-Christophe Brétignière, Michael Feeney Callan</t>
  </si>
  <si>
    <t>Der Leinwandveteran ist weitaus mehr als das frauenflüsternde Sexsymbol mit dem verwuschelten Blondschopf und den stahlblauen Augen. Robert Redford bezieht Position – auf der Leinwand, im Regiestuhl und außerhalb von Hollywood. Er engagiert sich für den Naturschutz, fördert unabhängige Regisseure und macht sich stark für die Rechte der nordamerikanischen Ureinwohner.</t>
  </si>
  <si>
    <t>Aus der Mitte entspringt ein Fluss</t>
  </si>
  <si>
    <t>A River Runs Through It</t>
  </si>
  <si>
    <t>Drama, Familie</t>
  </si>
  <si>
    <t>tt0105265</t>
  </si>
  <si>
    <t>Craig Sheffer, Brad Pitt, Tom Skerritt, Brenda Blethyn, Emily Lloyd</t>
  </si>
  <si>
    <t>Unter der Obhut ihres Vaters, eines presbyterianischen Geistlichen, wachsen die Brüder Norman und Paul in der unberührten Wildnis von Montana in den 30er Jahren auf. Nach Jahren kehrt Norman in einer Studienpause zurück nach Hause. Noch immer ist er allerdings nicht in der Lage, seinem Vater seine Gefühle zu zeigen. Nur beim Fischen ist sich die Familie wirklich nahe. Vor allem der junge Paul leidet unter dem Zustand. Er verfällt dem Alkohol und gerät in einen Teufelskreis.</t>
  </si>
  <si>
    <t>Aus nächster Nähe</t>
  </si>
  <si>
    <t>Up Close &amp; Personal</t>
  </si>
  <si>
    <t>tt0118055</t>
  </si>
  <si>
    <t>Robert Redford, Michelle Pfeiffer, Stockard Channing, Joe Mantegna, Kate Nelligan</t>
  </si>
  <si>
    <t>Tally Atwater will Karriere als Nachrichtensprecherin machen. Tatsächlich kann sie einen Job bei Warren Justice, dem Nachrichtenleiter einer lokalen TV-Station, ergattern. Unter seiner Anleitung avanciert Tally vom Wetterfrosch zur versierten Live-Reporterin und wird bald darauf von einem großen US-Sender engagiert. Zu diesem Zeitpunkt haben sich die beiden Medienmacher bereits unsterblich ineinander verliebt. Als Tally live von einem Gefängnisaufstand berichtet, kommt es zum dramatischen Höhepunkt.</t>
  </si>
  <si>
    <t>Barfuß im Park</t>
  </si>
  <si>
    <t>Barfuss im Park</t>
  </si>
  <si>
    <t>tt11635724</t>
  </si>
  <si>
    <t>Wolfgang Kieling, Anita Lochner, Edith Schneider</t>
  </si>
  <si>
    <t>Paul und Corie Bratter ziehen nach fünftägigen Flitterwochen in einem Hotel in New York in die erste gemeinsame Wohnung. Der Alltag gestaltet sich schwierig, da sie von unterschiedlichem Temperament sind und Paul sich als erzkonservativer Bürohengst herausstellt. Cories schrullige Mutter nervt den Schwiegersohn, weil sie ständig auf der Matte steht. Sie verliebt sich in Viktor Velasco, den alternden Lebemann von nebenan. Nach einem Krach läuft Paul barfuß in den Central Park und wird von Corie zurück geholt, die ihre konservative Ader entdeckt hat.</t>
  </si>
  <si>
    <t>Brubaker</t>
  </si>
  <si>
    <t>tt0080474</t>
  </si>
  <si>
    <t>Robert Redford, Yaphet Kotto, Morgan Freeman</t>
  </si>
  <si>
    <t>Anstatt seine neue Stelle als Gefängnisdirektor ordnungsgemäß anzutreten, geht Henry Brubaker erst mal einige Wochen als Häftling in die eigene Anstalt. Dort erlebt er den Klüngel und die Korruption, die mit den Gefangenen getrieben werden, am eigenen Leib. Als er sich dann enttarnt, beginnt ein harter Kampf gegen die Korruption und die Behinderung gegen die örtlichen Stellen.  Doch dann entdeckt Brubaker noch Ungeheueres: auf dem Gelände des Gefängnisses sind Leichen vergraben ...</t>
  </si>
  <si>
    <t>Der Moment der Wahrheit</t>
  </si>
  <si>
    <t>Truth</t>
  </si>
  <si>
    <t>tt3859076</t>
  </si>
  <si>
    <t>Cate Blanchett, Robert Redford, Dennis Quaid, Elisabeth Moss, Bruce Greenwood</t>
  </si>
  <si>
    <t>New York, September 2004. Mary Mapes wird als Produzentin von "60 Minutes", des erfolgreichsten TV-Nachrichtenmagazins des Landes, allseits respektiert und geschätzt. Während sie im Beruf erfolgreich ist, führt sie privat ein glückliches Leben mit ihrer Familie. Doch als ihrem Team mitten im Präsidentschaftswahlkampf "Bush vs. Kerry" brisante Informationen über Dokumente aus den 1970er Jahren zugespielt werden, die belegen sollen, dass George W. Bush sich mit Hilfe seiner Familie vor einem Militäreinsatz im Vietnamkrieg gedrückt hat, gerät ihr Leben aus den Fugen.</t>
  </si>
  <si>
    <t>Der Unbeugsame</t>
  </si>
  <si>
    <t>The Natural</t>
  </si>
  <si>
    <t>tt0087781</t>
  </si>
  <si>
    <t>Robert Redford, Robert Duvall, Glenn Close, Kim Basinger, Wilford Brimley</t>
  </si>
  <si>
    <t>Roy Hobbs ist ein vielversprechender Nachwuchsspieler, doch sein Traum vom Ruhm in der Oberliga platzt, als eine rätselhafte Frau und eine Kugel seine Karriere jäh beenden. 16 Jahre später findet Hobbs, mit seinem Baseballschläger 'Wonderboy' aus Kindertagen zum Baseball zurück, wenn auch nur im Außenseiterteam der 'New York Knights'. Gelingt es Hobbs, seine körperlichen Schmerzen und alle negativen Einflüsse um ihn herum zu überwinden, um die 'Knights' zum Sieg zu führen?</t>
  </si>
  <si>
    <t>Die drei Tage des Condor</t>
  </si>
  <si>
    <t>Three Days of the Condor</t>
  </si>
  <si>
    <t>tt0073802</t>
  </si>
  <si>
    <t>Robert Redford, Faye Dunaway, Cliff Robertson, Max von Sydow, John Houseman</t>
  </si>
  <si>
    <t>Das Gebäude der "Amerikanischen Gesellschaft für Literaturgeschichte" wird von Männern gestürmt, die ein Blutbad anrichten. Turner entkommt zufällig. Er setzt sich mit dem CIA, in dessen Dienst die Abteilung arbeitete, in Verbindung. Als öffentlich gesuchter Mörder verfolgt, verbirgt sich Turner, Deckname "Condor", bei der entfernten Freundin Kathy, die nach einem weiteren Attentat mit Turner gemeinsame Sache macht. Er gelangt an Dokumente, die die Wahrheit enthüllen, und kann sich mit Hilfe der Presse absetzen.</t>
  </si>
  <si>
    <t>Die letzte Festung</t>
  </si>
  <si>
    <t>The Last Castle</t>
  </si>
  <si>
    <t>tt0272020</t>
  </si>
  <si>
    <t>Robert Redford, James Gandolfini, Mark Ruffalo, Delroy Lindo, Clifton Collins Jr.</t>
  </si>
  <si>
    <t>Nach einer Befehlsverweigerung, in deren Folge acht seiner Männer zu Tode kamen, wird General Irwin auf lange Zeit in einem Militärgefängnis inhaftiert. Steht er anfangs noch in der Gunst von Gefängnisleiter Colonel Winter, macht er sich diesen schließlich zum Feind, als er dessen menschenverachtende und degradierende Methoden anklagt. Um gegen den Despoten bestehen zu können, versammelt Irwin Mithäftlinge um sich, die in ihm immer noch den respektierten General sehen. Es beginnt ein dramatischer Kampf um Menschlichkeit und Ehre...</t>
  </si>
  <si>
    <t>Ein ungezähmtes Leben</t>
  </si>
  <si>
    <t>An Unfinished Life</t>
  </si>
  <si>
    <t>US, DE</t>
  </si>
  <si>
    <t>tt0350261</t>
  </si>
  <si>
    <t>Robert Redford, Jennifer Lopez, Morgan Freeman, Becca Gardner, Josh Lucas</t>
  </si>
  <si>
    <t>Mehr als zehn Jahre nach dem Tod seines Sohnes ist Einar Gilkyson immer noch nicht über den Verlust hinweg. Auf seiner Ranch in Wyoming führt er das Leben eines mürrischen Eremiten, dem nur sein alter Freund Mitch Gesellschaft leistet. Zu seiner Schwiegertochter Jean hat er jeden Kontakt abgebrochen, denn er macht sie für den Unfalltod seines Sohnes verantwortlich. Eines Tages jedoch steht Jean samt Töchterchen Griff unangemeldet vor Einars Tür und bittet um Hilfe. Widerwillig nimmt er die beiden auf. Doch dann gelingt es Griff, langsam aber sicher das Herz ihres grantigen Großvaters zurück zu erobern. Als jedoch Jeans jähzorniger Ex-Freund in der Stadt auftaucht, werden die zaghaft geknüpften Familienbande erneut auf eine harte Probe gestellt...</t>
  </si>
  <si>
    <t>FR, DE, JP, US</t>
  </si>
  <si>
    <t>Action, Krimi, Thriller</t>
  </si>
  <si>
    <t>Staatsanwälte küsst man nicht</t>
  </si>
  <si>
    <t>Legal Eagles</t>
  </si>
  <si>
    <t>tt0091396</t>
  </si>
  <si>
    <t>Robert Redford, Debra Winger, Daryl Hannah, Brian Dennehy, Terence Stamp</t>
  </si>
  <si>
    <t>Der Staatsanwalt Tom Logan steht für eine Beförderung an, zumindest bis er in den Fall seiner Anwaltskollegin Laura Kelly und deren unberechenbarer Mandantin Chelsea Deardon hineingezogen wird. Scheinbar gehört der Diebstahl eines sehr wertvollen Gemäldes zu Chelseas geringeren Delikten, und als die beiden Frauen Tom überreden, seine Beziehungen spielen zu lassen, eröffnet sich schon bald ein weitreichender Fall...</t>
  </si>
  <si>
    <t>Unsere Seelen bei Nacht</t>
  </si>
  <si>
    <t>Our Souls at Night</t>
  </si>
  <si>
    <t>tt5034266</t>
  </si>
  <si>
    <t>Robert Redford, Jane Fonda, Matthias Schoenaerts, Iain Armitage, Judy Greer</t>
  </si>
  <si>
    <t>Addie Moore (Jane Fonda) und Louis Waters (Robert Redford) kennen sich seit Jahren und hatten doch nie viel miteinander zu tun, sie lebten einfach als Nachbarn in derselben Gegend in Holt, Colorado. Aber nun haben beide vor einiger Zeit ihre jeweiligen Ehepartner verloren, ihre Kinder sind längst weggezogen und sie leben ganz allein in ihren großen Häusern. So beschließt Addie eines Tages, Louis einen spontanen Besuch abzustatten, weil sie hofft, noch einmal Anschluss an einen anderen Menschen zu finden. Ihr machen die einsamen Nächte zu schaffen und sie glaubt, dass sie mit jemandem an ihrer Seite wieder schlafen könnte. So kommt es, dass der zunächst überraschte Louis ab und zu bei ihr übernachtet und sie sich gegenseitig von ihrem Leben erzählen. Doch als die Beziehung der beiden immer enger wird, stellen sie fest, dass ihnen die Bewohner von Holt mit Neid und Missgunst begegnen…</t>
  </si>
  <si>
    <t>Sandra Bullock</t>
  </si>
  <si>
    <t>E! News Special: Sandra Bullock - Heartbreak to Happiness</t>
  </si>
  <si>
    <t>News</t>
  </si>
  <si>
    <t>tt1650826</t>
  </si>
  <si>
    <t>Blind Side – Die große Chance</t>
  </si>
  <si>
    <t>The Blind Side</t>
  </si>
  <si>
    <t>tt0878804</t>
  </si>
  <si>
    <t>Sandra Bullock, Tim McGraw, Quinton Aaron, Jae Head, Lily Collins</t>
  </si>
  <si>
    <t>Leigh Anne Tuohy, glücklich verheiratete Ehefrau, zweifache Mutter und stolze Hausfrau in Memphis, ist eine Naturgewalt. Entsprechend vehement setzt sie sich auch ein, als ihr Sohn einen ungewöhnlichen Klassenkameraden mit nach Hause bringt: den übergewichtigen schwarzen Teenager Michael Oher, der nicht schreiben und sich fast nicht artikulieren kann. Aber er hat ein Talent für Football. Und deshalb ist auch Leigh Anne nicht mehr zu bremsen, die Michael bei sich zu Hause aufnimmt. Mögen ihre Beweggründe anfangs nicht nur altruistisch gewesen sein, bald schon liebt sie den Jungen wie ihre eigenen Kinder.</t>
  </si>
  <si>
    <t>Das Netz</t>
  </si>
  <si>
    <t>Das goldene Netz</t>
  </si>
  <si>
    <t>tt0475822</t>
  </si>
  <si>
    <t>Charlotte Ander, Erra Bognar, Ernst Hofmann</t>
  </si>
  <si>
    <t>Die Computerexpertin Angela Bennett arbeitet von Zuhause aus für die Softwarefirma Cathedral und lebt sehr isoliert. Ihre Pizza kommt per Online-Bestellungen, soziale Kontakte pflegt sie ausschließlich am Telefon oder über das Internet. Eines Tages bekommt Angela eine Diskette mit brisanten Informationen zugespielt, die sie kurze Zeit später in Lebensgefahr bringt. Der gerissene Profikiller Jack Devlin wird auf sie angesetzt und soll die Daten mit allen Mitteln wiederbeschaffen. Angela kann entkommen, doch plötzlich steht ihre Welt Kopf: Jemand hat ihre persönlichen Daten aus allen staatlichen Computern gelöscht und ihre Identität getilgt. Dabei wurde ihr Strafregister um einige Punkte erweitert, weswegen ihr nicht nur Devlin, sondern auch die Polizei auf den Fersen ist.</t>
  </si>
  <si>
    <t>Die Jury</t>
  </si>
  <si>
    <t>A Time to Kill</t>
  </si>
  <si>
    <t>tt0117913</t>
  </si>
  <si>
    <t>Matthew McConaughey, Sandra Bullock, Samuel L. Jackson, Kevin Spacey, Ashley Judd</t>
  </si>
  <si>
    <t>In dem kleinen Mississippi-Städtchen Canton wird ein junger Anwalt mit einem mörderischen Fall betraut, als nach der Vergewaltigung und dem Mord an einem farbigen Mädchen der Vater im Gerichtsgebäude Rache nimmt und die vermeintlichen Täter erschießt.Nun steht der Vater vor Gericht und der Klu-Klux-Klan in der Gegend wird ebenfalls wieder aktiv. Unterstützt von einer jungen Studentin gerät das Leben aller Beteiligten in Gefahr, als Anschläge verübt werden. Doch die größte Gefahr lauert vor Gericht, in Person des gewieften Staatsanwalts Buckley</t>
  </si>
  <si>
    <t>Extrem laut &amp; unglaublich nah</t>
  </si>
  <si>
    <t>Extremely Loud &amp; Incredibly Close</t>
  </si>
  <si>
    <t>tt0477302</t>
  </si>
  <si>
    <t>Tom Hanks, Sandra Bullock, Thomas Horn, Viola Davis, John Goodman</t>
  </si>
  <si>
    <t>Vor dem Hintergrund der tragischen Ereignisse vom 11. September erzählt die Romanverfilmung „Extrem laut und unglaublich nah“, wie ein kleiner Junge mit der Kraft der Liebe den traurigen Verlust seines Vaters bewältigt. Der elfjährige Oskar Schell ist ein außergewöhnliches Kind: Amateur-Erfinder, Frankreich-Fan, Pazifist. Sein Vater ist am 11. September im World Trade Center umgekommen. Eines Tages findet Oskar einen geheimnisvollen Schlüssel des Vaters und macht sich daraufhin heimlich auf eine nicht alltägliche Suche durch die fünf Stadtbezirke von New York. Bei seinen ungewöhnlichen Streifzügen begegnet er den unterschiedlichsten Menschen, die alle sehr persönliche Überlebensstrategien entwickelt haben. Seine Suche endet schließlich dort, wo sie begonnen hat, doch die vielen liebevollen Begegnungen geben Oskar Halt und Trost, um das Geschehene zu verarbeiten.</t>
  </si>
  <si>
    <t>L.A. Crash</t>
  </si>
  <si>
    <t>Crash: L.A. - The Other Main Character</t>
  </si>
  <si>
    <t>tt5232030</t>
  </si>
  <si>
    <t>Karen Bass, Sandra Bullock, Mark R. Harris, Marqueece Harris-Dawson</t>
  </si>
  <si>
    <t>Ein politisch unsicherer Bezirksstaatsanwalt und seine reizbare Frau werden in ihrem Auto von zwei jungen Schwarzen entführt; ein reicher schwarzer Fernsehregisseur und seine Frau werden von einem weißen rassistischen Polizisten und seinem unentschlossenen Partner angehalten; ein Polizeiinspektor und seine lateinamerikanische Partnerin und Geliebte ermitteln in einem Fall, in dem ein weißer Polizist einen schwarzen Polizisten erschossen hat.</t>
  </si>
  <si>
    <t>Mord nach Plan</t>
  </si>
  <si>
    <t>Murder by Numbers</t>
  </si>
  <si>
    <t>tt0264935</t>
  </si>
  <si>
    <t>Sandra Bullock, Ben Chaplin, Ryan Gosling, Michael Pitt, Agnes Bruckner</t>
  </si>
  <si>
    <t>Im kalifornischen Küstenstädtchen San Benito soll die erfahrene Indizienexpertin Cassie Mayweather den rätselhaften Tod einer jungen Frau aufklären. Zunächst sieht es so aus, als ob es sich um das Opfer einer sinnlosen Gewalttat handelt. Obwohl es kaum Indizien gibt, entwickelt Cassie intuitiv eine bizarre Theorie. Die junge Frau musste nur deswegen sterben, weil der Mörder es darauf angelegt hat, den perfekten Mord zu begehen. Cassies neuer Kollege Sam Kennedy drängt sie, weiterhin systematisch den Hinweisen vom akribisch untersuchten Tatort nachzugehen. Aber sie vertraut unbeirrt ihrem Gefühl und spürt tatsächlich zwei Verdächtige auf. Doch die haben ein wasserdichtes Alibi …</t>
  </si>
  <si>
    <t>Selbst ist die Braut</t>
  </si>
  <si>
    <t>הכלה הסורית</t>
  </si>
  <si>
    <t>FR, DE, IL</t>
  </si>
  <si>
    <t>tt0423310</t>
  </si>
  <si>
    <t>Hiam Abbass, Makram J. Khoury, Clara Khoury, Evelyn Kaplun, Uri Gavriel</t>
  </si>
  <si>
    <t>Die Drusin Mona lebt in einem kleinen Dorf im israelisch besetzten Teil der Golanhöhen, direkt an der syrischen Grenze. Ihre von den Eltern arrangierte Hochzeit mit dem TV-Star Tallel aus Damaskus steht kurz bevor und die Familie trifft alle nötigen Vorbereitungen. Mona weiß nicht was sie tun soll, denn sie kennt ihren zünftigen Mann nur aus dem Fernsehen und kann ihre Familie nach der Hochzeit nie wieder sehen, da sie anschließend in Syrien leben wird und nie wieder israelisches Territorium betreten darf…</t>
  </si>
  <si>
    <t>Speed</t>
  </si>
  <si>
    <t>tt0111257</t>
  </si>
  <si>
    <t>Keanu Reeves, Dennis Hopper, Sandra Bullock</t>
  </si>
  <si>
    <t>Ein Terrorist will drei Millionen Dollar erpressen, oder die zufälligen Geiseln in einem Fahrstuhl fallen 35 Stockwerke in die Tiefe. Doch Jack schafft das Unmögliche: Die Geiseln werden in letzter Sekunde gerettet und der Terrorist stirbt an seiner eigenen Bombe. – Scheinbar! Doch dieser überlebt und erklärt und Jack zu seinem speziellen Feind, dies erfährt der Cop mittels einer grausigen Botschaft: Vor seinen Augen lässt Bombenexperte Payne einen Linienbus explodieren. Doch das war erst der Auftakt! Payne platziert eine weitere, komplizierte Bombe in einen öffentlichen Bus. Die Bombe aktiviert sich selbsttätig, wenn das Fahrzeug schneller als 50 Meilen pro Stunde fährt und detoniert sofort, wenn diese Geschwindigkeit wieder unterschritten wird. Und Jack hat ihr Leben in der Hand. Als der Busfahrer verletzt wird, übernimmt Fahrgast Annie das Steuer. Doch wohin mit einem Bus, der nicht bremsen darf, in der Stadt der Staus?!</t>
  </si>
  <si>
    <t>Speed 2 – Cruise Control</t>
  </si>
  <si>
    <t>Speed 2: Cruise Control</t>
  </si>
  <si>
    <t>Action, Adventure, Crime</t>
  </si>
  <si>
    <t>tt0120179</t>
  </si>
  <si>
    <t>Sandra Bullock, Jason Patric, Willem Dafoe</t>
  </si>
  <si>
    <t>Annie hat sich von Jack getrennt, weil sie es nicht mehr ertragen hat, ihn ständig in Gefahr zu wissen. Mit ihrem neuen Freund Alex hofft sie, endlich ein ruhigeres Leben führen zu können. Dann aber findet sie heraus, dass er einer Spezialeinheit der Polizei angehört und dort sogar als Draufgänger bekannt ist. Alex will Annie beruhigen und lädt sie zu einer Kreuzfahrt in die Karibik ein. Allerdings hat sich eine Gruppe Terroristen eben jenes Schiff als Ziel eines Anschlags ausgesucht.</t>
  </si>
  <si>
    <t>Spurlos</t>
  </si>
  <si>
    <t>tt36896001</t>
  </si>
  <si>
    <t>Es sollte ein ganz normaler Sommerausflug werden – Diane und Jeff wollen das Katastrophengebiet um Mount St. Helens besuchen. Aber wie das so ist – erst kommt ein kleiner Streit, dann die große Versöhnung und der Schwur ewiger Treue. Diane geht nur noch schnell in den Getränkeshop an der Tankstelle – und kehrt nie wieder zurück. Drei Jahre später ist Diane noch immer spurlos verschwunden. Die Polizei hat längst aufgegeben, auch alle Freunde haben resigniert. Nur Jeff ist besessen: Er muss erfahren, was ihr zugestoßen ist. Noch immer klebt er Fahndungsplakate, noch immer verhallen seine Aufrufe ungehört. Doch dann meldet sich jemand, der von sich behauptet, zu wissen, was los ist. Er gibt Jeff nur eine Chance: Er muss sich blindlings dem möglichen Mörder in die Hände geben und genau durchleben, was Diane widerfahren ist. Jeff ist klar, dass das ein Trip in den Tod werden kann – doch seine Obsession treibt ihn weiter, über jede Grenze …</t>
  </si>
  <si>
    <t>The Lost City - Das Geheimnis Der Verlorenen Stadt</t>
  </si>
  <si>
    <t>The Lost City</t>
  </si>
  <si>
    <t>Action, Abenteuer, Komödie</t>
  </si>
  <si>
    <t>tt13320622</t>
  </si>
  <si>
    <t>Sandra Bullock, Channing Tatum, Daniel Radcliffe, Da'Vine Joy Randolph, Brad Pitt</t>
  </si>
  <si>
    <t>Loretta Sage ist eine brillante Autorin, die zurückgezogen lebt und sich Liebes- und Abenteuerromane über exotische Orte ausdenkt. In den Geschichten geht es um den gutaussehenden Dash, der stets auf den Romancovern abgedruckt ist und vom selbstverliebten Modell Alan verkörpert wird. Auf einer Buch-Tournee mit Alan wird Loretta entführt: Der exzentrische Milliardär Fairfax steckt dahinter und verlangt von der Autorin, ihn zum Schatz der antiken verlorenen Stadt aus einem ihrer Romane zu führen. Alan reist zur Rettung von Loretta in den Dschungel, wo er beweisen will, dass er ein echter Held ist und mehr auf dem Kasten hat als nur zu posen. Ein tropisches Abenteuer nimmt seinen Lauf. Alan und Loretta müssen ein Team werden, um die Gefahren des Urwalds zu überleben und den Schatz zu finden. Doch es würde enorm helfen, wenn Alan dabei nicht dermaßen unbeholfen wäre …</t>
  </si>
  <si>
    <t>Shirley MacLaine</t>
  </si>
  <si>
    <t>tt3292148</t>
  </si>
  <si>
    <t>Brett Guitar Hofer</t>
  </si>
  <si>
    <t>Begonnen hat Shirley MacLaine als Sängerin und Tänzerin auf der Musicalbühne. Für den Film wird sie von Alfred Hitchcock entdeckt, der 1955 seine Komödie "Immer Ärger mit Harry" mit ihr besetzt. Damit beginnt eine steile Karriere.</t>
  </si>
  <si>
    <t>Am Wendepunkt (USA, 1977, Drama</t>
  </si>
  <si>
    <t>The Turning Point</t>
  </si>
  <si>
    <t>Anne Bancroft, Shirley MacLaine, Tom Skerritt, Mikhail Baryshnikov, Leslie Browne</t>
  </si>
  <si>
    <t>Die Begegnung zweier Freundinnen, von denen eine den Tanz aufgegeben und geheiratet, die andere Karriere als Primaballerina gemacht hat. Psychologisch zutreffend, genau im Detail, macht der Film die menschliche Problematik eindringlich bewußt. Hervorragend gespielt, mit faszinierenden Ballettszenen.</t>
  </si>
  <si>
    <t>Closing the Ring</t>
  </si>
  <si>
    <t>United Kingdom, Canada, United States</t>
  </si>
  <si>
    <t>tt0488380</t>
  </si>
  <si>
    <t>Shirley MacLaine, Christopher Plummer, Dylan Roberts</t>
  </si>
  <si>
    <t>Amerika am Anfang der 1940er Jahre. Jack, Chuck, Teddy und Ethel Ann verbindet eine enge Freundschaft. Als der Angriff auf Pearl Harbor passiert, müssen die vier sich trennen. Teddy und Ethel Ann heiraten heimlich und schwören sich ewige Liebe. Hinter dem Rücken von Ethel Ann hat Teddy ein Abkommen mit seinem Kumpel Chuck beschlossen. Sollte Teddy etwas passieren muss Chuck die Rolle von Ethel Anns Ehemann übernehmen.  Belfast 1991: Ein Junge findet unter den Trümmern eines B17-Kampfflugzeuges einen Ehering. Er ist entschlossen den Besitzer des Ringes zu finden und hat dabei auch Erfolg. Doch mit dem auffinden des Ringbesitzern holt diesen schlagartig die Vergangenheit ein.</t>
  </si>
  <si>
    <t>Das Appartement</t>
  </si>
  <si>
    <t>The Apartment</t>
  </si>
  <si>
    <t>tt0053604</t>
  </si>
  <si>
    <t>Jack Lemmon, Shirley MacLaine, Fred MacMurray, Ray Walston, Jack Kruschen</t>
  </si>
  <si>
    <t>Ein Mann versucht die Karriereleiter zu erklimmen, indem er seinen Vorgesetzten seine Wohnung als Liebesnest zur Verfügung stellt. Als er jedoch selbst eine Liebesaffäre beginnt, wird die Situation kompliziert...</t>
  </si>
  <si>
    <t>Das erstaunliche Leben des Walter Mitty</t>
  </si>
  <si>
    <t>The Secret Life of Walter Mitty</t>
  </si>
  <si>
    <t>GB, US, IS, CA, AU</t>
  </si>
  <si>
    <t>Abenteuer, Komödie, Drama, Fantasy</t>
  </si>
  <si>
    <t>tt0359950</t>
  </si>
  <si>
    <t>Ben Stiller, Kristen Wiig, Sean Penn, Shirley MacLaine, Adam Scott</t>
  </si>
  <si>
    <t>Walter Mitty führt ein zurückgezogenes Leben. Seit Jahren arbeitet er schon im Fotoarchiv des renommierten „Life!“-Magazins. Dem grauen Alltag versucht Walter durch Tagträume zu entfliehen, in denen er heldenhafte Abenteuer erlebt und die ganz große Liebe findet. Doch dann begegnet er seiner neuen Kollegin Cheryl und plötzlich ist die große Liebe Realität geworden. Doch Walter traut sich nicht, Cheryl anzusprechen. Als bekanntgegeben wird, dass das Magazin nur noch online erscheinen wird, läuft Walter Gefahr, auch noch seinen Job zu verlieren. Die letzte Print-Ausgabe des Magazins soll das Bild des bekannten „Life!“-Fotografen Sean O’Connell zieren, doch ausgerechnet dieses Foto ist verschwunden. Walter nimmt seinen ganzen Mut zusammen und begibt sich für seinen Job und seine große Liebe auf ein Abenteuer, von dem er sonst immer nur geträumt hat.</t>
  </si>
  <si>
    <t>Das Mädchen aus der Cherry-Bar</t>
  </si>
  <si>
    <t>Gambit</t>
  </si>
  <si>
    <t>tt0060445</t>
  </si>
  <si>
    <t>Shirley MacLaine, Michael Caine, Herbert Lom, Roger C. Carmel, Arnold Moss</t>
  </si>
  <si>
    <t>Das Mädchen aus der Cherry-Bar ist eine junge hübsche Tänzerin namens Nicole, die zufällig der verstorbenen Frau von Ahmad Shahbandar  einem Multimillionär aus Arabien, ähnlich sieht. Dies machen sich der Dieb Harry Dean und sein Komplize Emi zunutze, um dem steinreichen Witwer eine unbezahlbare Büste zu stehlen. Nicole geht auf das Angebot ein, Deans Frau zu spielen und so lenken sie bald die Aufmerksamkeit von Shadanbar auf sich. Dieser schöpft allerdings angesichts Deans auffälligem Verhalten sofort Verdacht, lässt sich jedoch vorerst nichts anmerken und so begleitet ihn das falsche Pärchen alsbald zu einer Besichtigung in sein geschütztes Appartement. Unter einem Vorwand kann sich Dean später von dem Millionär und Nicole lösen, um in den gesicherten Raum mit der Büste einzudringen. Doch das Manöver geht schief …</t>
  </si>
  <si>
    <t>Das Mädchen Irma la Douce</t>
  </si>
  <si>
    <t>Irma la Douce</t>
  </si>
  <si>
    <t>tt0057187</t>
  </si>
  <si>
    <t>Shirley MacLaine, Jack Lemmon, Lou Jacobi, Bruce Yarnell, Herschel Bernardi</t>
  </si>
  <si>
    <t>Nestor Patou, ein naiver junger Gendarm, lässt eine Razzia in der Stammkneipe der Pariser Bordsteinschwalben, einschließlich der stadtbekannten Irma, durchführen. Zufällig befindet sich Patous Vorgesetzter Inspektor Lefevre unter den Freiern, woraufhin Nestor prompt seinen Job verliert. Trotzdem kehrt Patou zurück ins Bistro, hingerissen von der schönen Irma, und nimmt nach einer Auseinandersetzung mit ihrem Zuhälter Hippolyte dessen Rolle ein. Doch dann verliebt er sich mehr und mehr in Irma und schlüpft aus Eifersucht in die Verkleidung verschiedener Kunden, um schließlich der einzige zu bleiben.</t>
  </si>
  <si>
    <t>Hausfreunde sind auch Menschen</t>
  </si>
  <si>
    <t>The Bliss of Mrs. Blossom</t>
  </si>
  <si>
    <t>tt0062739</t>
  </si>
  <si>
    <t>Shirley MacLaine, Richard Attenborough, James Booth, Freddie Jones, William Rushton</t>
  </si>
  <si>
    <t>Harriet Blossom ist gelangweilt. Bei ihrem Mann dreht sich alles nur noch um dessen Arbeit als Büstenhalterfabrikant. Als Harriet eines Tages ihre Nähmaschine zur Reparatur bringt, trifft sie dort auf Ambrose Tuttle. Der Mechaniker bringt wieder Schwung in ihr freudloses Leben. Doch schon kurz nachdem Harriet ihren Geliebten als Untermieter auf dem Dachboden einquartiert hat, fliegt die Affäre auf.</t>
  </si>
  <si>
    <t>Immer Ärger mit Harry</t>
  </si>
  <si>
    <t>The Trouble with Harry</t>
  </si>
  <si>
    <t>tt0048750</t>
  </si>
  <si>
    <t>John Forsythe, Shirley MacLaine, Edmund Gwenn, Mildred Natwick, Mildred Dunnock</t>
  </si>
  <si>
    <t>Ein sonniger Herbsttag in den bunt verfärbten Wäldern von Vermont. Albert Wiles, pensionierter Kapitän auf Hasenjagd, entdeckt auf einer Lichtung die Leiche eines Fremden. Überzeugt, dass eine seiner Kugeln den Mann getroffen hat, macht sich der Captain an die Beseitigung der Leiche. Dabei wird er immer wieder unterbrochen. Miss Gravely, die Jungfer des Dorfes, und Jennifer, formal die Ehefrau des Toten, glauben, am Tod von Harry Worp Schuld zu sein. Doch kaum ist Worp unter der Erde, da muss er auch schon wieder ausgegraben werden ...</t>
  </si>
  <si>
    <t>Immer die verflixten Frauen</t>
  </si>
  <si>
    <t>Ask Any Girl</t>
  </si>
  <si>
    <t>tt0052583</t>
  </si>
  <si>
    <t>David Niven, Shirley MacLaine, Gig Young, Rod Taylor, Jim Backus</t>
  </si>
  <si>
    <t>Die junge Verkäuferin Meg Wheeler verliebt sich in den jüngeren von zwei Brüdern, die das Unternehmen leiten, in welchem sie arbeitet. Der ältere Bruder will ihr dabei helfen, mit dem jüngeren zusammen zu kommen, nicht ahnend, dass er sich mittlerweile in sie verliebt hat.</t>
  </si>
  <si>
    <t>Infam</t>
  </si>
  <si>
    <t>Never Take Sweets from a Stranger</t>
  </si>
  <si>
    <t>tt0054116</t>
  </si>
  <si>
    <t>Patrick Allen, Gwen Watford, Janina Faye, Felix Aylmer, Niall MacGinnis</t>
  </si>
  <si>
    <t>Die beiden Lehrerinnen Karen Wright und Martha Dobie führen ein Mädchen-Internat in einer amerikanischen Kleinstadt. Eine neue Schülerin, die frühreife, verwöhnte Mary, behauptet eines Tages, ihre Lehrerinnen verbände mehr als nur reine Freundschaft. In der bigotten Kleinstadt genügt schon das Gerücht, die beiden Frauen seien ein Paar, um ihre Existenz zu zerstören. Aber auch Martha selbst wird mit ihren Gefühlen nicht fertig, als ihr bewusst wird, dass sie Karen tatsächlich liebt. Es kommt zur Katastrophe...</t>
  </si>
  <si>
    <t>Magnolien aus Stahl</t>
  </si>
  <si>
    <t>Steel Magnolias</t>
  </si>
  <si>
    <t>tt0098384</t>
  </si>
  <si>
    <t>Sally Field, Dolly Parton, Shirley MacLaine, Daryl Hannah, Olympia Dukakis</t>
  </si>
  <si>
    <t>Truvys Schönheitssalon in Chinquapin, Louisiana ist Woche für Woche das Klatschzentrum des Ortes. M'Lynn läßt sich zur bevorstehenden Hochzeit ihrer Tochter Shelby die Haare richten, die schicke Bürgermeisterwitwe Claire kehrt dort ebenso ein wie die schrullige Ouiser. Bei der Nagelbettreinigung tauschen die Frauen ihre Geheimnisse aus. Als die schwerkranke Diabetikerin Shelby trotz der Warnungen ihres Arztes ein Baby will, bekommt sie von den Freundinnen Beistand und Rat. Doch die Geburt ist folgenschwer und Shelby erkrankt tödlich. In den Zeiten der Not halten die Frauen zusammen und helfen der Mutter mit dem schweren Verlust fertig zu werden.</t>
  </si>
  <si>
    <t>Meine Geisha</t>
  </si>
  <si>
    <t>My Geisha</t>
  </si>
  <si>
    <t>tt0056267</t>
  </si>
  <si>
    <t>Shirley MacLaine, Yves Montand, Edward G. Robinson, Robert Cummings, Yoko Tani</t>
  </si>
  <si>
    <t>Paul Robaix ist ein bekannter Regisseur, verheiratet mit der berühmten Leinwanddiva Lucy Dell. Robaix will die klassische Oper "Madame Butterfly" verfilmen - aber er möchte nicht, dass seine Frau die Hauptrolle wie in seinen vorangegangenen Filmen übernimmt. Produzent Sam Lewis und Lucy Dell schmieden einen Plan, wie sie sie trotzdem in dem Film unterbringen können: Lucy verkleidet sich als Geisha - und bekommt prompt die Hauptrolle. Als Robaix den Trick durchschaut, verlangt er die Scheidung...</t>
  </si>
  <si>
    <t>Mrs. Winterbourne</t>
  </si>
  <si>
    <t>tt0117104</t>
  </si>
  <si>
    <t>Shirley MacLaine, Ricki Lake, Brendan Fraser</t>
  </si>
  <si>
    <t>Ohne einen Cent in der Tasche landet die Ausreißerin Connie in New York genau bei dem Falschen: Steve ist ein gewissenloser Ganove, der nichts mehr von der 18jährigen wissen will, als sie schwanger wird. Frustriert kehrt Connie dem Großstadtdschungel den Rücken. Doch der Zug, mit dem sie in eine ungewisse Zukunft aufbricht, verunglückt. Als sie im Krankenhaus wieder aufwacht, wird sie als "Patricia Winterbourne" begrüßt. Keine schlechte Verwechslung - denn die steinreichen Winterbournes leben in einem wahren Palast! Die neue "Schwiegermutter" Grace kümmert sich rührend um Connie, und der charmante Bill himmelt sie an. Alles wunderbar - wäre da nicht wieder dieser Schurke Steve, der Connie mit ihrer Vergangenheit erpreßt...</t>
  </si>
  <si>
    <t>Siebenmal lockt das Weib</t>
  </si>
  <si>
    <t>Woman Times Seven</t>
  </si>
  <si>
    <t>IT, FR, US</t>
  </si>
  <si>
    <t>tt0062502</t>
  </si>
  <si>
    <t>Shirley MacLaine, Peter Sellers, Rossano Brazzi, Lex Barker, Alan Arkin</t>
  </si>
  <si>
    <t>Paris, die Stadt der Liebe - sieben Episoden aus dem Leben von sieben Pariser Frauen: Paulette etwa schmiedet bereits während der Beerdigung ihres Gatten Zukunftspläne mit einem Anderen; Marie Teresa hingegen erwischt ihren Mann in flagranti mit ihrer besten Freundin und will aus Rache mit dem erstbesten Kerl schlafen. In diesen und anderen Geschichten wirft Meisterregisseur Vittorio De Sica einen frivol-humorvollen Blick auf die ewigen Themen Liebe und Sex. Die weibliche Hauptrolle in allen Episoden spielt Shirley MacLaine, die unter anderem Peter Sellers und Michael Caine den Kopf verdreht.</t>
  </si>
  <si>
    <t>Spiel zu zweit</t>
  </si>
  <si>
    <t>tt0073738</t>
  </si>
  <si>
    <t>Horst Frank, Donata Höffer</t>
  </si>
  <si>
    <t>Nach seiner Scheidung, versucht der AnwaIt Jerry Ryan in New York ein neues Leben zu beginnen. Als er die Tänzerin GitteI kennen lernt, scheint er seine neue Liebe gefunden zu haben. Doch durch beider Vergangenheit geprägt und unfähig sich gegeneinander Gefühle zu zeigen, scheint ihre Beziehung keine Chance zu haben...</t>
  </si>
  <si>
    <t>Tess und ihr Bodyguard USA, 1994, Komödie)</t>
  </si>
  <si>
    <t>Verdammt sind sie alle</t>
  </si>
  <si>
    <t>Some Came Running</t>
  </si>
  <si>
    <t>tt0052218</t>
  </si>
  <si>
    <t>Frank Sinatra, Dean Martin, Shirley MacLaine, Martha Hyer, Arthur Kennedy</t>
  </si>
  <si>
    <t>Kriegsveteran und gescheiterter Schriftsteller Dave kehrt in die Heimatstadt Parkman, Indiana zurück. In der zerrütteten Familie des Bruders bleibt er fremd, in die brave Literaturdozentin Gwen verliebt er sich glücklos. Dave gefolgt ist das leichte Mädchen Ginny, die er vertröstet. Freund wird Spieler und Trinker Bama, der nie den Hut abnimmt. Dave heiratet Ginny, das überall aneckende Paar hat keine Chance. Auf der Hundertjahrfeier von Parkman wird Ginny von einem Verfolger erschossen. Auf ihrem Begräbnis nimmt Bama erstmals seinen Hut ab.</t>
  </si>
  <si>
    <t>Sophia Loren</t>
  </si>
  <si>
    <t>tt11506146</t>
  </si>
  <si>
    <t>Marlon Brando, Charles Chaplin, Gary Cooper</t>
  </si>
  <si>
    <t>Eine zu lange Nase, zu breite Hüften, ein zu großer Mund – an Sophia Loren scheint alles maßlos. Die italienische Schauspielerin prägt mit ihren facettenreichen Rollen eine ganze Epoche. Ihr Talent und ihre Hartnäckigkeit bringen sie nach Cinecittà und Hollywood und machen sie zur lebenden Legende. Wer war diese explosive Frau hinter der Maske des Stars?</t>
  </si>
  <si>
    <t>Arabeske</t>
  </si>
  <si>
    <t>Arabesque</t>
  </si>
  <si>
    <t>Thriller, Komödie, Mystery, Action</t>
  </si>
  <si>
    <t>tt0060121</t>
  </si>
  <si>
    <t>Gregory Peck, Sophia Loren, Alan Badel, Kieron Moore, Carl Duering</t>
  </si>
  <si>
    <t>Professor Ragheeb will sich beim Augenarzt nur die Sehstärke kontrollieren lassen. In der Praxis ist allerdings nur seine Vertretung, ein Mr. Sloane, der etwas anderes im Sinne hat: Er pustet Ragheeb nicht nur das Augenlicht für immer aus. Denn in seinem Brillenbügel hat der Prof. einen Zettel mit Hieroglyphen stecken, den Sloane im Auftrag seines Arbeitgebers, dem Reeder Beshraavi beschaffen soll. Kurz darauf besucht Sloane einen anderen Professor: David Pollock  ist Experte für alte Schriftzeichen und soll das Papier entziffern.</t>
  </si>
  <si>
    <t>Der Schlüssel</t>
  </si>
  <si>
    <t>Der dritte Schlüssel</t>
  </si>
  <si>
    <t>tt8938778</t>
  </si>
  <si>
    <t>Karl Valentin</t>
  </si>
  <si>
    <t>Kriegsjahr 1941: Großbritannien fürchtet sich vor einer drohenden deutschen Invasion. Da wird David Ross zum Commander eines Hochseeschleppers ernannt, der die Aufgabe hat, havarierte Kriegsschiffe in den Hafen zu schleppen. Die Schiffe haben allerdings den Nachteil, dass sie schwerfällig und unzureichend bewaffnet sind. Trotzdem fühlt sich Ross bald wohl im Kreis der Schlepperkapitäne. Seine Freude wächst, als er seinen alten Freund Chris Ford beim Seenotrettungsdienst wiedertrifft.  Es dauert nicht lange, und David wird von Chris gebeten, ihn zu besuchen. Kaum in der Wohnung eingetroffen, staunt er nicht schlecht, als ihm sein Freund Stella vorstellt, eine attraktive junge Frau italienischer Abstammung, der das Appartement gehört.</t>
  </si>
  <si>
    <t>Du hast das Leben vor dir</t>
  </si>
  <si>
    <t>La vita davanti a sé</t>
  </si>
  <si>
    <t>IT, US</t>
  </si>
  <si>
    <t>tt10627584</t>
  </si>
  <si>
    <t>Sophia Loren, Ibrahima Gueye, Renato Carpentieri, Diego Iosif Pirvu, Massimiliano Rossi</t>
  </si>
  <si>
    <t>Eine Holocaust-Überlebende und Tagesmutter nimmt nach einem Diebstahl einen desillusionierten Straßenjungen bei sich auf und freundet sich unerwartet mit ihm an.</t>
  </si>
  <si>
    <t>Eine Frau für schwache Stunden</t>
  </si>
  <si>
    <t>La bella mugnaia</t>
  </si>
  <si>
    <t>tt0047871</t>
  </si>
  <si>
    <t>Vittorio De Sica, Sophia Loren, Marcello Mastroianni, Paolo Stoppa, Yvonne Sanson</t>
  </si>
  <si>
    <t>Eine reizvolle Müllersfrau führt einen verliebten Gouverneur an der Nase herum und kann nach einigen Turbulenzen ihre Ehe retten.</t>
  </si>
  <si>
    <t>Es begann in Neapel</t>
  </si>
  <si>
    <t>It Started in Naples</t>
  </si>
  <si>
    <t>tt0053957</t>
  </si>
  <si>
    <t>Clark Gable, Sophia Loren, Vittorio De Sica, Marietto Angeletti, Paolo Carlini</t>
  </si>
  <si>
    <t>Der amerikanische Rechtsanwalt Michael Hamilton fliegt nach Capri, um die Erbschaft seines verstorbenen Bruders zu regeln und dessen unehelichen Sohn Nando in die USA zu holen. Doch Nando, der bei seiner Tante Lucia wohnt, denkt überhaupt nicht daran, sein schönes Italien zu verlassen und über den Großen Teich zu fliegen. Während der komplizierten Erbschaftsangelegenheiten kommen sich Michael und Lucia ungewollt näher...</t>
  </si>
  <si>
    <t>Gestern, heute und morgen</t>
  </si>
  <si>
    <t>Gestern nacht und heute morgen</t>
  </si>
  <si>
    <t>tt0099647</t>
  </si>
  <si>
    <t>In Neapel sieht die beim Schwarzhandel ertappte Adelina nur einen Ausweg vor dem Gefängnis verschont zu bleiben: Schwangerschaften am laufenden Band. Doch nach sieben Kindern scheint ihr Ehemann Carmine endgültig die Lust zu verlieren... In Mailand lässt sich die gelangweilte Unternehmersgattin Anna auf eine Affäre mit dem Schriftsteller Renzo ein. Als der allerdings den Rolls Royce ihres Mannes beschädigt, hört der Spaß für sie auf... In Rom verdreht die Edelprostituierte Mara unbeabsichtigt dem jungen Seminaristen Umberto den Kopf. Der will daraufhin das Priestertum Priestertum sein lassen. Mara hat alle Hände voll zu tun, ihn wieder auf den rechten Weg zu führen.</t>
  </si>
  <si>
    <t>Mädchenhandel</t>
  </si>
  <si>
    <t>Mädchenhandel - Das schmutzige Geschäft mit der Lust</t>
  </si>
  <si>
    <t>Thriller, Crime, Drama</t>
  </si>
  <si>
    <t>tt0234296</t>
  </si>
  <si>
    <t>Barbara Rudnik, Frank Stieren, Walter Sittler</t>
  </si>
  <si>
    <t>Für BKA-Psychologin Berger ist der Anblick des Toten besonders grausam: Mit Fotograf Ben war sie einst liiert</t>
  </si>
  <si>
    <t>Schade, daß du eine Kanaille bist</t>
  </si>
  <si>
    <t>Peccato che sia una canaglia</t>
  </si>
  <si>
    <t>tt0048475</t>
  </si>
  <si>
    <t>Vittorio De Sica, Sophia Loren, Marcello Mastroianni, Giorgio Sanna, Mauro Sacripanti</t>
  </si>
  <si>
    <t>Sommersonntag in Rom. Taxifahrer Paolo poliert sein Auto, als Lina heranschlendert. Der grundehrliche Paolo, der auf ein gutes Geschäft hofft, fährt Lina und ihre zwei Begleiter ans Meer. Als er ihr ins Wasser folgt, schrillt die Alarmglocke. Man versucht seinen Wagen zu stehlen. Paolo macht keine Anzeige, weil er in Lina verliebt ist, spricht stattdessen mit ihrem Vater, Herr vom Scheitel bis zur Sohle, der sich als Taschendieb Signor Stroppiani herausstellt. Im Polizeipräsidium rettet Paolo die Familie und knallt seiner Kanaille endlich eine.</t>
  </si>
  <si>
    <t>SER3Z3~S</t>
  </si>
  <si>
    <t>Und dennoch leben sie</t>
  </si>
  <si>
    <t>La ciociara</t>
  </si>
  <si>
    <t>tt0054749</t>
  </si>
  <si>
    <t>Sophia Loren, Jean-Paul Belmondo, Raf Vallone, Eleonora Brown, Carlo Ninchi</t>
  </si>
  <si>
    <t>Im Jahre 1943 wird Italiens Hauptstadt Rom durch die Alliierten sukzessive zerstört und bombadiert. In diesem Chaos lebt die junge und vermögende Witwe Cesira mit ihrer 13 jährigen Tochter Rosetta und betreibt einen kleinen Kaufladen. Als die Wucht einer Detonation ihr Geschäft, sowie einige Kunden in Mitleidenschaft zieht, spielt sie mit dem Gedanken, Rom und damit die Gefahrenzone zu verlassen. Sie entscheidet sich dafür und beginnt einen langen und kräftezehrenden Marsch zu ihrem Heimatdorf. Unterwegs stellen sie fest, dass der Krieg jedoch auch das Umland erreicht hat und machen Bekanntschaft mit dem jungen Studenten Michele. Als sich zwischen dem Akademiker und Cesira eine ernsthafte Liebesbeziehung anbahnt, fallen deutsche Truppen in das Dorf ein.</t>
  </si>
  <si>
    <t>Spencer Tracy</t>
  </si>
  <si>
    <t>The Spencer Tracy Legacy: A Tribute by Katharine Hepburn</t>
  </si>
  <si>
    <t>tt0091994</t>
  </si>
  <si>
    <t>Joan Bennett, Katharine Hepburn, Angela Lansbury</t>
  </si>
  <si>
    <t>Das letzte Hurra</t>
  </si>
  <si>
    <t>The Last Hurrah</t>
  </si>
  <si>
    <t>tt0051845</t>
  </si>
  <si>
    <t>Spencer Tracy, Jeffrey Hunter, Dianne Foster, Pat O'Brien, Basil Rathbone</t>
  </si>
  <si>
    <t>Die US-Ostküste in den Fünfzigerjahren. Der alternde Politiker Skeffington war bereits vier Mal Bürgermeister seiner Stadt, nun tritt er zum fünften und letzten Mal an. Doch die Zeiten haben sich geändert, die konservative Mehrheit der Stadt, besonders der Verleger Amos Force und der Banker Norman Cass, die mit TV-Werbesports und Zeitungsanzeigen gegen Skeffington agitieren.</t>
  </si>
  <si>
    <t>Das sind Kerle</t>
  </si>
  <si>
    <t>Men of Boys Town</t>
  </si>
  <si>
    <t>tt0033902</t>
  </si>
  <si>
    <t>Spencer Tracy, Mickey Rooney, Bobs Watson, Larry Nunn, Darryl Hickman</t>
  </si>
  <si>
    <t>Pater Flanagan leitet mit großer Hingabe ein Jugenddorf. Als einer seiner Schützlinge in die Mühlen eines inhumanen Strafvollzugs gerät, ist der engagierte Geistliche sofort zur Stelle.</t>
  </si>
  <si>
    <t>Der Mordprozess O'Hara</t>
  </si>
  <si>
    <t>The People Against O'Hara</t>
  </si>
  <si>
    <t>tt0043914</t>
  </si>
  <si>
    <t>Spencer Tracy, Pat O'Brien, Diana Lynn, John Hodiak, Eduardo Ciannelli</t>
  </si>
  <si>
    <t>Alkoholprobleme haben die Karriere des Strafverteidigers James P. Curtayne (Spencer Tracy) beendet. Erst als John O'Hara (James Arness), der Sohn von Freunden, unter Mordverdacht gerät, wirft er sich die Anwaltsrobe noch einmal über. Doch ein folgenschwerer Fehler Curtaynes führt zu O'Haras Verurteilung. Überzeugt von der Unschuld seines Klienten, will er den Mörder auf eigene Faust suchen…</t>
  </si>
  <si>
    <t>Der Vater der Braut</t>
  </si>
  <si>
    <t>Father of the Bride</t>
  </si>
  <si>
    <t>tt0042451</t>
  </si>
  <si>
    <t>Spencer Tracy, Joan Bennett, Elizabeth Taylor, Don Taylor, Billie Burke</t>
  </si>
  <si>
    <t>Der Rechtsanwalt Stanley Banks hat gerade die strapaziöse Hochzeitsfeier seiner Tochter hinter sich und erinnert sich an die vergangenen drei Monate: Er lebt mit seiner Frau Ellie und seinen drei Kindern, einer erwachsenen Tochter und zwei jüngeren Söhnen in einem kleinen Haus, das noch nicht zur Gänze abbezahlt ist, am Rande von Los Angeles. Eines Tages eröffnet seine Tochter ihren Eltern, dass sie beabsichtigt zu heiraten. Ellie ist ganz angetan, Stanley jedoch fällt aus allen Wolken. Er überlegt, wer derjenige sein könnte und geht gedanklich die Reihe der jungen Männer durch, die seine Tochter in der letzten Zeit angeschleppt hat und ist sich sicher, keinen der Kandidaten leiden zu können.</t>
  </si>
  <si>
    <t>Der Werkpilot</t>
  </si>
  <si>
    <t>Test Pilot</t>
  </si>
  <si>
    <t>Drama, Liebesfilm, Abenteuer</t>
  </si>
  <si>
    <t>tt0030848</t>
  </si>
  <si>
    <t>Clark Gable, Myrna Loy, Spencer Tracy, Lionel Barrymore, Gloria Holden</t>
  </si>
  <si>
    <t>Der Testpilot Jim Lane muss auf einer Farm in Kansas notlanden. Dort trifft er auf Ann Barton, die sich in ihn verliebt. Obwohl sie verlobt ist, heiratet sie Jim schon am nächsten Tag. Ann erfährt langsam, wie gefährlich der Beruf ihres Ehemannes ist und mit welcher Leidenschaft Jim seine Arbeit erledigt. Sie fügt sich aber ins Unvermeidliche und schwört Jims bestem Freund und Mechaniker, Gunner Morris, dass sie zu ihrem Mann steht.  Jim und Gunner unternehmen einen Testflug mit einem neuen Bomber, den der Fabrikant Drake in Produktion geben will. Die Bomben werden durch gefüllte Sandsäcke simuliert. Durch einen Defekt gerät die Maschine ins Trudeln...</t>
  </si>
  <si>
    <t>Die ganze Wahrheit</t>
  </si>
  <si>
    <t>Sissi - Die ganze Wahrheit</t>
  </si>
  <si>
    <t>tt2017585</t>
  </si>
  <si>
    <t>Heidi Baratta, Gloria Burda, Gioia Osthoff</t>
  </si>
  <si>
    <t>In einer stürmischen Regennacht verunglückt Robert Forrest, ein charismatischer Politiker, mit dem Auto tödlich. Rechtzeitig zu seiner Beerdigung trifft der Journalist Steven O’Malley ein, der sich Ruhm als Reporter über die ersten Jahres des Zweiten Weltkriegs verdient hat. Und obwohl Hausdiener Freddie Ridges alle Interviewwünsche an die Witwe Christine rigoros ablehnt, schwört er seiner Frau und Kollegin Jane Harding dass er mit ihr sprechen werde ...</t>
  </si>
  <si>
    <t>Ehekrieg</t>
  </si>
  <si>
    <t>Adam's Rib</t>
  </si>
  <si>
    <t>tt0041090</t>
  </si>
  <si>
    <t>Spencer Tracy, Katharine Hepburn, Judy Holliday, Tom Ewell, David Wayne</t>
  </si>
  <si>
    <t>Der stellvertretende Staatsanwalt Adam Bonner liebt seine Frau Amanda über alles.Die Rechtsanwältin in dem Sensationsprozess um einen versuchten Mord jedoch kann er nicht ausstehen-leider handelt es sich bei dieser Person aber um Amanda! Weil ihr Mann ein unverbesserlicher Schürzenjäger ist,hat Doris auf ihn geschossen-diese Tat nimmt Amanda nun zum Anlass,eine Lanze für den Feminismus zu brechen.</t>
  </si>
  <si>
    <t>Ein Geschenk des Himmels</t>
  </si>
  <si>
    <t>tt0481851</t>
  </si>
  <si>
    <t>Walter Sittler, Suzan Anbeh, Moritz Basilico</t>
  </si>
  <si>
    <t>Fortsetzung zu “Vater der Braut”. Die Aufregungen von Tochter Kays Hochzeit hinter sich, wird Vater Stanley Banks schnell wieder aus dem Lehnstuhl gerüttelt, als Kay, die ihr Baby erwartet, aus den Flitterwochen flieht und sich Ehekrisen anbahnen, die im Gespräch von Mann zu Mann gelöst werden. Musste sich Stanley erst damit abfinden, eine Tochter zu verlieren, so gewöhnt er sich jetzt daran, einen Enkel zu haben. Als er den beim Spaziergang im Park verliert, gibt es kurzfristige Aufregung. Aber das Baby wird auf seinen Namen getauft.</t>
  </si>
  <si>
    <t>Eine total, total verrückte Welt</t>
  </si>
  <si>
    <t>It's a Mad, Mad, Mad, Mad World</t>
  </si>
  <si>
    <t>Action, Abenteuer, Komödie, Krimi</t>
  </si>
  <si>
    <t>tt0057193</t>
  </si>
  <si>
    <t>Spencer Tracy, Milton Berle, Sid Caesar, Buddy Hackett, Ethel Merman</t>
  </si>
  <si>
    <t>Als Smiler Grogan aus dem Gefängnis frei kommt, hat er nur ein Ziel: 350.000 $ finden, die er vor 15 Jahren in einem Nationalpark versteckt hat, finden. Doch unterwegs verunglückt er. In seinen letzten Atemzügen teilt er den 8 Zeugen des Unfalls mit, wo sie das Geld finden können - der Beginn einer abenteuerlichen Schatzsuche.</t>
  </si>
  <si>
    <t>Fesseln der Liebe</t>
  </si>
  <si>
    <t>Cass Timberlane</t>
  </si>
  <si>
    <t>tt0039250</t>
  </si>
  <si>
    <t>Spencer Tracy, Lana Turner, Rose Hobart, Margaret Lindsay, John Alexander</t>
  </si>
  <si>
    <t>Ein arrivierter Richter in einer Kleinstadt des amerikanischen Mittelwestens heiratet eine junge Frau aus bescheidensten Verhältnissen. Erst nach problematischen Jahren der Anpassung wird die Ehe glücklich.</t>
  </si>
  <si>
    <t>Malaya</t>
  </si>
  <si>
    <t>Adventure, Drama, War</t>
  </si>
  <si>
    <t>tt0041622</t>
  </si>
  <si>
    <t>Spencer Tracy, James Stewart, Valentina Cortese</t>
  </si>
  <si>
    <t>Der Schmuggler Carnaghan wird unter der Auflage aus dem Gefängnis freigelassen, John Royer zu helfen. Der soll das Kautschuk aus dem von den Japanern besetzten Malaya schmuggeln</t>
  </si>
  <si>
    <t>Manuel</t>
  </si>
  <si>
    <t>A Life of Speed: The Juan Manuel Fangio Story</t>
  </si>
  <si>
    <t>Argentina</t>
  </si>
  <si>
    <t>Documentary, Biography, Sport</t>
  </si>
  <si>
    <t>tt6668212</t>
  </si>
  <si>
    <t>Jackie Stewart, Toto Wolff, Fernando Alonso</t>
  </si>
  <si>
    <t>Nachdem er von der Schule geflogen ist, will der schwerreiche Vater des verzogenen, zehnjährigen Harvey Versäumtes nachholen und ihn in erzieherischer Absicht auf eine Schiffsreise nach Europa mitnehmen. Dummerweise fällt Harvey auf See über Bord, hat aber Glück im Unglück und wird von dem portugiesischen Fischer Manuel gerettet. Da dessen Schiff für die nächsten Monate keinen Hafen ansteuern wird, sieht sich Harvey gezwungen, sich unter Anleitung Manuels nützlich zu machen, was seiner charakterlichen Entwicklung nur zuträglich ist.</t>
  </si>
  <si>
    <t>Nordwest-Passage</t>
  </si>
  <si>
    <t>Northwest Passage</t>
  </si>
  <si>
    <t>Abenteuer, Historie, Kriegsfilm, Drama</t>
  </si>
  <si>
    <t>tt0032851</t>
  </si>
  <si>
    <t>Spencer Tracy, Robert Young, Walter Brennan, Ruth Hussey, Nat Pendleton</t>
  </si>
  <si>
    <t>Im Jahr 1759 schließt sich Langdon Towne als Kartenzeichner einer Ranger-Truppe an, die von Major Rogers zu einer Strafexpedition gegen aufständische Indianer durch die Wildnis geführt wird. Nach einem strapaziösen Marsch können die Ranger das Lager der Indianer zerstören und einige gefangene weiße Frauen befreien, aber der Rückmarsch wird zu einem Martyrium.</t>
  </si>
  <si>
    <t>Pat und Mike</t>
  </si>
  <si>
    <t>Pat and Mike</t>
  </si>
  <si>
    <t>tt0045012</t>
  </si>
  <si>
    <t>Spencer Tracy, Katharine Hepburn, Aldo Ray, William Ching, Sammy White</t>
  </si>
  <si>
    <t>Pat ist eine hervorragende Sportlerin – außer wenn ihr dominanter Verlobter dabei ist. Die Meisterschaft im Damengolf ist schon zum Greifen nah, als sie durch seine Anwesenheit bei den letzten Löchern nervös wird. Er will sie heiraten und einen Schlussstrich ziehen, aber sie kann ihr bisheriges Leben nicht so einfach aufgeben. Deshalb bittet sie den etwas zwielichtigen Sport-Promoter Mike um Hilfe. Gemeinsam nehmen sie es mit Gangstern und einem eifersüchtigen Boxer auf – aber wie sollen sie damit umgehen, dass sie sich zunehmend sympathischer werden?</t>
  </si>
  <si>
    <t>Rat mal, wer zum Essen kommt</t>
  </si>
  <si>
    <t>Guess Who's Coming to Dinner</t>
  </si>
  <si>
    <t>tt0061735</t>
  </si>
  <si>
    <t>Spencer Tracy, Sidney Poitier, Katharine Hepburn, Katharine Houghton, Cecil Kellaway</t>
  </si>
  <si>
    <t>Matt und Christina Drayton, ein älteres und wohlhabendes Ehepaar, leben mit ihrer einzigen Tochter Joey in San Francisco. Ihr Glück scheint vollkommen, als sie von den Heiratsplänen Joeys erfahren. Der Auserwählte ist ein junger Arzt, den sie während eines Aufenthalts auf Hawaii kennengelernt hat. Matt und Christina sind gebildete, verständnisvolle und liberale Menschen. Dennoch wird ihre Freude über die geplante Hochzeit getrübt, als sie erfahren, dass der zukünftige Schwiegersohn ein Schwarzer ist.</t>
  </si>
  <si>
    <t>Schiff ohne Heimat</t>
  </si>
  <si>
    <t>Plymouth Adventure</t>
  </si>
  <si>
    <t>Drama, Abenteuer, Historie</t>
  </si>
  <si>
    <t>tt0045039</t>
  </si>
  <si>
    <t>Spencer Tracy, Gene Tierney, Van Johnson, Leo Genn, Dawn Addams</t>
  </si>
  <si>
    <t>Christopher Jones, der Kapitän der "Mayflower", soll mit seinem Schiff einige hundert Sektenmitglieder aus England in die Neue Welt bringen. Er macht keinen Hehl daraus, dass ihm die frommen Auswanderer unsympathisch sind. Nur Dorothy, die junge Frau ihres Anführers William Bradford, gefällt ihm auf den ersten Blick. Schon bald kommt es zu Spannungen...</t>
  </si>
  <si>
    <t>Zu klug für die Liebe</t>
  </si>
  <si>
    <t>Without Love</t>
  </si>
  <si>
    <t>tt0038256</t>
  </si>
  <si>
    <t>Spencer Tracy, Katharine Hepburn, Lucille Ball, Keenan Wynn, Carl Esmond</t>
  </si>
  <si>
    <t>Washington, D.C. im Zweiten Weltkrieg: Wegen schwieriger Wohnverhältnisse in der Hauptstadt, wo man nicht mal zur Untermiete Zimmer bekommt, teilen sich die Assistentin Jamie Rowan und der Wissenschaftler Pat Jamieson eine Wohnung. Bedingung: Sie heiraten vorher. Zweite Bedingung: Gefühle dürfen während der gemeinsamen Zeit nicht aufkommen. Erst läuft die Vernunftehe wie geplant, doch dann ist das Paar, auch durch das Interesse einer flotten Nachbarin an Pat bedingt, reif für die Liebe.</t>
  </si>
  <si>
    <t>Tommy Lee Jones</t>
  </si>
  <si>
    <t>Premio Donostia a Tommy Lee Jones</t>
  </si>
  <si>
    <t>tt2423310</t>
  </si>
  <si>
    <t>Óscar Jaenada, Tommy Lee Jones, Edurne Ormazabal</t>
  </si>
  <si>
    <t>Das Jerico Projekt</t>
  </si>
  <si>
    <t>Criminal</t>
  </si>
  <si>
    <t>BG, FR, GB, US</t>
  </si>
  <si>
    <t>Action, Krimi, Science Fiction</t>
  </si>
  <si>
    <t>tt3014866</t>
  </si>
  <si>
    <t>Ryan Reynolds, Kevin Costner, Gary Oldman, Tommy Lee Jones, Gal Gadot</t>
  </si>
  <si>
    <t>Jerico Stewart ist ein skrupelloser Killer ohne Impulskontrolle, ohne Empathie und ohne die Fähigkeit, die Folgen seines Handelns abzuschätzen. Bald aber ist er nur noch die Hülle für einen anderen Mann: Stewart wird das Gehirn eines kürzlich ermordeten CIA-Agenten implantiert, das Gehirn von Bill Pope. Während dessen Frau Jill  um den Verlust ihres Mannes trauert, soll der sich im Körper von Stewart an seine jüngste Mission erinnern – daran, wohin er einen Mann unter Geheimdienstschutz gebracht hat. Das ist für Popes Vorgesetzten  von oberster Priorität, immerhin steht die Sicherheit der Metropolen Washington D.C., Berlin und Peking auf dem Spiel …</t>
  </si>
  <si>
    <t>Die Stunde des Jägers</t>
  </si>
  <si>
    <t>Rotlicht - Die Stunde des Jägers</t>
  </si>
  <si>
    <t>tt0350065</t>
  </si>
  <si>
    <t>Helmut Zierl, Alexandra Wilcke, Arndt Schwering-Sohnrey</t>
  </si>
  <si>
    <t>Aaron Hallam war früher Agent einer US-Spezialeinheit im Kosovo. Da ihn Erinnerungen an die Vergangenheit zunehmend plagen, entsagt er dem Dienst, obwohl er für seinen Einsatz sogar ausgezeichnet worden ist. Heute hat er sich zurückgezogen und muss sich selber vor Attentätern schützen. Mit lediglich einem Messer gelingt es ihm, sich an sie von hinten heranzuschleichen und sie zu ermorden. Als das FBI auf mehrere Verluste aufmerksam wird, hilft der ehemalige Ausbilder für Einzelkämpfer, L.T. Bonham dem FBI unter Leitung von Agentin Abby Durrell. Bald ist klar, dass es sich bei den Gesuchten um einen früheren Elite-Soldaten der US-Army handelt. Bonham sollte er bestens bekannt sein, denn Hallam hat ihm in der Vergangenheit mehrere Briefe geschickt, die Bonham bisher missachtet hat. Ein blutige Katz- und Maus-Spiel zwischen ehemaligem Schüler und Lehrer beginnt.</t>
  </si>
  <si>
    <t>The Sunset Limited</t>
  </si>
  <si>
    <t>tt1510938</t>
  </si>
  <si>
    <t>Samuel L. Jackson, Tommy Lee Jones</t>
  </si>
  <si>
    <t>Ein zutiefst religiöser Ex-Gefängnisinsasse (Samuel L. Jackson) stoppt den Selbstmordversuch eines College-Professors (Tommy Lee Jones). Nachdem er diesen davon abgehalten hat, sich vor die U-Bahn zu werfen, ziehen sie sich in ein New Yorker Apprtement zurück, wo ein philosophischer Diskurs entbrennt…</t>
  </si>
  <si>
    <t>Tony Curtis</t>
  </si>
  <si>
    <t>Tony Curtis: Driven to Stardom</t>
  </si>
  <si>
    <t>tt1910651</t>
  </si>
  <si>
    <t>Jules Audry, Jim Backus, Harry Belafonte</t>
  </si>
  <si>
    <t>Tony Curtis war eine der letzten großen Hollywoodikonen. Er war ein leidenschaftlicher Schauspieler und facettenreicher Charakterdarsteller, der fünf Jahrzehnte lang Kinozuschauer begeisterte. Ein bewegendes Interview mit Curtis und Kommentare von Wegbegleitern wie Hugh Hefner oder Debbie Reynolds enthüllen einen Mann, der seine Vergangenheit nie ganz verarbeiten konnte.</t>
  </si>
  <si>
    <t>Boeing  Boeing</t>
  </si>
  <si>
    <t>Boeing, Boeing</t>
  </si>
  <si>
    <t>tt0058981</t>
  </si>
  <si>
    <t>Tony Curtis, Jerry Lewis, Dany Saval</t>
  </si>
  <si>
    <t>Bernard US-Journalist in Paris, hat mit drei Stewardessen ein Verhältnis, ohne dass die Damen voneinander wissen. Als sein Freund Robert aus den USA anreist und die Fluggesellschaften schnellere Jets einsetzen, versinkt Bernards strukturiertes Leben im Chaos</t>
  </si>
  <si>
    <t>Dein Schicksal in meiner Hand</t>
  </si>
  <si>
    <t>Sweet Smell of Success</t>
  </si>
  <si>
    <t>tt0051036</t>
  </si>
  <si>
    <t>Burt Lancaster, Tony Curtis, Susan Harrison, Martin Milner, Jeff Donnell</t>
  </si>
  <si>
    <t>J.J. Hunsecker ist der einflussreichste Kolumnist in New York. Er setzt seine Macht ein, um seine Schwester an der Hochzeit mit einem Jazzmusiker zu hindern. Der Presseagent Sidney Falco startet eine Hetzkampagne gegen den Musiker.</t>
  </si>
  <si>
    <t>Ein charmanter Hochstapler</t>
  </si>
  <si>
    <t>The Great Impostor</t>
  </si>
  <si>
    <t>tt0053879</t>
  </si>
  <si>
    <t>Tony Curtis, Karl Malden, Edmond O'Brien, Arthur O'Connell, Gary Merrill</t>
  </si>
  <si>
    <t>Ferdinand Waldo Demara Jr. fehlt trotz seiner Intelligenz das entscheidende Schulzeugnis. So erschwindelt er sich den Zugang zu diversen Jobs ­ vom Mönch über den stellvertretenden Gefängnisdirektor bis zum Wunderdoktor</t>
  </si>
  <si>
    <t>Gewagtes Alibi</t>
  </si>
  <si>
    <t>Criss Cross</t>
  </si>
  <si>
    <t>tt0041268</t>
  </si>
  <si>
    <t>Burt Lancaster, Yvonne De Carlo, Dan Duryea, Stephen McNally, Esy Morales</t>
  </si>
  <si>
    <t>Geldtransporter-Fahrer Steve Thompson möchte seine Exfrau Anna zurückerobern, die mittlerweile mit dem Gangsterboss Slim Dundee verheiratet ist. Thompson lässt sich auf ein doppeltes Spiel ein. Bei dem Raubüberfall, den er gemeinsam mit Dundee plant, soll er seine Kollegen hintergehen und den Geldtransporter überfallen lassen. Die Männer wollen sich die Beute anschließend teilen. Anna, so hofft Thompson, soll Dundee nach dem Überfall verlassen und mit ihm in Palos Verdes, Kalifornien, untertauchen. Doch der Plan hat seine Tücken, denn das Vertrauen ist eine zarte Pflanze.</t>
  </si>
  <si>
    <t>Goodbye Charlie</t>
  </si>
  <si>
    <t>Comedy, Fantasy, Romance</t>
  </si>
  <si>
    <t>tt0058154</t>
  </si>
  <si>
    <t>Tony Curtis, Debbie Reynolds, Pat Boone</t>
  </si>
  <si>
    <t>Von einem eifersüchtigen Ehemann um die Ecke gebracht, fällt der rüpelige Gangster Charlie Sorel aus einem Bullauge und ins Meer, um anschließend als attraktive blonde Frau wieder geboren zu werden. Sein bester Freund, ein Schriftsteller, ist gerade dabei, seine Hinterlassenschaft in Ordnung zu bringen, als er die Bekanntschaft mit der Blondine alias Charlie macht, und wird unfreiwillig zu dessen Helfer bei seinem Plan, sich reich zu verheiraten.</t>
  </si>
  <si>
    <t>Wer war die Dame</t>
  </si>
  <si>
    <t>Who Was That Lady?</t>
  </si>
  <si>
    <t>tt0054473</t>
  </si>
  <si>
    <t>Tony Curtis, Dean Martin, Janet Leigh, James Whitmore, John McIntire</t>
  </si>
  <si>
    <t>Um den Kuß mit einer hübschen Studentin zu erklären, gibt sich ein verheirateter Professor als FBI-Agent aus. Der Trick funktioniert so gut, daß der untreue Ehemann seine neue "Rolle" nicht mehr los wird und schließlich gar von russischen Spionen gekidnappt wird. Die turbulente Verfilmung eines Theaterstücks, die aus einer einfachen Grundidee umwerfend komische Situationen entwickelt.</t>
  </si>
  <si>
    <t>Abenteuer auf Schloss Candleshoe</t>
  </si>
  <si>
    <t>Candleshoe</t>
  </si>
  <si>
    <t>US, GB</t>
  </si>
  <si>
    <t>tt0075807</t>
  </si>
  <si>
    <t>Jodie Foster, David Niven, Helen Hayes</t>
  </si>
  <si>
    <t>Die Waise Casey Brown wächst in Los Angeles auf. Der Engländer Harry Bundage bringt sie nach Großbritannien, damit Casey die verschollene Enkeltochter der Adelsfrau St. Edmund spielt. Die Lady St. Edmund ist Besitzerin des Schlosses Candleshoe, wo ein Schatz vergraben sein soll. Der Butler Mr. Priory spielt manchmal den Gärtner und den Fahrer, um vor Lady St. Edmund zu verschleiern, dass sie sich in einer schlechten wirtschaftlichen Lage befindet. Die Lage verschlechtert sich nach einer Zahlungsforderung der Steuerbehörden. Auf dem Schloss leben bereits vier Waisenkinder, die gemeinsam mit Casey nach dem Schatz suchen. Casey will ihn nicht mehr an Bundage übergeben. Am Ende gibt Mr. Priory sein Täuschungsmanöver zu. Lady St. Edmund gibt zu, dass sie das Spiel längst durchschaute.</t>
  </si>
  <si>
    <t>Alle lieben Pollyanna</t>
  </si>
  <si>
    <t>Pollyanna</t>
  </si>
  <si>
    <t>Comedy, Drama, Family</t>
  </si>
  <si>
    <t>tt0054195</t>
  </si>
  <si>
    <t>Jane Wyman, Hayley Mills, Richard Egan</t>
  </si>
  <si>
    <t>Die kleine Pollyanna wächst in einer Missionarsfamilie auf. Da sie bereits sehr früh zur Vollwaise wird, zieht sie zu ihrer wohlhabenden Tante Polly. Unermüdlich versucht Pollyanna, ihre Mitmenschen mit ihrer Fröhlichkeit anzustecken. Die Bewohner der Kleinstadt sind von dem kleinen Mädchen und seiner positiven Einstellung begeistert, nur ihre eigene Tante bleibt eisern. Eines Tages reißt Pollyanna aus und verletzt sich schwer. Als sie erfährt, dass sie möglicherweise querschnittsgelähmt bleiben wird, blickt sie erstmals pessimistisch in die Zukunft. Doch zum Glück sind die - mittlerweile sehr optimistischen - Stadtbewohner für Pollyanna da und muntern sie auf ...Eine herzerwärmende Geschichte.</t>
  </si>
  <si>
    <t>Charley und der Engel</t>
  </si>
  <si>
    <t>Charley and the Angel</t>
  </si>
  <si>
    <t>Comedy, Family, Fantasy</t>
  </si>
  <si>
    <t>tt0069866</t>
  </si>
  <si>
    <t>Fred MacMurray, Cloris Leachman, Harry Morgan</t>
  </si>
  <si>
    <t>Der schwer arbeitende Familienvater Charley erfährt von einem Engel, dass seine Tage gezählt sind und er bald sterben wird. Daher versucht er, sein Leben zu ändern und ein besserer Ehemann und Vater zu sein.</t>
  </si>
  <si>
    <t>Das geheimnisvolle Treffen in Boyne Castle</t>
  </si>
  <si>
    <t>Guns in the Heather</t>
  </si>
  <si>
    <t>Adventure, Family</t>
  </si>
  <si>
    <t>tt0063039</t>
  </si>
  <si>
    <t>Glenn Corbett, Alfred Burke, Kurt Russell</t>
  </si>
  <si>
    <t>Rich (Kurt Russell) und sein Freund Sean werden in Irland von russischen Agenten gekidnappt. Bald stellt sich heraus, daß Richs Bruder Tom ein Geheimagent ist… Kurt Russell wurde mit zwölf Jahren zum Serienstar und fand über diverse Disney-Produktionen den Weg zum Film.</t>
  </si>
  <si>
    <t>Davy Crockett und die Flusspiraten</t>
  </si>
  <si>
    <t>Davy Crockett and the River Pirates</t>
  </si>
  <si>
    <t>tt0049125</t>
  </si>
  <si>
    <t>Fess Parker, Buddy Ebsen, Jeff York</t>
  </si>
  <si>
    <t>Trapper und Pfadfinder Davy Crockett bringt 1810 am Ohio River mit Freund Georgie ihre Pelzbeute nach New Orleans. Sie geraten mit Mike Fink aneinander, der das Floßgeschäft kontrolliert, aber sie gewinnen die Wettfahrt, bei der Fink ständig schummelt, durch die Abkürzung, die ihnen ein mit seinen Tieren an Bord genommener Viehtreiber zeigt. Auf dem Rückweg geraten sie auf die Spur einer Bande, die als Indianer getarnt Überfälle begehen, und legen ihr mit Hilfe des alten Rivalen Fink das üble Handwerk.</t>
  </si>
  <si>
    <t>The Happiest Millionaire</t>
  </si>
  <si>
    <t>Comedy, Family, Musical</t>
  </si>
  <si>
    <t>tt0061749</t>
  </si>
  <si>
    <t>Fred MacMurray, Tommy Steele, Greer Garson</t>
  </si>
  <si>
    <t>Der kleine Rebell</t>
  </si>
  <si>
    <t>The Littlest Outlaw</t>
  </si>
  <si>
    <t>Drama, Family</t>
  </si>
  <si>
    <t>tt0048304</t>
  </si>
  <si>
    <t>Pedro Armendáriz, Joseph Calleia, Rodolfo Acosta</t>
  </si>
  <si>
    <t>Pablito lebt mit seinem brutalen Stiefvater auf einer Pferdefarm, auf der der unbeherrschte Mann für General Torres als Pferdetrainer arbeitet. Ein ihm zur Ausbildung gegebenes preiswürdiges Pferd quält er mit den Sprungübungen solange mittels Schmerzen, bis das Tier zu Pablitos Befürchtungen Angst vor dem Springen bekommt. Als die Tochter des Generals unwissentlich mit dem Tier einen Ausritt unternimmt, scheut es folglich und das Mädchen verletzt sich beim Sturz erheblich. Da man das Pferd anschließend erschießen will, flieht Pablito notgedrungen mit dem Tier in die Weiten Mexikos, wo sie eine Reihe von Abenteuern erwartet, sowohl Pablito als auch das Pferd...</t>
  </si>
  <si>
    <t>Der letzte Pass</t>
  </si>
  <si>
    <t>One More Mountain</t>
  </si>
  <si>
    <t>Abenteuer, Drama, TV-Film</t>
  </si>
  <si>
    <t>tt0110734</t>
  </si>
  <si>
    <t>Meredith Baxter, Chris Cooper, Larry Drake, Robert Duncan McNeill, Laurie O'Brien</t>
  </si>
  <si>
    <t>Illinois, 1846. Der wohlhabende James Reed überredet seine Frau Margaret (Meredith Baxter), mitsamt Oma und vier Kindern, ins neue gelobte Land aufzubrechen * Kalifornien. Zusammen mit ihrem Treck ziehen die Pioniere über die Sierra Mountains. James muss den Zug verlassen, als er einen Mann im Streit erschießt. Dann überrascht ein entsetzlicher Winter die Familien...</t>
  </si>
  <si>
    <t>Der Millionenschatz</t>
  </si>
  <si>
    <t>The Moon-Spinners</t>
  </si>
  <si>
    <t>Adventure, Family, Mystery</t>
  </si>
  <si>
    <t>tt0058371</t>
  </si>
  <si>
    <t>Hayley Mills, Eli Wallach, Pola Negri</t>
  </si>
  <si>
    <t>Als Nikky Ferris mit ihrer Tante Urlaub auf der Insel Kreta macht, lernt sie den gutaussehenden Bänker Mark Camford kennen. Der ist den Tätern eines Juwelenraubs in London auf der Spur und Nikky hilft ihm, sich zu verstecken. Doch ehe sie sich versieht, ist sie ebenfalls in den Fall verstrickt und gerät selbst in Gefahr. Denn scheinbar sind nicht nur Stratos, der unfreundliche Hotelbesitzer und die reiche Madame Habib in die Affäre verwickelt.</t>
  </si>
  <si>
    <t>Der Retorten-Goliath</t>
  </si>
  <si>
    <t>The Strongest Man in the World</t>
  </si>
  <si>
    <t>Comedy, Family, Sci-Fi</t>
  </si>
  <si>
    <t>tt0073760</t>
  </si>
  <si>
    <t>Kurt Russell, Joe Flynn, Eve Arden</t>
  </si>
  <si>
    <t>Dexter Riley und seine Mitstudenten am Medfield College arbeiten gerade an einem neuen Vitaminpräparat, als bei einem Laborunfall eine superpotente Mischung entsteht, die in Dexters Frühstücksflocken landet. Nach dem Frühstück am nächsten Morgen besitzt Dexter übermenschliche Kräfte, mit der er Laternen umbiegen und Türklinken verpulvern kann. Dieser starke Effekt weckt das Interesse des College-Direktors und zweier konkurrierender Frühstücksflockenhersteller, was eine irrkomische Kettenreaktion zur Folge hat. Um zu bestimmen, wer die gewinnträchtige Formel für das Wundermittel bekommt, wird das erbärmlich kleine Medfield-Team durch ihren weit überlegenen Gegner zu einem Wettkampf im Gewichtheben herausgefordert. Diese Mischung aus Albernheit, Komödie und Abenteuer wird wirklich jeden zum Lachen bringen!</t>
  </si>
  <si>
    <t>Die unglaubliche Reise.</t>
  </si>
  <si>
    <t>Die unglaubliche Reise der Familie Zid</t>
  </si>
  <si>
    <t>tt11773786</t>
  </si>
  <si>
    <t>Schlechte Geschäfte trieben den Wiener Fuhrunternehmer Ludwig Zid 1928 dazu, die Familie in seinen Ford zu packen und ein Abenteuer zu wagen: Bis nach Süd- und Nordamerika schaffte er es. Eine unglaublich abenteuerliche, packende Reise - oft zwischen Leben und Tod.</t>
  </si>
  <si>
    <t>Ein Champion zum Verlieben</t>
  </si>
  <si>
    <t>So Dear to My Heart</t>
  </si>
  <si>
    <t>Animation, Drama, Family</t>
  </si>
  <si>
    <t>tt0041890</t>
  </si>
  <si>
    <t>Burl Ives, Beulah Bondi, Bobby Driscoll</t>
  </si>
  <si>
    <t>Der junge Jeremiah (Bobby Driscoll) lebt bei seiner Großmutter auf einer Farm. Als das Familienschaf Zwillinge zur Welt bringt, eines weiß und eines schwarz, will die Großmutter das schwarze Schaf verstoßen, woraufhin es Jeremiah adoptiert und Danny nennt, nach einem berühmten Rennpferd. Als Danny heranwächst erweist sich das Schaf jedoch als ziemlich ungeschickt und richtet eine Menge Schaden an, doch Jerry trainiert es und kommt auf die Idee, es bei der Landwirtschaftsmesse zu präsentieren. Tatsächlich kann er die Kosten zusammen bekommen, doch dann geht Danny während eines Unwetters verloren...</t>
  </si>
  <si>
    <t>Ein ganz verrückter Freitag</t>
  </si>
  <si>
    <t>tt0076054</t>
  </si>
  <si>
    <t>Barbara Harris, Jodie Foster, John Astin</t>
  </si>
  <si>
    <t>Es geht um eine Mutter und ihre pubertierende Tochter. Beide können die Probleme der anderen nicht verstehen und möchten gerne tauschen, weil sie das Leben der anderen für viel einfacher und unbeschwerter halten. Durch einen Zufall sagen beide gleichzeitig den Satz Ich wünschte, ich könnte mit ihr tauschen – wenigstens für einen Tag! Plötzlich findet sich die Mutter im Körper ihrer Tochter in der Schule wieder, und die Tochter steht im Körper ihrer Mutter plötzlich zu Hause.  Leider fand der Rollentausch genau an dem Freitag statt, an dem die Tochter, Anabell, für die Firmenkollegen ihres Vaters eine Wasserskivorstellung geben sollte. Ihre Mutter, die das Wasserski fahren gar nicht beherrscht, macht auf den Brettern die Hölle auf Erden durch.</t>
  </si>
  <si>
    <t>Eine Uni voller Affen</t>
  </si>
  <si>
    <t>The Monkey's Uncle</t>
  </si>
  <si>
    <t>tt0059462</t>
  </si>
  <si>
    <t>Tommy Kirk, Annette Funicello, Leon Ames</t>
  </si>
  <si>
    <t>Um zwei schlechte, allenfalls beim Footballsport unersetzliche Studenten auf das Englisch-Examen vorzubereiten, bedient sich ihr Lehrer einer Methode, mit der er bei seinem Schimpansen verblüffende Erfolge feierte.</t>
  </si>
  <si>
    <t>Entführt - Die Abenteuer des David Balfour</t>
  </si>
  <si>
    <t>Kidnapped</t>
  </si>
  <si>
    <t>Action, Adventure, Drama</t>
  </si>
  <si>
    <t>tt0053994</t>
  </si>
  <si>
    <t>Peter Finch, James MacArthur, Bernard Lee</t>
  </si>
  <si>
    <t>Nach dem Tod seines Vaters sucht der junge David Balfour (James MacArthur) seinen Onkel Ebenezer (John Laurie), einen alten und kauzigen Mann auf, um bei ihm zu leben. Weil die Brüder so unterschiedlich erscheinen, forscht David nach seiner Herkunft und erfährt, daß das Anwesen eigentlich seinem Vater gehörte, doch noch bevor David sein Recht einfordern kann, läßt ihn Ebenezer shanghaien und verschleppen. Zwischen all den sinistren Typen an Bord, bringt es David unter vielen Gefahren zum Kabinensteward, als man nach einer Kollision den Schotten Alan Breck Stewart (Peter Finch) aus der See fischt, der nach Schottland zurück will. Doch auf der Reise soll Stewart ermordet werden, was David verhindern kann und durch Glück und Geschick überleben sie den Kampf an Bord. Doch an Land geraten sie schon bald mit der Miliz aneinander und müssen sich vieler Gefahren erwehren, ehe sie ans Ziel kommen...</t>
  </si>
  <si>
    <t>Erbschaft in Weiß</t>
  </si>
  <si>
    <t>Snowball Express</t>
  </si>
  <si>
    <t>Comedy, Family</t>
  </si>
  <si>
    <t>tt0069291</t>
  </si>
  <si>
    <t>Dean Jones, Nancy Olson, Harry Morgan</t>
  </si>
  <si>
    <t>Der New Yorker Bürohengst Johnny Baxter ist schwer begeistert: Ein ferner Verwandter hinterläßt ihm ein Hotel in den Rocky Mountains, so daß Johnny seinen Traum vom ruhigen Landleben endlich verwirklicht sieht. Doch die Fahrt ins vermeintliche Glück endet mit einer Enttäuschung. Die Herberge ist eine Ruine… Turbulente Komödie aus der Disney-Produktion, vor allem für die jüngeren Familienmitglieder geeignet.</t>
  </si>
  <si>
    <t>Es kracht, es zischt, zu seh’n ist nischt</t>
  </si>
  <si>
    <t>Now You See Him, Now You Don't</t>
  </si>
  <si>
    <t>tt0069031</t>
  </si>
  <si>
    <t>Kurt Russell, Cesar Romero, Joe Flynn</t>
  </si>
  <si>
    <t>Chemiestudent Dexter Reilly entwickelt ein Spray, das unsichtbar macht. Da sein College sich in finanziellen Schwierigkeiten befindet, meldet Reilly seine Erfindung bei einem Wettbewerb an, bei dem 50.000 US-Dollar zu gewinnen sind. Zwei Gangster stehlen das Spray und nutzen die Erfindung für einen groß angelegten Diebstahl des Geldes.</t>
  </si>
  <si>
    <t>Flucht in die Wildnis</t>
  </si>
  <si>
    <t>Napoleon and Samantha</t>
  </si>
  <si>
    <t>tt0068990</t>
  </si>
  <si>
    <t>Michael Douglas, Jodie Foster, Johnny Whitaker</t>
  </si>
  <si>
    <t>Mit seinem zahmen Löwen Major McTavish lebt der elf-jährige Napoleon  bei seinem Opa. Als der alte Mann stirbt, fürchtet Napoleon, zu einem fernen Onkel abgeschoben und von Major getrennt zu werden. Zusammen mit seiner Freundin Samantha und dem Löwen flieht der Junge in die Berge, wo er den Einsiedler Danny  zu finden hofft.Michael Douglas wurde im selben Jahr mit der TV-Serie "Die Straßen von San Francisco" zum Star.</t>
  </si>
  <si>
    <t>Greyfriars Bobby − Die wahre Geschichte eines Hundes</t>
  </si>
  <si>
    <t>Greyfriars Bobby</t>
  </si>
  <si>
    <t>tt0054944</t>
  </si>
  <si>
    <t>Donald Crisp, Laurence Naismith, Alex Mackenzie</t>
  </si>
  <si>
    <t>Diese wahre Geschichte über die unzertrennliche Freundschaft eines Hundes zu seinem Herrn spielt in der atemberaubenden Landschaft Schottlands. Der freundliche Schäfer Old Jock ist gestorben. Zurück bleibt sein langjähriger Freund und Begleiter, der Skyterrier Bobby. Der Hund will seinen Herrn aber auch nach dessen Tod nicht im Stick lassen und wacht tagein, tagaus an dessen Grab. Bald schließen der Friedhofswärter und die Kinder aus der Nachbarschaft ihn ins Herz. Aber die Behörden wollen das herrenlose Tier einschläfern lassen...</t>
  </si>
  <si>
    <t>Meine Bären und ich</t>
  </si>
  <si>
    <t>The Bears and I</t>
  </si>
  <si>
    <t>CA</t>
  </si>
  <si>
    <t>tt0071199</t>
  </si>
  <si>
    <t>Patrick Wayne, Chief Dan George, Andrew Duggan</t>
  </si>
  <si>
    <t>Als der Abenteurer Bob Leslie plötzlich die Verantwortung für drei verspielte Bärenbabys übernimmt, trifft er auf unerwartete Missgunst eines einheimischen Stammes, der Bären als heilig erachtet.</t>
  </si>
  <si>
    <t>Mighty Ducks 3 - Jetzt mischen sie die Highschool auf</t>
  </si>
  <si>
    <t>D3: The Mighty Ducks</t>
  </si>
  <si>
    <t>Action, Comedy, Drama</t>
  </si>
  <si>
    <t>tt0116000</t>
  </si>
  <si>
    <t>Emilio Estevez, Jeffrey Nordling, David Selby</t>
  </si>
  <si>
    <t>Das heißeste Eishockey-Team der Welt ist wieder auf dem Eis! Gerade als sich die Mitglieder des Mighty-Ducks Teams auf den ersten Tag an ihrer neuen Schule vorbereiten, bekommen sie ein alarmierendes Schreiben von ihrem alten Coach Gordon Bombay. Ihr Trainer an der neuen Schule versteht im Gegensatz zu Coach Bombay überhaupt keinen Spaß und auch die hochnäsigen Mitglieder des Eishockey-Teams der Schule nehmen sie alles andere als freundlich auf. Als dann auch noch die Gewinnsträhne der Mightys abreißt und sie kurz vor dem Rausschmiss aus der Schule stehen, wird es ernst… Werden sie ihre alte Form wiederfinden?</t>
  </si>
  <si>
    <t>Mighty Ducks II – Das Superteam kehrt zurück</t>
  </si>
  <si>
    <t>Emilio Estevez, Kathryn Erbe, Michael Tucker</t>
  </si>
  <si>
    <t>Mondgeflüster</t>
  </si>
  <si>
    <t>Moon Pilot</t>
  </si>
  <si>
    <t>tt0056249</t>
  </si>
  <si>
    <t>Tom Tryon, Brian Keith, Edmond O'Brien</t>
  </si>
  <si>
    <t>Air-Force-Pilot Richmond Talbot gerät unfreiwillig in die Situation, an der ersten Mondumkreisung teilzunehmen - ein Schimpanse hat ihn mit der Gabel in den Hintern gestochen und zum Aufspringen gezwungen, als Freiwillige ausgewählt werden sollten. Talbot begegnet auf seinem Flug schließlich der mysteriösen Lyrae, die behauptet, von einem anderen Planeten zu stammen und ihn vor einem Alien-Angriff warnen zu wollen.</t>
  </si>
  <si>
    <t>Schneewittchen und die sieben Zwerge Disney, 1937)</t>
  </si>
  <si>
    <t>Animation, Adventure, Family</t>
  </si>
  <si>
    <t>Adriana Caselotti, Harry Stockwell, Lucille La Verne</t>
  </si>
  <si>
    <t>Super Cat - Die reichste Katze der Welt</t>
  </si>
  <si>
    <t>Superdad – Papa ist der Größte</t>
  </si>
  <si>
    <t>Superdad</t>
  </si>
  <si>
    <t>tt0070716</t>
  </si>
  <si>
    <t>Bob Crane, Kurt Russell, Barbara Rush</t>
  </si>
  <si>
    <t>Um sich ein genaueres Bild vom Lebenswandel seiner Tochter Wendy zu machen, nimmt Charlie an den Aktivitäten ihrer Clique teil. Dabei gerät er mit Wendys Freund Bart aneinander, der so gar nicht zu Papas Vorstellungen von einem adretten jungen Schwiegersohn paßt…</t>
  </si>
  <si>
    <t>Tom und Huck</t>
  </si>
  <si>
    <t>Tom and Huck</t>
  </si>
  <si>
    <t>tt0112302</t>
  </si>
  <si>
    <t>Jonathan Taylor Thomas, Brad Renfro, Charles Rocket</t>
  </si>
  <si>
    <t>Tom Sawyer hat sich gerade mit dem Waisen Huck Finn angefreundet, als die beiden Zeugen eines Mordes auf dem Stadtfriedhof werden. Als das Verbrechen an die Öffentlichkeit gerät, wird Toms Freund Muff Potter des Mordes angeklagt. Tom und Huck wissen nur allzu gut, dass Muff unschuldig ist, schließlich haben sie den wahren Mörder beobachtet. Doch Huck hat Tom aus Angst vor dem wahren Täter schwören lassen, den Namen nicht zu verraten.</t>
  </si>
  <si>
    <t>Walt Disneys Cinderella</t>
  </si>
  <si>
    <t>Animation, Family, Fantasy</t>
  </si>
  <si>
    <t>Ilene Woods, James MacDonald, Eleanor Audley</t>
  </si>
  <si>
    <t>Wer hat unseren Dinosaurier geklaut</t>
  </si>
  <si>
    <t>One of Our Dinosaurs Is Missing</t>
  </si>
  <si>
    <t>tt0075016</t>
  </si>
  <si>
    <t>Peter Ustinov, Helen Hayes, Derek Nimmo</t>
  </si>
  <si>
    <t>Lord Edward Southmere flieht aus China mit einem Mikrofilm, der die Formel der mysteriösen „Lotus X“ enthält. Er wird von chinesischen Agenten unter Führung von Hnup Wan gefangen genommen, kann aber entkommen und versteckt den Mikrofilm in den Knochen eines Dinosauriers im Nationalmuseum. Doch die Verfolger lassen sich nicht abschütteln, und bevor er abermals verhaftet wird, bittet er sein früheres Kindermädchen Hettie, die Formel in Sicherheit zu bringen, bevor sie in falsche Hände gerät. Die Chinesen entwenden das Fossil, doch Hettie bemächtigt sich mit ihren Kolleginen ihrerseits des Urviechs. Und so werden auch ihre Anempfohlenen Lord Castleberry und sein Bruder Truscott in die Sache verwickelt …</t>
  </si>
  <si>
    <t>Wie klaut man ein Gemälde</t>
  </si>
  <si>
    <t>Never a Dull Moment</t>
  </si>
  <si>
    <t>Comedy, Crime, Family</t>
  </si>
  <si>
    <t>tt0063341</t>
  </si>
  <si>
    <t>Dick Van Dyke, Edward G. Robinson, Dorothy Provine</t>
  </si>
  <si>
    <t>Der Nebenrollendarsteller Jack Albany (Dick Van Dyke) stolpert in die Hauptrolle seines Lebens, als er mit einem Killer verwechselt wird. Ganz gegen seinen Willen muß er dem kunstnärrischen Gangsterboß Leo Joseph Smooth (Edward G. Robinson) behilflich sein, ein Gemälde aus einem renommierten Museum zu rauben…</t>
  </si>
  <si>
    <t>Zotti das Urviech</t>
  </si>
  <si>
    <t>The Shaggy D.A.</t>
  </si>
  <si>
    <t>tt0075200</t>
  </si>
  <si>
    <t>Dean Jones, Suzanne Pleshette, Tim Conway</t>
  </si>
  <si>
    <t>Kurz bevor er zur Wahl um den Posten des Staatsanwalts antritt, geschehen dem erfolgreichen Anwalt Wilby Daniels merkwürdige Dinge: Er verwandelt sich in einen Englischen Schäferhund. Während er dem Hundefänger entwischen muß, gilt es auch die Verwandlung geheim zu halten und die Ursache herauszufinden.</t>
  </si>
  <si>
    <t>Zum Teufel mit Max</t>
  </si>
  <si>
    <t>The Devil and Max Devlin</t>
  </si>
  <si>
    <t>tt0082263</t>
  </si>
  <si>
    <t>Elliott Gould, Bill Cosby, Susan Anspach</t>
  </si>
  <si>
    <t>Max wird von einem Bus überrollt und landet direkt in der Hölle. Hilfsteufel Barney macht ihm ein Angebot, das er nicht abschlagen kann: Wenn Max drei Menschen findet, die Barney ihre Seele verkaufen, darf er auf die Erde zurück. Mit besonderen Kräften ausgestattet, fällt Max die Aufgabe zunächst leicht. Dann gerät er an den siebenjährigen Toby, in dessen Mutter er sich verliebt.</t>
  </si>
  <si>
    <t>Victoria Sturm, Ingeborg Krabbe, Klaus Gehrke</t>
  </si>
  <si>
    <t>DDR</t>
  </si>
  <si>
    <t>Hans-Joachim Hanisch, Gertraud Klawitter, Ingeborg Krabbe, Ursula Staack</t>
  </si>
  <si>
    <t>Marianne Kiefer, Herbert Köfer, Renate Bahn</t>
  </si>
  <si>
    <t>Irma Münch, Herbert Köfer, Madeleine Lierck</t>
  </si>
  <si>
    <t>Gerd E. Schäfer, Ingeborg Krabbe, Ingrid Schwienke</t>
  </si>
  <si>
    <t>Herbert Köfer, Helga Piur, Günter Schubert</t>
  </si>
  <si>
    <t>Herbert Köfer, Helga Göring, Solveig Müller</t>
  </si>
  <si>
    <t>Helga Göring, Marianne Kiefer, Ingeborg Krabbe</t>
  </si>
  <si>
    <t>Heinz Behrens, Margot Ebert, Rolf Herricht</t>
  </si>
  <si>
    <t>Erwin Berner, Petra Dobbertin, Hanna Donner</t>
  </si>
  <si>
    <t>Ingeborg Krabbe, Helmut Schreiber, Dietmar Richter-Reinick</t>
  </si>
  <si>
    <t>Alfred Müller, Willi Scholz, Joachim Kaps</t>
  </si>
  <si>
    <t>DD</t>
  </si>
  <si>
    <t>Herbert Köfer, Irma Münch, Heidi Weigelt</t>
  </si>
  <si>
    <t>Nina Hagen, Eva-Maria Hagen, Marianne Kiefer</t>
  </si>
  <si>
    <t>Marianne Kiefer, Ingeborg Krabbe, Sylva Schüler</t>
  </si>
  <si>
    <t>Dieter Mann, Margot Busse, Heinz Behrens</t>
  </si>
  <si>
    <t>Ja, so ein Mann bin ich!</t>
  </si>
  <si>
    <t>Lustspiel</t>
  </si>
  <si>
    <t>Dieter Mann, Margot Busse, Heinz Behrens, Karin Ugowski, Gerd Michael Henneberg</t>
  </si>
  <si>
    <t>Alles beginnt mit einer Schnapsidee. Peter Schönfeld (Dieter Mann), ein braver Ehemann, dessen Übermaß an Tugendhaftigkeit schon verdächtig erscheint, soll einem Treuetest unterzogen werden. Rosemarie, die beste Freundin von Peters Frau Regina, will den Strohwitwer mit allen möglichen Tricks und erotischen Finessen vom Pfad der Tugend abbringen. Das führt zu allerhand Verwirrungen und Verwechslungen, zu denen gewollt und ungewollt auch Onkel Ewald, dessen Motto »Wer Sorgen hat, braucht ’nen Likör« lautet, nebst Tochter Gisela, dem »Model«, sowie Peters Nachbar, der Hobby-Aktfotograf Konrad Förster, beitragen. So darf man gespannt sein, ob der »Held« des Stücks Peter Schönfeld am Ende noch behaupten kann: »Ja, so ein Mann bin ich!«.</t>
  </si>
  <si>
    <t>Keine Ferien für Max</t>
  </si>
  <si>
    <t>Schwank</t>
  </si>
  <si>
    <t>Chris Roberts, Georg Thomalla, Peter Weck</t>
  </si>
  <si>
    <t>Maxe Baumann</t>
  </si>
  <si>
    <t>DDR TV Archiv</t>
  </si>
  <si>
    <t>Marianne Kiefer, Ingeborg Krabbe, Herbert Köfer, Gerd E. Schäfer</t>
  </si>
  <si>
    <t>Meine Tochter - Deine Tochter</t>
  </si>
  <si>
    <t>Alfred Struwe, Frank-Otto Schenk, Rolf Herricht</t>
  </si>
  <si>
    <t>Schuldiener Oskar Sommer hat seiner in Amerika lebenden Tochter Lill stets vorgegaukelt, er sei Lehrer. Als sie ihren Besuch daheim ankündigt, ist guter Rat teuer. Retter in der Not: Ein Studienrat und Namensvetter der mit Oskar die Rolle tauscht. Ein Film nach dem Motto: Zwischen zwei schlechte Gags passt immer noch ein Song von Chris Roberts.</t>
  </si>
  <si>
    <t>Müllers kommen</t>
  </si>
  <si>
    <t>Evamaria Bath, Irene Fischer, Marianne Kiefer</t>
  </si>
  <si>
    <t>Umwege ins Glück</t>
  </si>
  <si>
    <t>Alfred Struwe, Ingeborg Krabbe, Jürgen Trott</t>
  </si>
  <si>
    <t>deutscher Spielfilm</t>
  </si>
  <si>
    <t>Zu zweit (k)ein Problem</t>
  </si>
  <si>
    <t>Heinz Rennhack, Evamaria Bath, Irene Fischer, Marianne Kiefer, Wolfgang Penz</t>
  </si>
  <si>
    <t>Vater Karlheinz Liebtraut (Gerd E. Schäfer) und Tochter Elke (Heidi Weigelt) leben zusammen und wissen nicht, wie sie sich gegenseitig den Partner vorstellen sollen. Herr Liebtraut setzt vorsichtshalber jeden Mann, der sich seiner Tochter nähert, rigoros vor die Tür. Auch die dezenten Hinweise von Nachbarin Frau Seidenglanz (Marianne Kiefer) helfen dem begriffsstutzigen Vater nicht weiter - und dabei hat er auch so seine Geheimnisse. Nach vielen Missverständnissen lernt die Tochter schließlich Paula kennen, die künftige Frau ihres Vaters und Tochter Elke muss ihren Hanspeter (Heinz Rennhack) nicht mehr als Elektriker ausgeben.</t>
  </si>
  <si>
    <t>Zwei blaue Augen</t>
  </si>
  <si>
    <t>Alfred Struwe, Ingeborg Krabbe, Jürgen Trott, Gerd E. Schäfer, Claudia Wenzel</t>
  </si>
  <si>
    <t>Zahnarztgattin Frau Schräglein passiert eines schönen Morgens ein Missgeschick: beim Ausparken stößt sie mit dem fabrikneuen “Wartburg” auf ein Hindernis. Zu ihrem Glück erklärt sich KFZ-Meister Paul Klabbusch bereit, den Schaden schnell zu reparieren und ihr den Wagen schon am Nachmittag zurückzubringen. Doch dann ereilt ihn, der schon 30 Jahre unfallfrei fährt und Vorsitzender des Verkehrsaktivs ist, ein schlimmes Schicksal ...</t>
  </si>
  <si>
    <t>Aber Vati</t>
  </si>
  <si>
    <t>Familienserie</t>
  </si>
  <si>
    <t>Erik S. Klein, Helga Labudda, Jochen Thomas</t>
  </si>
  <si>
    <t>Nach einem traumatischen Erlebnis im Kosovo hat Lasko (Mathis Landwehr) seinen Dienst als Soldat in der KFOR-Friedenstruppe quittiert und sich als Mönch in ein Kloster zurückgezogen. Aufgrund seiner militärischen Ausbildung, seiner sportlichen Fähigkeiten und seiner ethischen Integrität wird er dort von Matthias (Simon Dutton), einem Agenten des christlichen Geheimordens "Pugnus Die", schon seit längerem beobachtet. Noch ahnt Lasko nicht, dass er bald in vorderster Reihe eines Himmelfahrtkommandos steht. Denn Matthias hat den Auftrag bekommen, einen Pilgerzug nach Lourdes zu beschützen. Doch einige skrupellose Gangster, angeführt von ihrem hünenhaften Boss Lennart (Arnold Vosloo, "Die Mumie"), planen den spektakulären Raub eines Killer-Virus und wollen den Zug für ihre Flucht nutzen.</t>
  </si>
  <si>
    <t>Aerolina</t>
  </si>
  <si>
    <t>Helga Piur, Horst Drinda, Giso Weißbach</t>
  </si>
  <si>
    <t>Agentur Herz</t>
  </si>
  <si>
    <t>Serie</t>
  </si>
  <si>
    <t>Barfuß ins Bett</t>
  </si>
  <si>
    <t>Familenserie</t>
  </si>
  <si>
    <t>Jörg Panknin, Renate Blume, Gudrun Okras</t>
  </si>
  <si>
    <t>Bei Hausers zu Hause</t>
  </si>
  <si>
    <t>Björn Lorenz, Kathrin Ziehfuß, Madeleine Lierck</t>
  </si>
  <si>
    <t>Bei Neuhaus zu Haus</t>
  </si>
  <si>
    <t>Marcus Görner, Antje Brandenburg, Chantal Feierabend</t>
  </si>
  <si>
    <t>Benno macht Geschichten</t>
  </si>
  <si>
    <t>East Germany</t>
  </si>
  <si>
    <t>tt0256643</t>
  </si>
  <si>
    <t>Torsten Rennert, Erwin Geschonneck, Agnes Kraus, Wolfgang Greese, Walfriede Schmitt</t>
  </si>
  <si>
    <t>Benno ein aufgeweckter Berliner Junge, ist wirklich kein Problemfall, obwohl seine Eltern genug Schwierigkeiten mit ihm haben. Das liegt aber nicht ausschließlich an Benno, sondern vielmehr daran, dass keiner so richtig Zeit für ihn hat. Während einer Zugfahrt lernt er den Rentner Oskar Schrader kennen, der für sein Leben gern kocht, Uhren sammelt, Zauberkunststücke beherrscht und mitten im Grünen wohnt. Zwischen den beiden entwickelt sich eine echte Freundschaft. Die großen Schulferien darf Benno deshalb bei seinem Freund verbringen. Der knurrig-kauzige Oskar lebt allein in einer Gartenkolonie - mit freundlichen und unfreundlichen Nachbarn. Und dieser Nachbarschaft spielt Benno zusammen mit seinem Kumpel Mutz gern Streiche. Wie etwa der verschrobenen Tierliebhaberin Irma Kalweit oder dem rüpeligen Draufgänger Ralf Klotz</t>
  </si>
  <si>
    <t>Bereitschaft Dr. Federau</t>
  </si>
  <si>
    <t>Uta Schorn, Tobias Raue, Günter Schubert</t>
  </si>
  <si>
    <t>Berühmte Ärzte der Charité</t>
  </si>
  <si>
    <t>Berühmte Ärzte der Charité: Der kleine Doktor</t>
  </si>
  <si>
    <t>tt0342644</t>
  </si>
  <si>
    <t>Ernst Meincke, Horst Drinda, Petra Barthel, Otti Planerer, Blanche Kommerell</t>
  </si>
  <si>
    <t>Columbus 64</t>
  </si>
  <si>
    <t>Grosse Geschichten 70 - DDR TV-Archiv</t>
  </si>
  <si>
    <t>tt0136757</t>
  </si>
  <si>
    <t>Armin Mueller-Stahl, Margitta Hellmann, Sepp Wenig</t>
  </si>
  <si>
    <t>Daniel Druskat</t>
  </si>
  <si>
    <t>tt0073977</t>
  </si>
  <si>
    <t>Hilmar Thate, Manfred Krug, Ursula Karusseit</t>
  </si>
  <si>
    <t>Das Mädchen Krümel</t>
  </si>
  <si>
    <t>Dorothea Meißner, Eberhard Mellies, Ruth Glöss</t>
  </si>
  <si>
    <t>Der Laden</t>
  </si>
  <si>
    <t>tt0166443</t>
  </si>
  <si>
    <t>Ole Brandmeyer, Bastian Trost, Arnd Klawitter</t>
  </si>
  <si>
    <t>Kunoichi und ihre sechs Lady-Ninjas wollen den Tod des dunklen Fürsten Akinari. Dieser und seine Dämonenleibwache, die "Sieben Speere", brannten einst deren Kloster nieder und töteten viele Unschuldige. Ihnen zur Seite steht der furchtlose Samurai Jubei.</t>
  </si>
  <si>
    <t>Die Frauen der Wardins</t>
  </si>
  <si>
    <t>tt0386199</t>
  </si>
  <si>
    <t>Angelika Waller, Eberhard Mellies, Mathis Schrader, Margit Schaumäker, Gerd Blahuschek</t>
  </si>
  <si>
    <t>Die Chronik einer märkischen Bauernfamilie aus dem Dorf Barnekow über drei Generationen: Nachdem es ihnen immer wieder misslingt, ihren landwirtschaftlichen Betrieb in sumpfigen Gelände zu einem Erfolg zu führen, finden die Wardins nach dem Zweiten Weltkrieg dank der Bodenreform 1945 in der sowjetischen Besatzungszone zu DDR-Zeiten des „entwickelten Sozialismus“ endlich berufliches wie privates Glück.</t>
  </si>
  <si>
    <t>Die gläserne Fackel</t>
  </si>
  <si>
    <t>Walter Plathe, Walfriede Schmitt, Renate Blume</t>
  </si>
  <si>
    <t>Die lange Strasse</t>
  </si>
  <si>
    <t>Familienchronik</t>
  </si>
  <si>
    <t>Alfred Müller, Walfriede Schmitt, Günter Naumann</t>
  </si>
  <si>
    <t>Ein Engel namens Flint</t>
  </si>
  <si>
    <t>DFF</t>
  </si>
  <si>
    <t>Kinderserie</t>
  </si>
  <si>
    <t>Günter Schubert, Lotte Loebinger, Jürgen Mai</t>
  </si>
  <si>
    <t>Ein offenes Haus</t>
  </si>
  <si>
    <t>Ingeborg Krabbe, Ulrich Voß</t>
  </si>
  <si>
    <t>Ein Zimmer mit Ausblick</t>
  </si>
  <si>
    <t>Bernhard Baier, Michael Pan, Albrecht Götte</t>
  </si>
  <si>
    <t>Einzug ins Paradies</t>
  </si>
  <si>
    <t>tt0092953</t>
  </si>
  <si>
    <t>Kurt Böwe, Walfriede Schmitt, Friedhelm Eberle</t>
  </si>
  <si>
    <t>Familie Maxie Moritz</t>
  </si>
  <si>
    <t>Eckhard Bilz, Elisabeth Ehrig, Uta Eisold, Holger Franke</t>
  </si>
  <si>
    <t>Familie Neumann</t>
  </si>
  <si>
    <t>Herbert Köfer, Irma Münch, Manfred Richter</t>
  </si>
  <si>
    <t>Feuerwache 09</t>
  </si>
  <si>
    <t>Matthias Zahlbaum, Günter Schubert, Jürgen Mai</t>
  </si>
  <si>
    <t>Fischzüge</t>
  </si>
  <si>
    <t>Komödie, TV-Film</t>
  </si>
  <si>
    <t>tt0384958</t>
  </si>
  <si>
    <t>Ewa Borowik, Hans Lucke, Otmar Richter, Dietmar Richter-Reinick, Alfred Struwe</t>
  </si>
  <si>
    <t>Ein Schiff der DDR-Fischfangflotte befindet sich auf der Heimreise. Die Arbeit ist getan, der Laderaum voller Fische. Damit könnte sich Kapitän Nipmerow zufrieden geben, aber er hat mit einem ganz anderen Problem zu kämpfen. Eine Angelegenheit, über die er auch der Reederei eine Stellungnahme schuldig ist.</t>
  </si>
  <si>
    <t>Flugstaffel Meinecke</t>
  </si>
  <si>
    <t>tt0250153</t>
  </si>
  <si>
    <t>Jürgen Zartmann, Madeleine Lierck, Hartmut Schreier</t>
  </si>
  <si>
    <t>Fridolin</t>
  </si>
  <si>
    <t>Der göttliche Fridolin</t>
  </si>
  <si>
    <t>tt7872372</t>
  </si>
  <si>
    <t>Fred Kronström, Max Lehmann, Margot Meyer, Ewis Thornau</t>
  </si>
  <si>
    <t>Hochhausgeschichten</t>
  </si>
  <si>
    <t>Jürgen Trott, Horst Schulze, Carl-Hermann Risse</t>
  </si>
  <si>
    <t>Jockei Monika</t>
  </si>
  <si>
    <t>Miroslava Safránková, Hans-Georg Körbel, Rudolf Donath</t>
  </si>
  <si>
    <t>Johanna</t>
  </si>
  <si>
    <t>Johanna d’Arc of Mongolia</t>
  </si>
  <si>
    <t>Drama, Abenteuer</t>
  </si>
  <si>
    <t>tt0095406</t>
  </si>
  <si>
    <t>Delphine Seyrig, Irm Hermann, Peter Kern, Gillian Scalici, Inés Sastre</t>
  </si>
  <si>
    <t>Kiezgeschichten</t>
  </si>
  <si>
    <t>Familie</t>
  </si>
  <si>
    <t>Peter Reusse, Jenny Gröllmann, Marga Legal</t>
  </si>
  <si>
    <t>Klein, aber Charlotte</t>
  </si>
  <si>
    <t>tt1784059</t>
  </si>
  <si>
    <t>Helga Piur, Diana Urbank, Jürgen Mai</t>
  </si>
  <si>
    <t>Leute sind auch Menschen</t>
  </si>
  <si>
    <t>Manfred Richter, Helga Göring, Helga Piur</t>
  </si>
  <si>
    <t>Luv und Lee</t>
  </si>
  <si>
    <t>In Luv und Lee die Liebe</t>
  </si>
  <si>
    <t>tt0248902</t>
  </si>
  <si>
    <t>Hans Mahler, Heinz Lanker, Walter Scherau</t>
  </si>
  <si>
    <t>Aufregende Dinge geschehen auf den kleinen Frachtschiff von Kapitän Brass am letzten Tag im Hafen: ein windiger "Doktor" dreht dem Kapitän eine merkwürdige neue Schiffsapotheke an, in der die Arzneien in jedem Hafen, der angelaufen wird, von seinen Mitarbeitern kostenlos wieder ergänzt werden. Die "Bordsteinschwalbe" Olga weiß längst, dass es dabei in Wahrheit um Kokainschmuggel geht...</t>
  </si>
  <si>
    <t>Märkische Chronik</t>
  </si>
  <si>
    <t>Walter Plathe, Renate Geißler, Eberhard Mellies</t>
  </si>
  <si>
    <t>Mensch Hermann</t>
  </si>
  <si>
    <t>Ohne Phantasie stirbt der Mensch - Hermann Naumann</t>
  </si>
  <si>
    <t>tt33265228</t>
  </si>
  <si>
    <t>Hermann Naumann</t>
  </si>
  <si>
    <t>Mensch, Oma!</t>
  </si>
  <si>
    <t>Agnes Kraus, Walter Lendrich, Solveig Müller</t>
  </si>
  <si>
    <t>Mit Herz und Robe</t>
  </si>
  <si>
    <t>Uta Schorn, Ingeborg Krabbe, Renate Blume</t>
  </si>
  <si>
    <t>Die kleine Susie begleitet ihre Eltern auf ihrer Japanreise. Ihr Gastgeber Tetsuro ist Computerspezialist und Geschäftsfreund des Vaters. Damit sich das Mädchen nicht so verloren im exotisch anmutenden Land vorkommt, erhält sie den neuesten Prototypen als Spielkameraden. Es handelt sich dabei um einen intelligenten und sehr beweglichen kleinen Roboter, den Susie schnell ins Herz schließt. Mit ihm vergeht der Japanaufenthalt wie im Flug. Als die Eltern bereits die Maschine für den Rückflug besteigen wollen, bemerken sie, daß ihre Tochter sich aus dem Staub gemacht hat. Ganz offensichtlich, um nicht Abschied von dem neugewonnenen Freund nehmen zu müssen. Aber es hat noch jemand anderes reges Interesse am "Roboter mit Herz": Der ärgste Konkurrent auf dem Robotersektor, Dr. Finkel, der seine Gehilfen ausschwärmen läßt, um ihn einzufangen.</t>
  </si>
  <si>
    <t>Neumanns Geschichten</t>
  </si>
  <si>
    <t>tt0157235</t>
  </si>
  <si>
    <t>Herbert Köfer, Irma Münch, Torsten Rennert</t>
  </si>
  <si>
    <t>Rentner haben niemals Zeit</t>
  </si>
  <si>
    <t>Herbert Köfer, Helga Göring, Margarete Taudte</t>
  </si>
  <si>
    <t>Rita von Falkenhain</t>
  </si>
  <si>
    <t>Ulrike Mai, Horst Drinda, Joachim Nimtz</t>
  </si>
  <si>
    <t>Rund um die Uhr</t>
  </si>
  <si>
    <t>Ewald - Rund um die Uhr</t>
  </si>
  <si>
    <t>tt1454615</t>
  </si>
  <si>
    <t>Heinz Rennhack, Marijam Agischewa, Gerd Baltus</t>
  </si>
  <si>
    <t>Eine deutsche TV-Komödie</t>
  </si>
  <si>
    <t>Spreewaldfamilie</t>
  </si>
  <si>
    <t>Helga Göring, Susanne Düllmann, Wolfgang Greese</t>
  </si>
  <si>
    <t>Tiere machen Leute</t>
  </si>
  <si>
    <t>Alfred Müller, Roman Kaminski, Rosemarie Bärhold</t>
  </si>
  <si>
    <t>Tierparkgeschichten</t>
  </si>
  <si>
    <t>Erik S. Klein, Otti Planerer, Dirk Schülke</t>
  </si>
  <si>
    <t>Treffpunkt Flughafen</t>
  </si>
  <si>
    <t>Walter Plathe, Günter Naumann, Jürgen Zartmann</t>
  </si>
  <si>
    <t>Unser Mann ist König</t>
  </si>
  <si>
    <t>tt0850227</t>
  </si>
  <si>
    <t>Horst Drinda, Annekathrin Bürger, Doris Otto-Franke</t>
  </si>
  <si>
    <t>China im 10. Jahrhundert: Der Kaiser der Shu-Dynastie ist schwer erkrankt. Der taoistische Scharlatan Li verabreicht ihm Arznei, die ihn eher vergiften als ihn zu heilen. Der besorgte Premierminister, der einen unmittelbar bevorstehenden Angriff befürchtet, schickt heimlich einen Boten aus, um Hilfe kommen zu lassen.</t>
  </si>
  <si>
    <t>Wege übers Land</t>
  </si>
  <si>
    <t>Ursula Karusseit, Manfred Krug, Christa Lehmann</t>
  </si>
  <si>
    <t>Zahn um Zahn</t>
  </si>
  <si>
    <t>Krimi</t>
  </si>
  <si>
    <t>tt0090137</t>
  </si>
  <si>
    <t>Götz George, Renan Demirkan, Eberhard Feik, Charles Brauer, Herbert Steinmetz</t>
  </si>
  <si>
    <t>Erst sieht es nach einer klassischen Familien-Tragödie aus: Ein Mann, gerade arbeitslos geworden, tötet seine engsten Angehörigen, bevor er sich selbst richtet. Aber Kommissar Schimanski traut der Sache nicht und ermittelt entgegen Dienstanweisung bei dessen Ex-Arbeitgeber. Das bringt ihm prompt die Suspendierung ein, was den guten Schimi natürlich keineswegs davon abhält, der Geschichte weiter nachzugehen. Begleitet von einer attraktiven Reporterin, führt ihn eine heiße Spur ins französische Marseille.</t>
  </si>
  <si>
    <t>Zur See</t>
  </si>
  <si>
    <t>Burnt Offerings</t>
  </si>
  <si>
    <t>Horror, Thriller, Mystery</t>
  </si>
  <si>
    <t>tt0074258</t>
  </si>
  <si>
    <t>Karen Black, Oliver Reed, Burgess Meredith, Bette Davis, Eileen Heckart</t>
  </si>
  <si>
    <t>Das Ehepaar Ben und Marian Rolfe will mit seinem elfjährigen Sohn David und Bens Tante Elizabeth Ferien machen. Sie mieten sich in einer alten, etwas heruntergekommenen neoklassizistischen Villa ein, die von dem etwas exzentrischen älteren Geschwisterpaar Allardyce zu einem extrem niedrigen Preis angeboten wird. Einzige Bedingung ist, dass sie sich um die Mutter der Eigentümer kümmern müssen, die in der Mansarde des Hauses wohnt und ihre Räumlichkeiten nie verlässt. Doch bereits kurz nach dem Einzug in das Haus beginnen merkwürdige Vorfälle. Zu spät bemerkt die Familie, dass das Haus sich durch jede auf dem Gelände verstorbene Person regeneriert...</t>
  </si>
  <si>
    <t>Piur.Helga.Ein.Häppchen.von.mir.2009.pdf</t>
  </si>
  <si>
    <t>11,8 MB</t>
  </si>
  <si>
    <t>Sentimental Value</t>
  </si>
  <si>
    <t>Norway, Germany, Denmark, France, Sweden, United Kingdom, Turkey</t>
  </si>
  <si>
    <t>tt27714581</t>
  </si>
  <si>
    <t>Renate Reinsve, Stellan Skarsgård, Inga Ibsdotter Lilleaas</t>
  </si>
  <si>
    <t>Nora und Agnes verbindet eine komplexe Beziehung zu ihrem Vater, der seine Arbeit stets über die Familie stellte. Nun steht Gustav nach Jahren der Funkstille plötzlich wieder vor der Tür – mit einem charmanten Grinsen und dem emotionalen Gepäck eines halben Lebens. Augenblicklich geraten alte Familiendynamiken ins Rollen. Und nach und nach wird deutlich, dass sich Vater und Töchter ähnlicher sind, als sie glaubten. Vielleicht ist es doch nicht zu spät für einen Neuanfang?</t>
  </si>
  <si>
    <t>Salto Postale</t>
  </si>
  <si>
    <t>Satire</t>
  </si>
  <si>
    <t>Wolfgang Stumph</t>
  </si>
  <si>
    <t>Salto Kommunale</t>
  </si>
  <si>
    <t>Heimweh Nach Drüben</t>
  </si>
  <si>
    <t>Heimweh nach drüben</t>
  </si>
  <si>
    <t>tt1104787</t>
  </si>
  <si>
    <t>Wenige Tage vor seiner Hochzeit mit Eva besucht der DDR-Bürger Stephan seinen Bruder im Westen. Der wird 50, deshalb wurde die Reise genehmigt. Zur gleichen Zeit flüchtet Stephans Sohn und Schwiegertochter per Heißluftballon in den Westen. Das Material hatte ausgerechnet Stephan besorgt. Plötzlich gilt er als Fluchthelfer und kann nicht mehr zurück in die DDR. Auch im Westen misstraut man ihm: Wer freiwillig in den Osten zurück will, mit dem stimmt was nicht. Und so gerät Stephan, der immer unpolitisch war, in die Mühlen der großen Politik.</t>
  </si>
  <si>
    <t>Harrys Insel</t>
  </si>
  <si>
    <t>tt4400054</t>
  </si>
  <si>
    <t>Seinen Neuanfang in der kanadischen Wildnis hat sich der 60-jährige Harry Stockowski komplett anders vorgestellt. Statt auf einer einsamen Insel die langersehnte Ruhe zu finden, erwartet ihn dort jemand alles andere als freundlich. Die raubeinige Susan behauptet, die Besitzerin des Eilandes zu sein, und versucht, den unerwünschten Neuankömmling mit der Flinte zu verjagen._x000D_ Ein Kampf um die Blockhütte beginnt, bei dem der deutsche Aussteiger gewaltig einstecken muss. So leicht gibt Harry jedoch nicht auf – hat er die Insel mitsamt Hütte vor Jahren doch rechtmäßig erworben und zu seinem früheren Leben alle Brücken abgebrochen. Auch für Susan ist das Eiland ein letzter Zufluchtsort.</t>
  </si>
  <si>
    <t>Go Trabi Go 2</t>
  </si>
  <si>
    <t>Go Trabi Go 2 - Das war der wilde Osten</t>
  </si>
  <si>
    <t>tt0104349</t>
  </si>
  <si>
    <t>Rums! Mit lautem Getöse kracht das kleine Häuschen der Familie Struutz in sich zusammen. Ein Golfplatz soll stattdessen hier entstehen, während Trabi Schorsch von Skinheads in den Fluten der Elbe versenkt wird. Für Töchterchen Jacqueline Grund genug abzuhauen, um im heißen Nachtleben der Großstadt spendablen Westlern ihren knackigen Po entgegenzurecken. Papa Struutz erbt zu allem Überfluss auch noch eine Gartenzwergfabrik, deren Zahlen so rot sind wie die Mützchen ihrer Männchen.</t>
  </si>
  <si>
    <t>Go Trabi go</t>
  </si>
  <si>
    <t>Go Trabi Go</t>
  </si>
  <si>
    <t>tt0101960</t>
  </si>
  <si>
    <t>Die Mauer ist gefallen und Familie Struutz aus Bitterfeld wild entschlossen, sich einen lang ersehnten Traum zu erfüllen: Urlaub in Italien. Vater Udo, Mutter Rita und ihre 17-jährige Tochter Jacqueline machen sich im vollbepackten Trabant auf die Reise, die nicht ohne Pannen und Abenteuer verläuft.  Zur Unbill der gewonnen Reisefreiheit gehören ein Unfall durch Rita, Jacquelines plötzliche Familienflucht und ein Kamera-Diebstahl in Rom. Dass außerdem der Trabi außergewöhnliche Anforderung überstehen muss, versteht sich von selbst.</t>
  </si>
  <si>
    <t>Ein Stück Vom Glück</t>
  </si>
  <si>
    <t>Ein Stück vom Glück</t>
  </si>
  <si>
    <t>tt0282187</t>
  </si>
  <si>
    <t>Ein Stück vom Glück' ist die Geschichte einer Männerfreundschaft im harten Show-Business des Entertainers Frank Haller, eines Mannes voller Charme und Witz und seines temperamentvollen Managers Jochen Below. Sie waren ganz oben auf der Leiter des Erfolges. Doch als Hallers Frau aus Einsamkeit in den Tod ging, verließ ihn auch der Erfolg. Und Below ging sogar für seinen Freund ins Gefängnis. Doch jetzt ist er wieder in Freiheit und wird seine Chance nutzen.</t>
  </si>
  <si>
    <t>UD</t>
  </si>
  <si>
    <t>Rock Hudson, Dana Wynter, Wendy Hiller</t>
  </si>
  <si>
    <t>Kaum haben sich Weronika und der junge Techniker Boris ineinander verliebt, tritt der Mann 1941 freiwillig der Roten Armee bei und geht bei Kriegsausbruch an die Front. Vergeblich wartet Weronika auf ein Lebenszeichen von ihm. Während eines Bombenangriffs verliert das Mädchen ihre Eltern und ihr Zuhause. Die Familie von Boris nimmt Weronika auf. Mark, Boris' Bruder, ein Musiker, bemüht sich um Weronika. In einer furchtbaren Bombennacht gibt sich das Mädchen Mark hin und heiratet ihn wenig später. Die Ehe wird jedoch von den Erinnerungen an Boris überschattet, so dass sich Weronika schließlich wieder von ihrem Mann trennt. Bis zum Ende des Krieges glaubt sie fest, dass Boris zurückkommen werde. Als sein Tod zur Gewissheit wird, schenkt sie ihre ganze Liebe einem kleinen Waisenjungen...</t>
  </si>
  <si>
    <t>Wenn die Kraniche ziehen</t>
  </si>
  <si>
    <t>Летят журавли</t>
  </si>
  <si>
    <t>SU</t>
  </si>
  <si>
    <t>UDSSR, Drama</t>
  </si>
  <si>
    <t>tt0050634</t>
  </si>
  <si>
    <t>Татьяна Самойлова, Алексей Баталов, Василий Меркурьев, Александр Шворин, Светлана Харитонова</t>
  </si>
  <si>
    <t>Zwischen Frühstück und Gänsebraten</t>
  </si>
  <si>
    <t>DDR,DE</t>
  </si>
  <si>
    <t>Unterhaltung</t>
  </si>
  <si>
    <t>Heinz Quermann, Margot Ebert, Jochen Petersdorf</t>
  </si>
  <si>
    <t>Treff mit O.F. Weidling - Gojko Mitic, Willi Schwabe</t>
  </si>
  <si>
    <t>Ostalgie mit Tom Pauls und Uwe Steimle</t>
  </si>
  <si>
    <t>Nacht der Prominenten</t>
  </si>
  <si>
    <t>Heinz Florian Oertel, Berolina-Orchester, Petra Kusch-Lück, Herbert Köfer</t>
  </si>
  <si>
    <t>Musik &amp; Show-Ein Kessel Buntes</t>
  </si>
  <si>
    <t>MDR</t>
  </si>
  <si>
    <t>Helga Hahnemann - DDR TV-Archiv</t>
  </si>
  <si>
    <t>Gunter Emmerlich präsentiert Showkolade</t>
  </si>
  <si>
    <t>Glückwunsch, Herkuleskeule!</t>
  </si>
  <si>
    <t>DVD City Danke Engel</t>
  </si>
  <si>
    <t>Das Beste aus Bong - Vol.4</t>
  </si>
  <si>
    <t>Das Beste aus Bong - Vol.3</t>
  </si>
  <si>
    <t>Das Beste aus Bong - Vol.2</t>
  </si>
  <si>
    <t>Das Beste aus Bong - Vol.1</t>
  </si>
  <si>
    <t>Damals war's-Legenden - Ein Abend für Herbert Köfer</t>
  </si>
  <si>
    <t>Wie ein Vogel im Schwarm</t>
  </si>
  <si>
    <t>tt0970911</t>
  </si>
  <si>
    <t>Käthe Reichel, Ulrich Thein, Torsten Michaelis</t>
  </si>
  <si>
    <t>Schimanski - Unter Brüdern</t>
  </si>
  <si>
    <t>SAS 181 antwortet nicht</t>
  </si>
  <si>
    <t>tt0345880</t>
  </si>
  <si>
    <t>Ulrich Thein, Erich Brauer, Erwin Geschonneck, Gustav Püttjer, Otmar Richter</t>
  </si>
  <si>
    <t>SAS 181 antwortet nicht ist ein DEFA-Spielfilm von Carl Balhaus aus dem Jahr 1959</t>
  </si>
  <si>
    <t>Portrait per Telefon - Ulrich Thein</t>
  </si>
  <si>
    <t>Polizeiruf 110 - Trüffeljagd</t>
  </si>
  <si>
    <t>tt0873777</t>
  </si>
  <si>
    <t>Polizeiruf 110 - Der Teufel hat den Schnaps gemacht</t>
  </si>
  <si>
    <t>tt0124064</t>
  </si>
  <si>
    <t>Polizeiruf 110 - Die Abrechnung</t>
  </si>
  <si>
    <t>tt0239820</t>
  </si>
  <si>
    <t>Mitten im kalten Winter</t>
  </si>
  <si>
    <t>tt1319129</t>
  </si>
  <si>
    <t>Erika Dunkelmann, Peter Friedrichson, Gerda Abelt</t>
  </si>
  <si>
    <t>Mitten im kalten Winter” war eine kleine poetische, heiter-besinnliche Geschichte, die sich aber dank ihrer Ausstrahlungskraft sehr wohl neben großen TV-Produktionen wie zum Beispiel “Wege übers Land” behaupten konnte. Die beiden Hauptrollen hatte der Regisseur Ulrich Thein, wie auch schon in früheren Werken, mit Laiendarstellern besetzt, wobei Peter Friedrichson, der jüngere Bruder von Eckart Friedrichson (“Meister Nadelöhr”) in den darauf folgenden Jahren noch in weiteren Produktionen des DFF bzw. Fernsehens der DDR als Schauspieler agierte.</t>
  </si>
  <si>
    <t>Martin Luther</t>
  </si>
  <si>
    <t>Geschichte</t>
  </si>
  <si>
    <t>tt0165873</t>
  </si>
  <si>
    <t>Ulrich Thein, Otto Mellies, Ralf Kober</t>
  </si>
  <si>
    <t>Anfang des 16. Jahrhunderts folgt der Christ Martin Luther seiner Berufung und wird in Erfurt Augustinermönch. Doch sein Dasein im Kloster konfrontiert ihn mit seinen Ängsten vor einem richtenden Gott. Diese werden ihm schließlich durch das Studium seiner Religion genommen, die einen gnädigen Schöpfer betont. Als Theologe in Wittenberg tritt er dann mit 95 Thesen an die Öffentlichkeit, die den kirchlichen Handel der Sündenvergebung gegen Geld kritisieren. Es beginnt ein folgenreicher Zwist.</t>
  </si>
  <si>
    <t>Jule - Julia - Juliane</t>
  </si>
  <si>
    <t>tt2622958</t>
  </si>
  <si>
    <t>Renate Geißler, Jürgen Reuter, Hans-Peter Reinecke</t>
  </si>
  <si>
    <t>Geschichten jener Nacht</t>
  </si>
  <si>
    <t>tt0061704</t>
  </si>
  <si>
    <t>Hans Hardt-Hardtloff, Peter Reusse, Peter Sindermann</t>
  </si>
  <si>
    <t>Vier Geschichten erzählen - nachdenklich, emotional und mit einem Schuss Komik - von Menschen in Entscheidungssituationen, mit denen sie während des Mauerbaus in der Nacht vom 12. auf den 13. August 1961 konfrontiert sind.</t>
  </si>
  <si>
    <t>Eine Berliner Romanze</t>
  </si>
  <si>
    <t>tt0048997</t>
  </si>
  <si>
    <t>Annekathrin Bürger, Ulrich Thein, Uwe-Jens Pape</t>
  </si>
  <si>
    <t>Eine Berliner Romanze erzählt eine Liebesgeschichte im geteilten Deutschland. Die Mauer ist noch nicht errichtet. Die Verkäuferin Uschi (Annekathrin Bürger) lebt im Osten Berlins, ihr Freund Hans (Ulrich Thein), ein Autoschlosser, im Westen Berlins. Uschi träumt von einer Karriere als Model, was ihre Eltern jedoch nicht unterstützen. Uschi zieht zu ihrem Freund in den Westen. Hans legt nun Extra-Schichten ein, um Uschi ihren neuen Berufswunsch ermöglichen zu können. Doch dann wird Hans arbeitslos.</t>
  </si>
  <si>
    <t>Die Matrosen von Cattaro</t>
  </si>
  <si>
    <t>Kotorski mornari</t>
  </si>
  <si>
    <t>tt0181635</t>
  </si>
  <si>
    <t>Ulrich Thein, Igor Galo, Dragomir Čumić, Aleksandar Berček, Goran Sultanović</t>
  </si>
  <si>
    <t>Der Direktor</t>
  </si>
  <si>
    <t>tt0322032</t>
  </si>
  <si>
    <t>Ulrich Thein, Janina Hartwig, Barbara Dittus</t>
  </si>
  <si>
    <t>Die Schulbehörde will Erfolgsmeldungen in den Berichten von Direktor Joachim Faber lesen. Aber die lassen sich nicht einfach am Fließband produzieren. Da vergreifen sich beispielsweise Schüler im Ton. Die Sache zieht Kreise, bis an vorgesetzter Stelle schließlich von Arbeitsverweigerung die Rede ist. Direktor Faber steht zwischen den Bemühungen, dem Konflikt mit pädagogischen Mitteln beizukommen, und dem Druck von oben.</t>
  </si>
  <si>
    <t>Dach überm Kopf</t>
  </si>
  <si>
    <t>tt0080586</t>
  </si>
  <si>
    <t>Renate Geißler, Erika Dunkelmann, Udo Schenk</t>
  </si>
  <si>
    <t>Karoline Gluth geht auf die Vierzig zu, hat einen 18jährigen Sohn, der studiert und somit unabhängig ist. Sie entschließt sich, ein neues Leben zu beginnen, nimmt Abschied von der Rügener Familiengastwirtschaft, wo sie als Köchin sehr gut verdient hat. Im Randgebiet von Berlin kauft sie sich ein Häuschen - nach einem Foto. Die Realität allerdings sieht weniger freundlich aus als das Bild. Das Haus ist dem Einsturz nahe und hat einen illegalen Bewohner, Christian. Sie setzt ihn zwar an die Luft, aber er hilft ihr durch den Dschungel der Handwerker- und Materialbeschaffung. Dabei lernt sie Baubrigadier Herbert Kotbuß kennen, gerät mit ihm aneinander - und imponiert ihm. Karoline beißt sich durch, das Geld geht zur Neige, sie muß sogar ihr Auto verkaufen, und am Ende ist das Haus immer noch ziemliches Flickwerk. Aber sie hat ihren Anspruch an sich selbst verwirklicht - das neue, eigenständige Leben beginnt.</t>
  </si>
  <si>
    <t>...und deine Liebe auch</t>
  </si>
  <si>
    <t>tt0055716</t>
  </si>
  <si>
    <t>Armin Mueller-Stahl, Kati Székely, Ulrich Thein</t>
  </si>
  <si>
    <t>Die semidokumentarische Machart, die alltäglichen Eindrücke von den Straßen des Ostberlin der 1960er Jahre machen …und deine Liebe auch als Zeitdokument sehenswert. Interessant sind aber auch seine subtilen Propagandamechanismen. Den Mauerbau etwa rechtfertigt er mithilfe der Figur der Kati, die die meiste Zeit über schwach und leicht beeinflussbar erscheint.</t>
  </si>
  <si>
    <t>Von Mensch zu Mensch</t>
  </si>
  <si>
    <t>Schauspielereien</t>
  </si>
  <si>
    <t>tt1010481</t>
  </si>
  <si>
    <t>Stummfilm von King Vidor. Ein Durchschnittsbürger mit Familie kämpft sich durchs Leben in der Großstadt und erleidet so manchen Schicksalsschlag.</t>
  </si>
  <si>
    <t>Verliebt, Verlobt</t>
  </si>
  <si>
    <t>Sawyer steht kurz davor, als Nachfolgerin die etablierte Arztpraxis ihres Chefs zu übernehmen, aber privat läuft seit der Trennung von ihrer Langzeitbeziehung Joshua irgendwie nichts mehr. Da ist es umso frustrierender, dass ihre Freundinnen im Wochentakt unter die Haube zu kommen scheinen – bis ein kleiner Fehler an der Registrierkasse ihre aus Spaß angelegte Hochzeits-Wunschliste öffentlich macht und ihr Umfeld glauben lässt, sie wäre endlich in festen Händen.</t>
  </si>
  <si>
    <t>Vater sein dagegen sehr</t>
  </si>
  <si>
    <t>Unverhofft kommt oft</t>
  </si>
  <si>
    <t>Das nennt man produktiv: Auf eine stolze Vaterschaft von 533 Kindern soll es David Wozniak gebracht haben – nur das er davon keinen blassen Schimmer hatte bisher. Dementsprechend verdattert ist er, als ihm von der Samenbank, für die er seit Beginn der 90er spendete, eröffnet wird, dass ein Teil der daraus entstandenen Kinder nun die Offenlegung seiner Identität erklagen will. Und als wenn dies der Probleme nicht schon genug wäre, überlegt seine Freundin, ob David überhaupt geeignet erscheint, der Vater ihrer Kinder zu werden.</t>
  </si>
  <si>
    <t>Solange noch das Lämpchen glüht</t>
  </si>
  <si>
    <t>Schauspielereien.txt</t>
  </si>
  <si>
    <t>662 Byte</t>
  </si>
  <si>
    <t>Rund um die Ehe (1988).mpg.cuts</t>
  </si>
  <si>
    <t>24 Byte</t>
  </si>
  <si>
    <t>Rund um die Ehe (1988).mpg</t>
  </si>
  <si>
    <t>1,0 GB</t>
  </si>
  <si>
    <t>Liebe, Schminke und Intriegen (1978).avi</t>
  </si>
  <si>
    <t>Leben und Leben lassen (1988).mpg.cuts</t>
  </si>
  <si>
    <t>Big Trouble</t>
  </si>
  <si>
    <t>Alan Arkin, Beverly D'Angelo, Peter Falk, Charles Durning, Robert Stack</t>
  </si>
  <si>
    <t>Eigentlich ist der Versicherungsvertreter Leonard Hoffman (Alan Arkin) ein grundehrlicher Kerl. Weil er aber seine drei Söhne auf die renommierte, und somit auch sehr teure Yale-Universität schicken will, fehlt es finanziell an allen Ecken und Enden. Da tritt Blanche (Beverly D'Angelo) in Leonards Leben. Die attraktive Blondine will eine hohe Lebensversicherung für ihren Ehemann Steve (Peter Falk) abschließen. Schnell wird Leonard klar, daß nicht tiefempfundene Besorgnis hinter Blanches Vorhaben steckt, sondern ein raffiniert ausgeklügelter Betrug - von dem allerdings auch der gute Leonard profitieren könnte. Und das nicht zu knapp. "Sterben... und leben lassen" - brilliante Unterhaltung, ebenso komisch wie hintergründig. Hochkarätige Hauptdarsteller in dieser Video-Welturaufführung: Starkomiker Alan Arkin und "Columbo" Peter Falk!"</t>
  </si>
  <si>
    <t>Leben und Leben lassen (1988).mpg</t>
  </si>
  <si>
    <t>1,1 GB</t>
  </si>
  <si>
    <t>Jetzt kommt Karli (1987).avi</t>
  </si>
  <si>
    <t>Immer das selbe Lied (1987).mpg.cuts</t>
  </si>
  <si>
    <t>Immer das selbe Lied (1987).mpg</t>
  </si>
  <si>
    <t>878,0 MB</t>
  </si>
  <si>
    <t>Hochzeitstage (1988).avi.cuts</t>
  </si>
  <si>
    <t>Scenes from a Mall</t>
  </si>
  <si>
    <t>Bette Midler, Woody Allen, Bill Irwin, Daren Firestone, Rebecca Nickels</t>
  </si>
  <si>
    <t>Ihr 17. Hochzeitstag hätte ein ganz bezaubernder werden können: Das Ehepaar Nick und Deborah sind gerade in einem Einkaufszentrum um Besorgungen für die abendliche Party zu erledigen, als der Anwalt seiner Gattin einen Seitensprung gesteht. Die flippt aus und will sich sofort scheiden lassen. Nach langem Streiten im Kaufhaus rauft sich das Ehepaar dennoch zusammen - bis auch Deborah einen Fehtritt eingesteht...</t>
  </si>
  <si>
    <t>Hochzeitstage (1988).avi</t>
  </si>
  <si>
    <t>880,0 MB</t>
  </si>
  <si>
    <t>Harmonien und Dissonancen (1980).mpg.cuts</t>
  </si>
  <si>
    <t>Harmonien und Dissonancen (1980).mpg</t>
  </si>
  <si>
    <t>874,0 MB</t>
  </si>
  <si>
    <t>Gaunereien lassen bitten (1988).mpg.cuts</t>
  </si>
  <si>
    <t>Gaunereien lassen bitten (1988).mpg</t>
  </si>
  <si>
    <t>Frauengeschichten (1979).mpg</t>
  </si>
  <si>
    <t>Frauen im Herbst (1979).mpg</t>
  </si>
  <si>
    <t>883,0 MB</t>
  </si>
  <si>
    <t>Erstens kommt es anders (1986).mpg.cuts</t>
  </si>
  <si>
    <t>Erstens kommt es anders</t>
  </si>
  <si>
    <t>Blandine Ebinger, Werner Finck, Ruth Hellberg</t>
  </si>
  <si>
    <t>Kurzer Spielfilm</t>
  </si>
  <si>
    <t>Erstens kommt es anders (1986).mpg</t>
  </si>
  <si>
    <t>Ein ehrlicher Finder (1986).mpg.cuts</t>
  </si>
  <si>
    <t>Ein ehrlicher Finder (1986).mpg</t>
  </si>
  <si>
    <t>Dienstreisegeschichten (1979).mpg</t>
  </si>
  <si>
    <t>Die Versuchung und andere Geschichten (1987).mpg.cuts</t>
  </si>
  <si>
    <t>Die Versuchung und andere Geschichten (1987).mpg</t>
  </si>
  <si>
    <t>1,2 GB</t>
  </si>
  <si>
    <t>Die Traumrolle (1990).mpg.cuts</t>
  </si>
  <si>
    <t>Die Traumrolle (1990).mpg</t>
  </si>
  <si>
    <t>Die Seuffleuse (1986).avi</t>
  </si>
  <si>
    <t>Die Lieben vier Wände (1987).mpg</t>
  </si>
  <si>
    <t>0,9 GB</t>
  </si>
  <si>
    <t>Die Augen einer Frau (1978).mpg</t>
  </si>
  <si>
    <t>Die Anmache (1986).mpg</t>
  </si>
  <si>
    <t>The First Turn-On!!</t>
  </si>
  <si>
    <t>858,0 MB</t>
  </si>
  <si>
    <t>Georgia Harrell, Michael Sanville, Googy Gress, Sheila Kennedy, Vincent D'Onofrio</t>
  </si>
  <si>
    <t>Der konzentrierte Proffessor (1986).mpg</t>
  </si>
  <si>
    <t>915,0 MB</t>
  </si>
  <si>
    <t>Berliner Pflanzen (1987).mpg.cuts</t>
  </si>
  <si>
    <t>Berliner Pflanzen (1987).mpg</t>
  </si>
  <si>
    <t>Auf Touren (1987).mpg</t>
  </si>
  <si>
    <t>Didi auf vollen Touren</t>
  </si>
  <si>
    <t>879,0 MB</t>
  </si>
  <si>
    <t>Dieter Hallervorden, Bernard Ménez, Hans Peter Hallwachs, Gert Haucke, Günther Ungeheuer</t>
  </si>
  <si>
    <t>Lagerarbeiter Didi, der viele Jahre am Firmensitz des Fuhrunternehmers Grueter tätig war, will sich nun endlich seinen großen Berufswunsch erfüllen: als Fernfahrer mit eigenem Laster, den er sich mittels Ersatzteilen aus Grueters Lager gebaut hat. Die dazu notwendige Fahrprüfung zu Filmbeginn gestaltet sich recht turbulent, da der Prüfer mit Kopfhörern und tragbarem Fernseher lieber ein Fußballspiel verfolgt. Im Glauben, der Prüfer würde ihn über Video beobachten, missdeutet Didi dessen Spielkommentare als Anweisungen, befolgt diese – und besteht die Prüfung.Zeitgleich werden in einem Werk des Industriekonzerns Chemie AG hochexplosive Giftmüllfässer verladen, wobei der Kranfahrer das Fußballspiel ebenfalls verfolgt. Als ein Tor fällt, führt dieser vor Freude eine unachtsame Fehlbedienung aus, wodurch ein Fass zu Boden fällt und explodiert.</t>
  </si>
  <si>
    <t>Auf den zweiten Blick (1989).mpg.cuts</t>
  </si>
  <si>
    <t>Lazy Eye</t>
  </si>
  <si>
    <t>Lucas Near-Verbrugghe, Aaron Costa Ganis, Michaela Watkins, Harrison Givens, Debbie Jaffe</t>
  </si>
  <si>
    <t>Dean ist Ende 30 und hat sich als Grafikdesigner in einem überschaubaren Leben in Los Angeles eingerichtet. Bis er eines Tages eine Mail von Alex bekommt, mit dem er vor 15 Jahren in New York den besten Sommer seines Lebens hatte, an dessen Ende Alex aber plötzlich spurlos verschwunden war. Nach einigem Zögern lädt Dean seinen Ex-Freund nach Joshua Tree ein, wo er ein kleines Ferienhaus besitzt. Als sich die beiden wiederbegegnen, entflammt sofort die alte Leidenschaft. Aber mit der Vertrautheit kommen auch die Zweifel von früher – und die Fragen nach den vielen Jahren dazwischen. Wie hätte ihr Leben ausgesehen, wenn es damals anders gelaufen wäre? Am Ende des Wochenendes müssen Dean und Alex entscheiden, ob sie sich diesmal eine gemeinsame Zukunft geben.</t>
  </si>
  <si>
    <t>Auf den zweiten Blick (1989).mpg</t>
  </si>
  <si>
    <t>Auf den Hund gekommen (1989).mpg.cuts</t>
  </si>
  <si>
    <t>Auf den Hund gekommen</t>
  </si>
  <si>
    <t>Godehard Giese, Karin Hanczewski, Janine Balduin, Jan Uplegger</t>
  </si>
  <si>
    <t>Als Emil einen neuen Job braucht, nicht zuletzt weil seine Freundin Barbara sonst droht, sich von ihm zu trennen, ist er auf Sandra angewiesen, die ihm helfen könnte, doch da er damals an der Universität nicht sonderlich nett zu ihr war, nutzt sie ihr neugewonnenes Machtverhältnis aus. Nun kann er nur noch auf Benni hoffen.</t>
  </si>
  <si>
    <t>Auf den Hund gekommen (1989).mpg</t>
  </si>
  <si>
    <t>785,0 MB</t>
  </si>
  <si>
    <t>Annäherungen (1987).mpg.cuts</t>
  </si>
  <si>
    <t>Muddi - Zwölf Annäherungen an das Altern</t>
  </si>
  <si>
    <t>Erika Maria Swobodnik</t>
  </si>
  <si>
    <t>Die Mutter des Regisseurs ist 90 Jahre alt - und beginnt sich selbst zu vergessen. Nicht nur sich, auch alles andere. Sie ist dement. Nur ihr Glaube und das unermüdliche Stricken ausnahmslos blauer Socken halten sie noch am Leben. Der Regisseur, dessen Verhältnis zu seiner Mutter zeitlebens sehr angespannt war, nähert sich in diesem experimentellen und essayistischen Film der Auflösung des Ichs seiner Mutter mit Unterstützung von Didier Eribon, Simone de Beauvoir, Norbert Elias, Jean Améry u.a. und erzählt neben dieser sehr persönlichen Geschichte zugleich eine universelle Geschichte über den Prozess des Alterns, über Repressionen, aber auch Rebellionen im Umgang von und mit alternden Menschen.</t>
  </si>
  <si>
    <t>Annäherungen (1987).mpg</t>
  </si>
  <si>
    <t>Alles Theater (1986).mpg</t>
  </si>
  <si>
    <t>Millowitsch - Theater - Zufall, alles Zufall</t>
  </si>
  <si>
    <t>Willy Millowitsch, Ursula Herking, Doris Steinmüller, Katja Burow, Alexander Stephan</t>
  </si>
  <si>
    <t>deutsches TV-Stück</t>
  </si>
  <si>
    <t>Alles im Lot (1978).mpg</t>
  </si>
  <si>
    <t>Star Wars Rebels: The Siege of Lothal</t>
  </si>
  <si>
    <t>911,0 MB</t>
  </si>
  <si>
    <t>Abenteuer, Animation, Science Fiction, Action, TV-Film</t>
  </si>
  <si>
    <t>Taylor Gray, Freddie Prinze Jr., James Earl Jones, Vanessa Marshall, Tiya Sircar</t>
  </si>
  <si>
    <t>A und O Geschichten mit Auto (1988).mpg.cuts</t>
  </si>
  <si>
    <t>A und O Geschichten mit Auto (1988).mpg</t>
  </si>
  <si>
    <t>Schauspielereien - Getrennt Von Tisch Und Bett</t>
  </si>
  <si>
    <t>FE</t>
  </si>
  <si>
    <t>Fernsehfilm DDR 1988</t>
  </si>
  <si>
    <t>Schauspielereien - Der Referent (Aus Dienstreisegeschichte, DDR 1979).txt</t>
  </si>
  <si>
    <t>Schauspielereien - Das Kommt Total</t>
  </si>
  <si>
    <t>Schauspielereien  - Ausgeschlossen</t>
  </si>
  <si>
    <t>Die schönsten Schauspielereien</t>
  </si>
  <si>
    <t>Annäherungen. Schauspielereien mit Jan Josef Liefers</t>
  </si>
  <si>
    <t>Fernsehspiel</t>
  </si>
  <si>
    <t>Ete und Ali</t>
  </si>
  <si>
    <t>tt0164574</t>
  </si>
  <si>
    <t>Jörg Schüttauf, Thomas Putensen, Daniela Hoffmann</t>
  </si>
  <si>
    <t>Ete und Ali haben ihren Wehrdienst beendet, wollen aber beide nicht nach Hause. Ali graut es vor seinem langweiligen Dorf, wo ihn niemand und nichts erwartet und Ete weiß, dass seine Frau einen Liebhaber hat. Die beiden Freunde sind denkbar verschieden: Ali ist ein gutmütiger, etwas ungeschickter Riese und Ete hingegen ist eher klein von Statur, schüchtern und etwas unbeholfen. Ete würde gerne seine Frau Marita zurückgewinnen, weiß aber nicht wie er es anstellen soll. Der unternehmenslustige und tatendurstige Ali überredet ihn, den Nebenbuhler Manni auszustechen und gemeinsam machen sie sich auf den Weg. Doch die Geschichte nimmt einen ganz anderen Verlauf.</t>
  </si>
  <si>
    <t>Die Draufgänger</t>
  </si>
  <si>
    <t>Die Dokumentation stellt einige Hollywoodstars mit ihren Stunt-Doppelgängern vor und zeigt Schaunummern aus bekannten Filmen.</t>
  </si>
  <si>
    <t>Arnies Welt</t>
  </si>
  <si>
    <t>tt0764985</t>
  </si>
  <si>
    <t>Caroline Peters, Jörg Schüttauf, Enno Hesse, Bruno Schubert, Matthias Brandt</t>
  </si>
  <si>
    <t>Hannah, die Frau von Kommissar Bäumer, ist Kleptomanin und gemiedene Außenseiterin in der provinziellen Eifelkleinstadt. In der Dorfbevölkerung kennt man sich. Und jeder sorgt dafür, damit das auch so bleibt: Briefträger Enno erweitert seine Kenntnisse per Fernglas, Rita Frings hält mehr von Klatsch und Tratsch oder schreibt anonyme Briefe. Alle sind entsetzt, als der junge Kripobeamte Fischer auf einer einsamen Landstraße tödlich verunglückt. Ein Reh habe den Unfall verursacht - so jedenfalls steht es im Polizeibericht, und so erzählt es auch der Computerfreak Harald, der angeblich Zeuge des Unfalls war. Einzig Arnie, sieben Jahre alt, der während der Osterferien bei seinem Opa Frings auf dem Bauernhof zu Besuch ist, glaubt etwas anderes gesehen zu haben. Doch nur Hannah nimmt den kleinen Jungen ernst. Auch ihr Mann, Kommissar Bäumer, glaubt ihr nicht. Bis Arnie plötzlich spurlos verschwindet.</t>
  </si>
  <si>
    <t>Death Note: The Last Name</t>
  </si>
  <si>
    <t>tt0810827</t>
  </si>
  <si>
    <t>Felicitas Woll, John Light, Benjamin Sadler</t>
  </si>
  <si>
    <t>13. Februar 1945. Dresden, eine der schönsten Städte der Welt, sieht hilflos ihrer völligen Zerstörung ins Auge. Eine Nacht und einen Tag lang wirft die britische Royal Air Force zahllose Bomben ab und verursacht ein Flammeninferno, das die gesamte Stadt in Schutt und Asche legt. Mindestens 25.000 Menschen sterben. Für diese Dokumentation sind Überlebende zusammengekommen, die sich über ihre Erinnerungen an den Angriff austauschen.</t>
  </si>
  <si>
    <t>Dresden (2).mkv</t>
  </si>
  <si>
    <t>Dresden</t>
  </si>
  <si>
    <t>700,0 MB</t>
  </si>
  <si>
    <t>Drama, Dokumentarfilm</t>
  </si>
  <si>
    <t>Dokumentarfilm über die zerstörte Stadt Dresden und den beginnenden Wiederaufbau vor und nach den zerstörerischen Luftangriffen 1945. Eindrucksvoll werden die Wunden des Krieges dargestellt, parallel dazu der Wille der Bürger ihr Dresden durch Selbsthilfe wieder aufzubauen und ihr ein neues Gesicht zu geben, als Stadt der Arbeit, der Kultur und des Wohlstandes für alle Schaffenden.</t>
  </si>
  <si>
    <t>Dresden (1).mkv.cuts</t>
  </si>
  <si>
    <t>108 Byte</t>
  </si>
  <si>
    <t>Dresden (1).mkv</t>
  </si>
  <si>
    <t>624,0 MB</t>
  </si>
  <si>
    <t>Und morgen war Krieg</t>
  </si>
  <si>
    <t>Завтра была война</t>
  </si>
  <si>
    <t>Kriegsfilm</t>
  </si>
  <si>
    <t>tt0094369</t>
  </si>
  <si>
    <t>Сергей Никоненко, Nina Ruslanowa, Вера Алентова, Владимир Заманский, Ирина Чериченко</t>
  </si>
  <si>
    <t>Eine Schule irgendwo in der russischen Provinz um 1940: Den Schülern wird unbedingte Treue zur Partei und zum Vaterland eingebläut. Nachdem eine der Schülerinnen auf einer privaten Geburtstagsfeier Verse eines verruchten Dichters rezitierte und ihr Vater kurz darauf ob seiner liberalen Ansichten verhaftet wird, sieht sich plötzlich eine ganze Schulklasse mit den Schattenseiten des Systems konfrontiert...</t>
  </si>
  <si>
    <t>Sinji Galeb – Die blaue Möwe - Sechs Jungen in einem Boot</t>
  </si>
  <si>
    <t>YU</t>
  </si>
  <si>
    <t>Sherlock Holmes Edition</t>
  </si>
  <si>
    <t>KO</t>
  </si>
  <si>
    <t>Koch Media</t>
  </si>
  <si>
    <t>Rot und Schwarz</t>
  </si>
  <si>
    <t>Bagnolo - Dorf zwischen schwarz und rot</t>
  </si>
  <si>
    <t>ITA</t>
  </si>
  <si>
    <t>tt0163539</t>
  </si>
  <si>
    <t>Der skrupellose Emporkömmling Julien Sorel macht als Hauslehrer die Mutter seiner Zöglinge, Madame de Rénal, zu seiner Geliebten, verläßt sie aber, um im Kirchendienst Karriere zu machen. Aus dem Priesterseminar verjagt, wird er Sekretär bei einem Marquis und strebt die Einheiratung in den Adel an, was von Madame de Rénal verhindert wird.</t>
  </si>
  <si>
    <t>Robinson Jr.</t>
  </si>
  <si>
    <t>Robinson Crusoe Jr</t>
  </si>
  <si>
    <t>tt1499309</t>
  </si>
  <si>
    <t>Pentti Siimes, Heikki Huopainen, Ansa Ikonen</t>
  </si>
  <si>
    <t>Auf Drängen seiner Frau Magda begibt sich der Mailänder Modezar Roberto Minghelli mit ihr auf eine Kreuzfahrt. Nachdem bereits eine Übung am Tag zuvor stattgefunden hatte, verbleibt Roberto beim zweiten Alarm verschlafen in seinem Bett liegen. Am nächsten Morgen erwacht er in dem mittlerweile untergegangenen Schiff und kann sich auf eine Insel retten. Schon bald muss er feststellen, dass er sich ganz allein dort befindet und macht sich an die Erkundung der Insel.</t>
  </si>
  <si>
    <t>Norman Wisdom</t>
  </si>
  <si>
    <t>UK</t>
  </si>
  <si>
    <t>tt4221052</t>
  </si>
  <si>
    <t>Machenschaften</t>
  </si>
  <si>
    <t>tt0783749</t>
  </si>
  <si>
    <t>Friedrich Joloff, Klaus Löwitsch, Lis Verhoeven</t>
  </si>
  <si>
    <t>Der alkoholsüchtige Musiker Rheinhardt tritt eine neue Stellung bei einem rassistischen Nachrichtensender an. Ehefrau Geraldine und Nachbar Rainey verzweifeln an Rheinhardts politischer Ignoranz.</t>
  </si>
  <si>
    <t>Komm und sieh</t>
  </si>
  <si>
    <t>Komm und sieh Rudyn - Geschichten eines Tänzers aus Wien</t>
  </si>
  <si>
    <t>OMU</t>
  </si>
  <si>
    <t>tt13986368</t>
  </si>
  <si>
    <t>Friedemann Derschmidt, Rudolf Schmitz Alias Werner Rudyn, Karin Schneider</t>
  </si>
  <si>
    <t>Weißrußland, 1943. Der 14jährige Fljora schließt sich gegen den Protest seiner Mutter den Partisanen an. Für ihn ist der Krieg noch ein Kinderspiel. Als es in den Kampf geht, darf er nicht mit an die Front. Fljora soll statt dessen mit Alten und Kindern ein Reservelager einrichten. Der Junge fühlt sich alleingelassen. In den Wäldern trifft er auf das Mädchen Glascha, die Geliebte des Partisanenführers. Fljora versucht sie zu trösten, als die Hölle über beide hereinbricht: Sie sind in einen Angriff der deutschen Wehrmacht geraten! Nur knapp können die beiden dem Tod entrinnen. Aber die Schrecken haben noch kein Ende…</t>
  </si>
  <si>
    <t>Jung und unschuldig</t>
  </si>
  <si>
    <t>Young and Innocent</t>
  </si>
  <si>
    <t>tt0029811</t>
  </si>
  <si>
    <t>Nova Pilbeam, Derrick De Marney, Percy Marmont, Edward Rigby, Mary Clare</t>
  </si>
  <si>
    <t>Hitchcock variiert in diesem Film sein typisches Motiv vom unschuldig Verfolgten. Der Unglücksrabe flieht gemeinsam mit der Tochter des Polizeidirektors, bis die beiden den wahren Täter stellen.</t>
  </si>
  <si>
    <t>Janosik, der Held der Berge</t>
  </si>
  <si>
    <t>CZ</t>
  </si>
  <si>
    <t>Gute Nacht, Herr Advokat!</t>
  </si>
  <si>
    <t>Fernfahrer - Abenteuer auf Spaniens Straßen</t>
  </si>
  <si>
    <t>SPA</t>
  </si>
  <si>
    <t>Ein Haus mit tausend Gesichtern</t>
  </si>
  <si>
    <t>Edith Und Marcel</t>
  </si>
  <si>
    <t>Edith et Marcel</t>
  </si>
  <si>
    <t>FRA</t>
  </si>
  <si>
    <t>tt0085477</t>
  </si>
  <si>
    <t>Évelyne Bouix, Jacques Villeret, Francis Huster, Jean-Claude Brialy, Jean Bouise</t>
  </si>
  <si>
    <t>Die leidenschaftliche und von etlichen Enttäuschungen geprägte Liebesgeschichte der berühmten Chansonsängerin Edith Piaf alias Margot de Villedieu  mit dem damaligen Boxweltmeister Marcel Cerdan steht im Mittelpunkt dieses Films.  In den 40ern erreicht Marcel Cerdan den Höhepunkt seiner Boxkarriere. Das brave Gesicht, die lächerlich hohe Stimme, seine Frau Marinette Cerdan und seine drei Kindern, lassen kaum an dem Image eines Saubermanns zweifeln, den man zu den größten Boxern der Zeit zählt. Doch dann trifft er in New York auf die Sängerin Edith Piaf: Es ist Liebe auf den ersten Blick und der Beginn einer „vie en rose“.</t>
  </si>
  <si>
    <t>Durch Wüste und Wildnis</t>
  </si>
  <si>
    <t>W pustyni i w puszczy</t>
  </si>
  <si>
    <t>tt0070894</t>
  </si>
  <si>
    <t>Tomasz Mędrzak, Monika Rosca, Emos Bango, Malija Mekki, Stanisław Jasiukiewicz</t>
  </si>
  <si>
    <t>Um auf den Mahdi Druck auszuüben, halten die Engländer in Port Said die Schwester des Mahdi gefangen. Dennoch gelingt es ihr, mit Mahdisten einen Befreiungsplan auszuarbeiten. Die beiden Kameltreiber Gebhr und Idrys sollen die Kinder Stas und Nel Rawlison, deren Väter als Ingenieure in El Fajum Kanäle bauen, entführen und einen Austausch erreichen. Der Plan gelingt, nicht zuletzt mit Hilfe des Dieners Chamis, der mit dem Mahdi verwandt ist und dem für diesen Dienst eine hohe Belohnung zugesichert wird. Ein Sandsturm macht die Hoffnung der Väter zunichte, den Entführern zu folgen. Nach einem missglückten Fluchtversuch werden die Kinder nach Omdurman gebracht, wo Stas dem Mahdi vorgeführt wird. Der Grieche Kaliopuli, als Dolmetscher für den Mahdi unentbehrlich, will den Kindern helfen.</t>
  </si>
  <si>
    <t>Doppelt belichtet</t>
  </si>
  <si>
    <t>Double Exposure</t>
  </si>
  <si>
    <t>tt0127523</t>
  </si>
  <si>
    <t>John Bentley, Rona Anderson, Garry Marsh, Alexander Gauge, John Horsley</t>
  </si>
  <si>
    <t>Wetten, dass sich Frank und Tony ihren Coup anders vorgestellt haben? Eigentlich wollten sie nur den Manager einer Rennbahn um seine Wetteinnahmen berauben. Weil der das Geld aber in einer Tasche an sein Handgelenk ge- kettet hat, verfrachten ihn die Gauner gleich auf die Rückbank ihres Wagens und rasen davon. Doch die Geisel bringt Frank und Tony unterwegs noch jede Menge Ärger ein…</t>
  </si>
  <si>
    <t>Die tolldreisten Streiche des Dick Turpin</t>
  </si>
  <si>
    <t>Die Rache des Samurai</t>
  </si>
  <si>
    <t>J</t>
  </si>
  <si>
    <t>Im Mai 1945 arbeiten philippinische und US-amerikanische Einheiten gemeinsam gegen die japanische Besatzung des Inselstaates. Als sie dabei gegen einen hohen General der japanischen Armee vorgehen und ihn auf seinem Anwesen stellen, töten sie ihn. Seine Frau wird brutal vergewaltigt und anschließend ebenfalls umgebracht. Dies geschieht im Beisein des zehnjährigen Sohnes, der aber körperlich verschont bleibt. 33 Jahre später kommt bei einem Wiedersehenstreffen von Kriegsveteranen in Manila die Zeit seiner Rache für dieses Verbrechen.</t>
  </si>
  <si>
    <t>Die Legende von den acht Samurai</t>
  </si>
  <si>
    <t>里見八犬伝</t>
  </si>
  <si>
    <t>JAP</t>
  </si>
  <si>
    <t>tt0086244</t>
  </si>
  <si>
    <t>薬師丸ひろ子, Hiroyuki Sanada, Sonny Chiba, Minori Terada, 京本政樹</t>
  </si>
  <si>
    <t>Der böse Hikita Clan erhebt sich von den Toten und ermordet die Familie von Prinzessin Shizu, die selbst zum menschlichen Opfer des Clans werden soll. Auf sich alleine gestellt sucht Shizu nach acht legendären Samurai-Kriegern, die dazu bestimmt sind, sie zu schützen. Jeder der acht Samurai trägt einen mysteriösen Kristall bei sich, die dabei helfen können, den Fluch zu überwinden, der auf Shizus Familie liegt. Die böse Königin, mit der sie sich dabei konfrontiert sehen, badet nicht nur zum Erhalt ihrer Jugend in Blut, sondern wird auch von zahlreichen gefährlichen Kreaturen geschützt. Erst im Angesicht großer Gefahr erkennen die Samurai, dass sie ihren tödlichen Auftrag nur als Gruppe erfüllen können...</t>
  </si>
  <si>
    <t>Die Kirmes ist da</t>
  </si>
  <si>
    <t>Die Frau hinter dem Ladentisch</t>
  </si>
  <si>
    <t>Die Abenteuer des Till Ulenspiegel</t>
  </si>
  <si>
    <t>Les aventures de Till l'Espiègle</t>
  </si>
  <si>
    <t>DEFA Synchro</t>
  </si>
  <si>
    <t>tt0048970</t>
  </si>
  <si>
    <t>Gérard Philipe, Jean Vilar, Fernand Ledoux, Nicole Berger, Jean Carmet</t>
  </si>
  <si>
    <t>Die Niederlande im 16. Jahrhundert. Truppen des spanischen Königs Philipp II. halten das Land besetzt, durchziehen es brandschatzend und mordend. Sie kommen auch ins flandrische Damme, wo sich der Possenreißer Till gerade mit seiner Nele verlobt. Der Ort wird verwüstet, geplündert und Tills Vater Claes auf dem Scheiterhaufen verbrannt. Angesichts dieser grausamen Ereignisse wird aus dem Schelm Till ein leidenschaftlicher Kämpfer gegen die Okkupanten und ihren Statthalter Herzog Alba. Mit List führt er die Spanier hinters Licht, bringt ihnen empfindliche Niederlagen bei und ruft das Volk zum Widerstand auf. So rettet er auch dem Anführer der Aufständischen, dem Prinzen von Oranien, das Leben, als Alba diesen ermorden lassen will.</t>
  </si>
  <si>
    <t>Der Unverbesserliche</t>
  </si>
  <si>
    <t>F</t>
  </si>
  <si>
    <t>Defa Synchro</t>
  </si>
  <si>
    <t>tt0396914</t>
  </si>
  <si>
    <t>Alma Seidler, Ossy Kolmann, Herbert Kucera, Georg Schuchter</t>
  </si>
  <si>
    <t>Victor Vauthier versteht sich gut darauf, das Eigentum Fremder zu verscherbeln. Die junge Bewährungshelferin Marie-Charlotte will den Gauner nach dessen Entlassung aus dem Gefängnis auf den Pfad der Tugend führen, doch lässt sich dazu hinreißen, den Schurken zu unterstützen und seine Komplizin zu werden. Aus einem Museum, dessen Direktor Marie-Charlottes Vater ist, stehlen sie einen El Greco.</t>
  </si>
  <si>
    <t>Der Tag der Eule</t>
  </si>
  <si>
    <t>Il giorno della civetta</t>
  </si>
  <si>
    <t>tt0063010</t>
  </si>
  <si>
    <t>Franco Nero, Claudia Cardinale, Lee J. Cobb, Tano Cimarosa, Nehemiah Persoff</t>
  </si>
  <si>
    <t>In einer sizilianischen Kleinstadt wird ein Bauunternehmer ermordet. Alles deutet darauf hin, dass er von seiner Frau aus Eifersucht umgebracht wurde. Doch Polizeihauptmann Bellodi verlässt sich nicht auf den Anschein und vermutet, dass die Mafia ihre Finger im Spiel hat. Als er versucht, in diese Richtung zu ermitteln, stößt er gegen eine Mauer des Schweigens. Doch Bellodi lässt sich nicht beirren und versucht auch gegen den Widerstand höherer Kreise, den Fall zu lösen.</t>
  </si>
  <si>
    <t>Der Kommissar und sein Lockvogel</t>
  </si>
  <si>
    <t>Dernier domicile connu</t>
  </si>
  <si>
    <t>tt0064225</t>
  </si>
  <si>
    <t>Lino Ventura, Marlène Jobert, Michel Constantin, Paul Crauchet, Alain Mottet</t>
  </si>
  <si>
    <t>Marceau Leonetti ist ein erfolgreicher Kommissar in Paris, als seine Karriere ein plötzliches Ende findet. Nachdem er den Sprössling eines bekannten Anwalts wegen Trunkenheit am Steuer verhaften ließ, klagt dessen einflussreicher Vater gegen ihn - und bewirkt eine Strafversetzung zur Sittenpolizei. Sowohl für Leonetti als auch seine neue Kollegin, die junge Polizeiassistentin Jeanne, eine degradierende Arbeit. Doch dann bekommt das Duo den Auftrag, einen untergetauchten Zeugen in einem Mordfall aufzuspüren. Eine fast aussichtslose Suche in der französischen Metropole beginnt.</t>
  </si>
  <si>
    <t>Der Hengst Karino - Geschichte eines Rennpferdes</t>
  </si>
  <si>
    <t>Der gläserne Turm (D, 1957, Drama) DDR1 TV</t>
  </si>
  <si>
    <t>Der gläserne Turm</t>
  </si>
  <si>
    <t>Lilli Palmer, O.E. Hasse, Peter van Eyck, Brigitte Horney, Hannes Messemer</t>
  </si>
  <si>
    <t>Katja Fleming hat ihren Beruf als Schauspielerin aufgegeben und den Unternehmer Robert Fleming geheiratet. Doch die Kälte, die sie in ihrem modernen, luxuriösen Hochhaus umgibt, macht sie einsam. Dann begegnet sie dem Autor John Lawrence, der sie überzeugen will, in seinem neuen Theaterstück aufzutreten.</t>
  </si>
  <si>
    <t>Der gezähmte Widerspenstige</t>
  </si>
  <si>
    <t>Il bisbetico domato</t>
  </si>
  <si>
    <t>tt0080439</t>
  </si>
  <si>
    <t>Adriano Celentano, Ornella Muti, Edith Peters, Pippo Santonastaso, Jimmy il Fenomeno</t>
  </si>
  <si>
    <t>Elia ist ein wohlhabender Winzer, doch man merkt es ihm nicht an, denn er ist eigensinnig, starrköpfig, schräg und ungehobelt noch dazu. Die Versuche seiner Haushälterin Mamie, eine passende Braut für den widerstrebenden Junggesellen zu finden, enden in Katastrophen. So ist es nicht ungewöhnlich, dass auch die schöne Lisa, die eines Nachts regennaß vor seiner Tür steht, nicht eben willkommen ist. Doch das Mädchen ist nicht die schicke Modepuppe, als die sie erscheint. Wild entschlossen, diesen ungehobelten Typen zu knacken, gibt sie ihr Bestes.</t>
  </si>
  <si>
    <t>Der Fremde im Regenwald</t>
  </si>
  <si>
    <t>アフリカ物語</t>
  </si>
  <si>
    <t>tt0081987</t>
  </si>
  <si>
    <t>James Stewart, Philip Sayer, Heekura Simba, Kathy, Eleonora Vallone</t>
  </si>
  <si>
    <t>Das Rote Zelt</t>
  </si>
  <si>
    <t>Красная палатка</t>
  </si>
  <si>
    <t>tt0067315</t>
  </si>
  <si>
    <t>Peter Finch, Sean Connery, Claudia Cardinale, Hardy Krüger, Эдуард Марцевич</t>
  </si>
  <si>
    <t>Am 25. Mail 1928 stürzt der italienische Konstrukteur Umberto Nobile mit seinem Luftschiff Italia auf dem Rückweg vom Nordpol ab. Doch die überlebenden können sich in ein Zelt retten, welches sie rot anstreichen, um vielleicht doch entdeckt zu werden.</t>
  </si>
  <si>
    <t>Das Krankenhaus am Rande der Stadt</t>
  </si>
  <si>
    <t>CS</t>
  </si>
  <si>
    <t>Krankenhausserie</t>
  </si>
  <si>
    <t>Curro Jimenez</t>
  </si>
  <si>
    <t>Avisa a Curro Jiménez</t>
  </si>
  <si>
    <t>tt0077192</t>
  </si>
  <si>
    <t>Sancho Gracia, José Sancho, Álvaro de Luna</t>
  </si>
  <si>
    <t>Córdoba, Spanien. Lord Killarney, Vertreter des Britischen Museums, erwirbt auf einer Auktion eine arabische Inkunabel; er wird jedoch ermordet und das Buch verschwindet. Der Verdacht fällt auf El Lince, einen Antiquitätenhändler mit zwielichtigem Hintergrund, der seinen Neffen bittet, Curro Jiménez zu warnen.</t>
  </si>
  <si>
    <t>Chefinspektor Kaga – Flughafenpolizei Tokio</t>
  </si>
  <si>
    <t>JPN</t>
  </si>
  <si>
    <t>Polizeiserie</t>
  </si>
  <si>
    <t>Billy the Kid</t>
  </si>
  <si>
    <t>tt0020693</t>
  </si>
  <si>
    <t>Johnny Mack Brown, Wallace Beery, Kay Johnson</t>
  </si>
  <si>
    <t>Zweite Liebe – ehrenamtlich</t>
  </si>
  <si>
    <t>Zweite Liebe - ehrenamtlich</t>
  </si>
  <si>
    <t>tt1896863</t>
  </si>
  <si>
    <t>Gojko Mitic, Renate Blume, Harry Pietzsch</t>
  </si>
  <si>
    <t>Der Sport ist für Peter Papenbold eine große Leidenschaft. Seine Frau Gitte hat manchmal den Eindruck, dass er nicht mit ihr, sondern mit seiner Aufgabe als Übungsleiter verheiratet ist. Doch letztlich bringt sie immer wieder Verständnis dafür auf, wenn er fast seine ganze freie Zeit seinen Nachwuchstalenten widmet - ja, sie ist in gewisser Weise sogar stolz auf ihn, mit welcher Liebe und Einsatzbereitschaft er sich dieser ehrenamtlichen Aufgabe verschreibt, zumal er schon unter den Kindern im Kindergarten nach Talenten sucht, die vielleicht später zu den Olympischen Spielen fahren können.</t>
  </si>
  <si>
    <t>Zugvogel am Sund</t>
  </si>
  <si>
    <t>tt0380831</t>
  </si>
  <si>
    <t>Walter Plathe, Peter Cwielag, Martina Servatius</t>
  </si>
  <si>
    <t>Ekke, der zu Hause alles hingeschmissen hat und nun auf Urlaub und "Mädchenbegucken" aus ist, schleicht sich auf Karstens Mitfahrgelegenheit nach Stralsund ein. Der fängt auf der Volkswerft als Schweißer an und träumt von der Seefahrt in die weite Welt. Dem "blinden Passagier" Ekke verhilft er zu Arbeit als Schlosser auf der Werft. Die Kaderleitung delegiert Ekke gleich zum Schweißerlehrgang. Auf der "Fritz Heckert" teilen sich die beiden neuen Freunde eine Kabine mit Paddy.</t>
  </si>
  <si>
    <t>Wolf unter Wölfen</t>
  </si>
  <si>
    <t>Wir sind doch keine lahmen Enten</t>
  </si>
  <si>
    <t>Kinderfilm</t>
  </si>
  <si>
    <t>tt0096452</t>
  </si>
  <si>
    <t>Tobias Blume, René Hahn, Heinz Hupfer</t>
  </si>
  <si>
    <t>Nun sind endlich die Sommerferien herangekommen. Marco (Tobias Blume) und Tobi (René Hahn) haben vorab viele Pläne geschmiedet, die aus ihrer Sicht geeignet sind, die gesamten acht Wochen Ferien entsprechend abwechslungsreich und unter Jungs zu gestalten. Dann aber kommt die “schlechte” Nachricht: Marco soll für eine Zeit in ein Ferienlager ins Erzgebirge fahren. Was ist nun mit den schönen Vorhaben der beiden?</t>
  </si>
  <si>
    <t>Weiße Wolke Carolin</t>
  </si>
  <si>
    <t>tt0090306</t>
  </si>
  <si>
    <t>Andreas Roll, Constanze Berndt, Kirsten Rolletschek</t>
  </si>
  <si>
    <t>Hannes Wittspeck besucht die fünfte Klasse im Dorf Boddenhagen am Greifswalder Bodden. Er ist mit der gleichaltrigen Carolin befreundet und verliebt sich schließlich in sie. Er vergleicht sie mit einer weißen Wolke am Himmel und erinnert sich beim Blick in die Wolken immer wieder an sie. Die Klassenlehrerin akzeptiert die erste Liebe zwar, war sie beim ersten Verliebtsein doch auch erst zwölf Jahre alt, doch erhält Hannes nun öfter Tadel, weil er im Unterricht unaufmerksam ist oder durch trotzige Antworten stört. Carolins Mutter ist mit der Beziehung einverstanden, Hannes’ Mutter reagiert eher gereizt, während der Vater Hannes freundschaftlich helfen will. Bald hat Hannes ersten Liebeskummer, da die aktive Pionierin Carolin ihre Freizeit oft mit Benno verbringt.</t>
  </si>
  <si>
    <t>Warum kann ich nicht artig sein</t>
  </si>
  <si>
    <t>Warum kann ich nicht artig sein?</t>
  </si>
  <si>
    <t>tt0185761</t>
  </si>
  <si>
    <t>Michael Hunger, Holm Endler, Katrin Zuhrt</t>
  </si>
  <si>
    <t>Andreas Hoppe ist das schwarze Schaf seiner Klasse. Ständig vergisst er etwas und bekommt jede Menge Eintragungen von seiner Lehrerin. Er baut einen Fahrradunfall und dann verschwindet auch noch Geld aus Andreas Federtasche. Er fragt sich, warum er nicht artig sein kann wie die anderen Kinder. Zum Glück halten seine Eltern, seine Schulfreunde und ein verständnisvoller Lastwagenfahrer zu ihm und helfen Andreas aus der Klemme.</t>
  </si>
  <si>
    <t>Vorspiel</t>
  </si>
  <si>
    <t>tt0376966</t>
  </si>
  <si>
    <t>Hendrik Duryn, Susanne Hoss, Antje Straßburger</t>
  </si>
  <si>
    <t>Tom, 17 Jahre alt, Dekorationslehrling und ziemlich schüchtern, träumt von der großen Liebe. Mit der kunstbefliessenen Corinna scheint sie ihm tatsächlich über den Weg zu laufen. Um ihr näher zu kommen, übt er mit ihr das "Vorspiel" an der Schauspielschule. Eine Kleinstadt an der Elbe: Die erste große Liebe als Ouvertüre zu all den Kämpfen, die man ein Leben lang auszufechten hat. Der siebzehnjährige Dekorationslehrling Tom gehört zu einer Clique Jugendlicher in einer kleinen Stadt. Während der Anführer Major mit seinem Moped versucht, den Mädchen zu imponieren, träumt Tom von der großen Liebe. Die begegnet ihm plötzlich in Gestalt von Corinna, die mit ihrem Vater, einem Museumsdirektor, aus Berlin zugezogen ist. Tom denkt sich kuriose Dinge aus, um sich bei Corinnas Vater ins rechte Licht zu setzen.</t>
  </si>
  <si>
    <t>Viechereien</t>
  </si>
  <si>
    <t>tt0076882</t>
  </si>
  <si>
    <t>Agnes Kraus, Wolfgang Penz, Fred Mahr</t>
  </si>
  <si>
    <t>Alma Krause ist stolze Besitzerin eines reinrassigen französischen Bullys. Auch sonst pflegt und hegt sie etliche Zwei- und Vierbeiner in ihrer Wohnung ganz so, wie man es von einer Tierarztwitwe erwartet. Ihr Neffe Heinz ist dagegen etwas aus der Art geschlagen. Nicht was die Liebe zu Tieren betrifft, das würde auch schlecht zu einem werdenden Tierarzt passen, aber für eine Kleintierpraxis, wie sie der selige Onkel betrieb, scheint er gar keine Ambitionen zu haben. Eine Zukunft als "Bazillenscheuche" im Kuhstall…</t>
  </si>
  <si>
    <t>Verbotene Liebe</t>
  </si>
  <si>
    <t>Jugendfilm</t>
  </si>
  <si>
    <t>tt0384650</t>
  </si>
  <si>
    <t>Magda Sonja, Evi Eva, Paul Otto, Gerd Briese</t>
  </si>
  <si>
    <t>Die dreizehnjährige Barbara und der achtzehnjährige Oberschüler Georg kennen sich schon lange. Sie sind Nachbarn und verstehen sich gut. Aus der Freundschaft wächst mit der Zeit eine tiefe Liebe. Da Barbara jedoch noch minderjährig ist, ist diese Beziehung in den Augen der Umwelt verwerflich. Nachdem die beiden das erste Mal in einem leerstehenden Haus miteinander geschlafen haben, glauben sogar ein paar Jugendliche, sie könnten Barbara als Freiwild ansehen und versuchen sie zu vergewaltigen. Auch mit den Eltern gibt es große Probleme. Vor allem die Väter der Beiden sind schon lange verfeindet. Georgs Vater kam mit einer Kampagne der frühen DDR "Arbeiter aufs Land" in das Dorf, der Idealismus ist nun jedoch Lethargie bis Verbitterung gewichen, insbesondere auch angesichts der materiellen Erfolge von Barbaras Vater (dem Nachbarn).</t>
  </si>
  <si>
    <t>Unser kurzes Leben</t>
  </si>
  <si>
    <t>tt0081690</t>
  </si>
  <si>
    <t>Simone Frost, Hermann Beyer, Gottfried Richter</t>
  </si>
  <si>
    <t>Franziska Linkerhand, eine junge Diplomarchitektin, verlässt nach ihrer gescheiterten Ehe freiwillig das Team ihres berühmten Professors und will noch einmal von vorn anfangen. Sie sucht das Risiko ausgerechnet in der Provinz. Franziska ist kompromisslos, zugleich voller Träume und Ideale. So bewegt sie sich zwischen künstlerischen Wunschvorstellungen und gesellschaftlichen Wirklichkeitserfahrungen, ohne vor dem nüchternen Realismus zu kapitulieren.</t>
  </si>
  <si>
    <t>Unser bester Mann</t>
  </si>
  <si>
    <t>tt0368392</t>
  </si>
  <si>
    <t>Heinz Rennhack, Werner Senftleben, Willi Schrade</t>
  </si>
  <si>
    <t>Um auszuhelfen, schicken Erfurter Bauleute ihren "besten Mann" nach Berlin, wo er bereits händeringend von Bauleiter Winkelmann und seiner Brigade erwartet wird. Doch der Einstand des landesweit viel gepriesenen Vegesack fällt ganz und gar anders aus, als es sich Winkelmann und seine Männer vorgestellt haben. Nicht nur, dass bei dem Neuen Privat vor Katastrophe geht, weil der nämlich glaubt, in der Raststättenbekanntschaft Petra die Dame seines Herzens gefunden zu haben, es läuft auch alles, was er auf dem Bau anfasst, schief. Otto Vegesack wurde qualifiziert und qualifiziert, hat aber schlichtweg keine Ahnung. Die Brigade ist sauer, hat sie doch mit ihm auf eine Prämie gehofft. Auch mit Petra läuft es nicht so, wie es sich Otto erhofft hat. Fast hätte Otto schon aufgegeben, wären da nicht seine nette Quartiermutter und der verständnisvolle Rentner Karl Bethge.</t>
  </si>
  <si>
    <t>Und nächstes Jahr am Balaton</t>
  </si>
  <si>
    <t>tt0081680</t>
  </si>
  <si>
    <t>Gudrun Ritter, Peter Bause, Fred Delmare, Günter Schubert, René Rudolph</t>
  </si>
  <si>
    <t>Jonas und Ines, er Arbeiter, sie Studentin, wollen zu zweit in Urlaub fahren, doch die Eltern drängen den beiden einen Familienurlaub mit ihnen in Nessebar auf. Bereits im Zug scheitert das Unternehmen, weil Jonas und Ines Verlobungsringe tragen sollen - der Leute wegen. Jonas steigt aus, Ines bleibt. So trampt der Junge nach Süden, trifft unterwegs seine Kollegen aus seiner Werkstatt und nette Mädchen, trennt sich wieder von ihnen. Mit der Holländerin Shireen reist er dann eine Strecke gemeinsam - bis zur türkischen Grenze. Sie will nach Indien zur Sekte Tantra, er trampt zurück nach Nessebar. Hier trifft er Ines wieder, allein. Deren Eltern kommen jedoch auch noch an. Den Vater hielt ein unterwegs geklauter Koffer auf, die Mutter hat beim Zeitungskauf den Zug verpaßt und ist ebenfalls getrampt. Der gemeinsame Urlaub findet nun doch statt.</t>
  </si>
  <si>
    <t>und ich dachte, du magst mich</t>
  </si>
  <si>
    <t>...und ich dachte, du magst mich</t>
  </si>
  <si>
    <t>tt0175410</t>
  </si>
  <si>
    <t>Ulrike Dräger, Sören Lißner, Cindy Scholp</t>
  </si>
  <si>
    <t>Schon im Bus auf der Fahrt ins Ferienlager gefällt der elfjährigen Lena der ein Jahr ältere Wolfgang. Auch die eitle Antonia hat ein Auge auf ihn geworfen, doch Wolfgang erwidert Lenas Lächeln. Eine Freundschaft bahnt sich an. Im Gegensatz zu der jungen Betreuerin Susanne haben Heimleiter Eichler und Lehrerin Busse wenig Verständnis für die Gefühlsregungen der Kinder. Als Lena und Wolfgang sich von den anderen absondern, werden sie in verschiedene Gruppen gesteckt. Lena protestiert beim Heimleiter. Der Konflikt spitzt sich während einer Disco-Veranstaltung zu, und Lena läuft weg. Die Suchaktion bleibt erfolglos. Nur Wolfgang ahnt, wo sie ist. Er bringt sie zurück.</t>
  </si>
  <si>
    <t>Trutz</t>
  </si>
  <si>
    <t>tt0103131</t>
  </si>
  <si>
    <t>Bernd Michael Lade, Volker Ranisch, Claudia Stanislau</t>
  </si>
  <si>
    <t>Trampen nach Norden</t>
  </si>
  <si>
    <t>tt0350227</t>
  </si>
  <si>
    <t>Axel Kaboth, Silvia Mißbach, Walfriede Schmitt</t>
  </si>
  <si>
    <t>Gunnar hat eine große Klappe und trampt mit dem Seesack seines Bruders von Berlin bis nach Rostock. Gleich zu Beginn seines Trips trifft er auf die wohlerzogene Teresa, mit der er zusammen die Reise in einem Uraltmotorad fortsetzt. Auf der folgenden abenteuerlichen Tour, die mit vielen Hindernissen verbunden ist, begegnen ihnen die unterschiedlichsten Menschen. Da wären z.B. ein Pastor  auf dem Weg zu einem Sterbenden, ein Schauspieler mit Autopanne oder der zwielichtige Mercedes-Hurtig</t>
  </si>
  <si>
    <t>Suse, liebe Suse</t>
  </si>
  <si>
    <t>tt0073771</t>
  </si>
  <si>
    <t>Hannelore Appe, Rose Becker, Karin Beewen</t>
  </si>
  <si>
    <t>Wegen Republikflucht sitzt Manne in Haft. Er hat seine Frau Suse sitzen gelassen, die als Findelkind aufgewachsen ist und sowieso Zeit ihres Lebens gezwungen war, für sich allein zu sorgen. Nun kümmert sie sich allein um die Erziehung des gemeinsamen Kindes und arbeitet auf einer Großbaustelle als Dumperfahrerin. Dort fesselt der sowjetische Ingenieur Boris ihre Aufmerksamkeit, scheint aber ihre Gefühle nicht zu erwidern. Erst auf dem Faschingsball kommen sich die beiden näher, und sie schöpft Hoffnung. Als Manne, aus der Haft entlassen, zu Suse und dem Kind zurückkehren will, weist sie ihn zurück und bricht zu einem Studienaufenthalt in die Sowjetunion auf. Sie ist sich sicher, ihren Weg ohne ihn gehen zu müssen. Doch ob ihre Gefühle für Boris eine Chance haben, will sie nun herausfinden.</t>
  </si>
  <si>
    <t>Stielke, Heinz, fünfzehn…</t>
  </si>
  <si>
    <t>Stielke, Heinz, fünfzehn</t>
  </si>
  <si>
    <t>Kriegsdrama</t>
  </si>
  <si>
    <t>tt0094039</t>
  </si>
  <si>
    <t>Marc Lubosch, Gert Gütschow, Berthold Schulze, Heide Kipp, Rolf Ludwig</t>
  </si>
  <si>
    <t>Beschreibung_x000D_ Der Junge Heinz Stielke aus Berlin ist ein fanatisches Vorzeigemitglied der Hitlerjugend. Doch eine schockierende neue Enthüllung stellt sein ganzes Leben auf den Kopf: Sein Vater ist zwar im Krieg als Held gefallen, doch er war Jude. Kurz darauf kommt auch seine Mutter bei einem Bombenangriff ums Leben. Das halbjüdische Kind verliert seine Freunde und wird von der Schule verwiesen. Eine Laubenkolonie ist sein letzter Zufluchtsort...</t>
  </si>
  <si>
    <t>Spurensucher</t>
  </si>
  <si>
    <t>Sportfilm</t>
  </si>
  <si>
    <t>tt0337233</t>
  </si>
  <si>
    <t>Giso Weißbach, Ellen Rappus, Eberhard Mellies, Helmut Schreiber</t>
  </si>
  <si>
    <t>Uwe Meinhart ist ein talentierter Skilangläufer, der mit großer Disziplin auf seine sportlichen Ziele hinarbeitet. Allerdings ist er auch vom Unglück verfolgt: Skibruch, Verletzungen bei Unfällen sowie Krankheiten machen ihm das Leben schwer und durchkreuzen immer wieder seine ehrgeizigen Pläne. Doch Meinhart lässt sich von solchen Rückschlägen und Widrigkeiten nicht unterkriegen. Nach jedem Sturz steht er wieder auf und kehrt zurück auf die Loipe – unterstützt von seinem Trainer Paul Senne, der fest an ihn glaubt.</t>
  </si>
  <si>
    <t>Soviel Wind und keine Segel</t>
  </si>
  <si>
    <t>tt0814326</t>
  </si>
  <si>
    <t>Günter Schubert, Renate von Wangenheim, Fred Delmare, Heinz Behrens, Jürgen Zartmann</t>
  </si>
  <si>
    <t>Für einen hochseetüchtigen Segler werben die Wassersportenthusiasten der Genossenschaft um finanzielle Unterstützung. Doch beim Vorstand treffen die Bitten auf taube Ohren. Lediglich Hauptbuchhalterin Irma hat Feuer gefangen: für das Segeln und Freizeitkapitän Ali. Ein überraschender Ministerbesuch scheint ihr die Gelegenheit, Vorsitzenden Fritz Scheffel dem Ansinnen gewogener zu machen. Scheffel will nämlich die Fürsprache des Ministers erlangen in einer Auseinandersetzung um Weideflächen mit der benachbarten Pflanzenproduktion. Den Minister zu beeindrucken, wird Vorstandsmitglied Arno beauftragt. Er soll unverzüglich eine Betriebssportgemeinschaft ins Leben zu rufen. Aber bei der Gründung einer Sektion Segeln stellt sich Scheffel weiterhin stur.</t>
  </si>
  <si>
    <t>So ein Bienchen</t>
  </si>
  <si>
    <t>tt0479541</t>
  </si>
  <si>
    <t>Sabine Merten, Dietmar Richter-Reinick, Gudrun Ritter</t>
  </si>
  <si>
    <t>Bienchen liebt ihren großen Bruder Lutz über alles. Doch dann merkt sie, dass er ihr nicht immer die Wahrheit sagt. Und zu Bienchens großem Kummer trennt sich Lutz auch noch von seiner langjährigen Freundin Anke. Das will Bienchen nicht hinnehmen, weshalb sie zusammen mit ihrem Schulfreund Lampe allerlei unternimmt, um den alten Zustand wieder herzustellen. Doch die Streiche wie bei »Max und Moritz« gehen nach hinten los.</t>
  </si>
  <si>
    <t>Silvesterpunsch - DDR Film 1960</t>
  </si>
  <si>
    <t>Sieben Sommersprossen</t>
  </si>
  <si>
    <t>tt0078264</t>
  </si>
  <si>
    <t>Kareen Schröter, Harald Rathmann, Christa Löser, Evelyn Opoczynski, Jan Bereska</t>
  </si>
  <si>
    <t>Nachdem sie früher einmal im selben Haus gewohnt hatten, treffen sich die 14-jährige Karoline und der 15-jährige Robbi nach längerer Zeit in einem Ferienlager wieder. Mit der Zeit entwickelt sich eine erste Liebe zwischen den Beiden. Doch es gibt viele Hindernisse für sie. Der Tagesablauf ist streng reglementiert. Die Lagerleiterin ist streng und interessiert sich nur für die körperliche Ertüchtigung. Gefühle – vor allem die der jungen Menschen untereinander – versteht sie nicht. Deshalb ist sie zunächst auch dagegen, dass der Betreuer Herr Benedikt, der als Einziger Verständnis für die jungen Menschen hat, mit den Jugendlichen das Stück Romeo und Julia für die benachbarte LPG aufführt. Doch auch innerhalb der Gruppe von Jugendlichen sind sich nicht alle Grün. So hat das Mädchen Marlene selbst ein Auge auf Robbi geworfen und versucht, die Beziehung der Beiden zu sabotieren.</t>
  </si>
  <si>
    <t>Seitensprung</t>
  </si>
  <si>
    <t>tt0217790</t>
  </si>
  <si>
    <t>Renate Geißler, Uwe Zerbe, Tobias Zander</t>
  </si>
  <si>
    <t>Edith und Wolfgang führen seit vielen Jahren ein recht harmonisches Familienleben in relativem Wohlstand – mit Neubauwohnung und Trabant. Der gemeinsame Sohn ist fünf Jahre alt. Den Seitensprung Wolfgangs, aus dem eine Tochter hervorgegangen ist, hat Edith längst verwunden. Hin und wieder besucht Wolfgang die 12-jährige Sandra, um seinen Vaterpflichten nachzukommen. Doch plötzlich steht das Mädchen vor der Tür. Ihre Mutter ist tödlich verunglückt. Sandra wird von der Familie aufgenommen, und Edith erfährt, dass Wolfgang in all den Jahren ein Doppelleben geführt und das Verhältnis zu Sandras Mutter nie beendet hat. Edith stellt ihn vor die Entscheidung: sie oder Sandra.</t>
  </si>
  <si>
    <t>Seegeschichten</t>
  </si>
  <si>
    <t>tt1891907</t>
  </si>
  <si>
    <t>Gaby Jäh, Volkmar Kleinert, Peter Köhncke, Sabine Lorenz</t>
  </si>
  <si>
    <t>Wenn zwei eine Schiffsreise unternehmen, dann können sie `was erzählen. In diesem Fall sind es Otto (Volkmar Kleinert), ein zerstreuter Wissenschaftler, und Edgar (Thomas Lück), ein kesser Berliner, der als frischgebackener Decksmann seine erste Reise erleben sollte. Und diese Schiffsreise führte die beiden und die Besatzungsmitglieder der "MS Fürstenberg" von Rostock bis in ein Urwalddorf nach Ghana. Natürlich sind an Bord und auf dem afrikanischen Kontinent diverse Abenteuer zu bestehen, die dem heiteren Streifen die richtige Würze geben. Aber die Schiffsköchin Fee (Sabine Lorenz) ist zum Glück an der Seite von Otto und Edgar und sorgt letztlich dafür, dass zu guter Letzt alles gut ausgeht.Dabei hatten die Filmcrew als auch die Besatzung des Schiffes aber stets eines im Blickwinkel: der Film sollte frei sein von noch eventuell vorhandener Seefahrerromantik, er sollte das Leben an Bord , wo Menschen auf engstem Raum miteinander leben und arbeiten, so zeigen, wie es ist.</t>
  </si>
  <si>
    <t>Schwester Agnes</t>
  </si>
  <si>
    <t>tt0187488</t>
  </si>
  <si>
    <t>Agnes Kraus, Jochen Thomas, Micaela Kreißler</t>
  </si>
  <si>
    <t>Schwester Agnes die engagierte Gemeindeschwester mit echt Berliner Schnauze ist ständig mit ihrem Moped unterwegs, um die Einwohner Krumbachs und der anliegenden Gemeinden zu betreuen. Sie versucht in allen Lebenslagen zu helfen, womit sie sich nicht nur Freunde schafft. Momentan hat sie sich mit dem neuen Bürgermeister überworfen, weil sie dessen neues Sportprogramm übertrieben findet. Als sie der schwangeren Kati  und ihrem Freund Frank eigenmächtig eine Wohnung verspricht, ist das Maß voll...</t>
  </si>
  <si>
    <t>Scheusal</t>
  </si>
  <si>
    <t>tt0303013</t>
  </si>
  <si>
    <t>Werner Dissel, Peter Hladik, Karl Heinz Oppel, Wilfried Pucher</t>
  </si>
  <si>
    <t>Vor drei Jahrzehnten traten sie als Schlagerquartett "Altmarkspatzen" auf und fühlten sich großartig vor den Scheinwerfern der gerade in Mode gekommen Fernsehkameras._x000D_ Nun führt ein überraschendes Telegramm die vier Schwestern Carla, Christiane, Constanze und Corinna nach langer Zeit wieder zusammen. Sie werden an das Krankenbett ihres Vaters gerufen._x000D_ Da werden Erinnerungen wach, Lebenslinien zurück verfolgt, Geständnisse gewagt. Sprachlos stehen die vier Frauen vor den Lügen, an denen auf fatale Weise auch ihre Mutter Schuld trägt.</t>
  </si>
  <si>
    <t>Sabine Kleist, 7 Jahre</t>
  </si>
  <si>
    <t>Sabine Kleist, 7 Jahre...</t>
  </si>
  <si>
    <t>tt0084623</t>
  </si>
  <si>
    <t>Petra Lämmel, Simone von Zglinicki, Martin Trettau</t>
  </si>
  <si>
    <t>Seit dem Unfalltod ihrer Eltern lebt Sabine im Heim. Als die Erzieherin Edith, die ihr zur zweiten Mutter geworden ist, wegen der Geburt ihres eigenen Kindes ihre Arbeit aufgibt, läuft Sabine aus dem Heim weg. Zwei Tage und zwei Nächte ist sie in Berlin unterwegs, sucht Kontakte zu anderen Menschen. Sie gerät in einen Zirkus, an einen pensionierten Arbeiterveteranen, auf eine Dampferfahrt und in eine Kirche. Sie sucht Anschluss, hilft auch anderen - zum Beispiel einem kleinen polnischen Jungen, der seine Eltern aus den Augen verloren hat. Und sie begreift, dass die Beziehungen, die sie knüpft, nicht von Dauer sein können. Sie geht zurück ins Heim, das sie als ihr Zuhause erkennt.</t>
  </si>
  <si>
    <t>Rotfuchs</t>
  </si>
  <si>
    <t>tt0124100</t>
  </si>
  <si>
    <t>Angelika Waller, Jürgen Zartmann, Günter Naumann</t>
  </si>
  <si>
    <t>Briefträgerin Eva ist Ende zwanzig, unverheiratet und Mutter eines zwölfjährigen Sohns. Sie verliebt sich in den Binnenschiffer Jon ­ der leider schon verlobt ist. Das spornt Eva dazu an, ihr Leben umzukrempeln. Sie wechselt den Job und ändert ihr Aussehen. Das Glück scheint perfekt, als Eva schwanger wird…</t>
  </si>
  <si>
    <t>Robinsons Hütte</t>
  </si>
  <si>
    <t>tt0375015</t>
  </si>
  <si>
    <t>Josephine Hellmund, René Kulschewski, Madeleine Lierck</t>
  </si>
  <si>
    <t>Die achtjährige Andrea, genannt Mücke, ihr Bruder Thomas und deren Eltern beabsichtigen, den diesjährigen Jahreswechsel einmal ganz anders zu feiern. Sie haben eine Jagdhütte in den Bergen angemietet und wollen hier ihre ganz spezielle Fete zu Silvester veranstalten. Doch dann zieht ein Schneesturm auf, dessen Auswirkungen so extrem sind, dass die Hütte von der Außenwelt abgeschnitten wird. Nun sind Eltern und Kinder ganz auf sich allein gestellt, man kann endlich  einmal viel Zeit miteinander verbringen. Doch wie man dies bewerkstelligen kann, da gehen die Ansichten der vier auseinander, und es kommt sogar zu Streitereien. Natürlich müssen sie sich auch damit befassen, wie man eine nicht absehbare Zeit ohne Kontakt zur Außenwelt “überstehen” kann.</t>
  </si>
  <si>
    <t>Polizeiruf 110 - Drei Flaschen Tokajer</t>
  </si>
  <si>
    <t>Polizeiruf 110 - Der Fund</t>
  </si>
  <si>
    <t>Polizeiruf 110 - Das habe ich nicht gewollt</t>
  </si>
  <si>
    <t>Plantagenstraße 19</t>
  </si>
  <si>
    <t>tt0386720</t>
  </si>
  <si>
    <t>Erwin Geschonneck, Annekathrin Bürger, Horst Drinda</t>
  </si>
  <si>
    <t>Der ganz normale Alltag in einem Mietshaus in der Plantagenstraße in Ost-Berlin wird gestört, als der Lastwagen mit den Möbeln der neuen Mieter vorfährt. Und zu denen gehören zwei kleine Kinder - ausgerechnet jetzt, wo gerade die Frau des alten Matuschke gestorben ist und man doch eigentlich Rücksicht auf den Witwer nehmen müsste. Noch schlimmer ist für Frau Tillack jedoch, dass die gesamte Männerwelt hinter ihrer 16-jährigen Tochter Katrin her zu sein scheint.</t>
  </si>
  <si>
    <t>Philipp, der Kleine</t>
  </si>
  <si>
    <t>tt0075063</t>
  </si>
  <si>
    <t>Fred Delmare, Petra Kelling, Horst Papke</t>
  </si>
  <si>
    <t>Philipp ist zu klein für sein Alter und erntet häufig den Spott seiner Kameraden, wenn er beispielsweise in der Schule kaum an die Tafel reicht. Er träumt davon, große Taten zu vollbringen, um die Achtung der anderen zu gewinnen. Als er seine Flöte verliert, bekommt er von einem Mann eine neue geschenkt - eine Wunderflöte.</t>
  </si>
  <si>
    <t>Pause für Wantzka</t>
  </si>
  <si>
    <t>Papas Neue Freundin</t>
  </si>
  <si>
    <t>Papas neue Freundin</t>
  </si>
  <si>
    <t>tt0054155</t>
  </si>
  <si>
    <t>Peter Herden, Helga Raumer, Eberhard Schaletzky</t>
  </si>
  <si>
    <t>Der junge Medizinstudent Klaus Bach hat seine große Liebe, Irene, geheiratet und wohnt mit ihr und dem ewig schreienden Sprössling in einer kleinen Einzimmerwohnung im Haus seiner Eltern. Es geht also eng zu und die Nerven aller Beteiligten sind zum Zerreißen gespannt. Noch dazu, dass die Eltern mit gut gemeinten Ratschlägen das Eheglück des jungen Paares empfindlich stören._x000D_ Als dann auch noch Klaus seine Frau mit Eifersüchteleien verfolgt, hat Irene die Nase voll, schnappt sich ihren kleinen Sohn und sucht das Weite. Doch Irene hat den Familiengeist der Bachs unterschätzt. So leicht entkommt man nicht. Mit viel Fantasie und nicht alltäglichen, dafür umso komischeren Aktionen, holen die Bachs Irene in den Kreis der Familie zurück.</t>
  </si>
  <si>
    <t>Oh diese Tante</t>
  </si>
  <si>
    <t>Oh, diese Tante</t>
  </si>
  <si>
    <t>tt0078019</t>
  </si>
  <si>
    <t>Agnes Kraus, Fred Mahr, Wolfgang Penz</t>
  </si>
  <si>
    <t>Heinz ist inzwischen wohlbestallter Tierarzt in Klückow und bei seiner Jana in recht festen, wenn auch zunächst noch nicht immer gegenwärtigen Händen. Und nun - da Tante Alma die Sorge um den geliebten Neffen langsam los wird - sieht Dr. Kröpelin endlich seine Chance für gekommen: Er macht Alma einen…</t>
  </si>
  <si>
    <t>Oben geblieben ist noch keiner</t>
  </si>
  <si>
    <t>tt0186407</t>
  </si>
  <si>
    <t>Heinz Rennhack, Solveig Müller, Alfred Struwe</t>
  </si>
  <si>
    <t>Willi Zubrodt wird von seiner Abteilung zu einem Fallschirmspringerlehrgang bei der GST delegiert. Da er es mit der Disziplin nicht so genau nimmt, keinen Respekt vor den Ausbildern hat und sich nicht ins Kollektiv einordnet, versuchen die Ausbilder ihn vorzuführen und so seinen Rauswurf aus dem Lehrgang zu forcieren. Die Versuche, ihm in Theorie und Körperkondition Lücken nachzuweisen, misslingen allerdings gründlich. Zubrodt gelingt es jedes Mal den Spieß umzudrehen.</t>
  </si>
  <si>
    <t>Nikolaikirche</t>
  </si>
  <si>
    <t>tt0113985</t>
  </si>
  <si>
    <t>Barbara Auer, Ulrich Matthes, Daniel Minetti</t>
  </si>
  <si>
    <t>Erzählt wird die Geschichte einer Leipziger Familie von 1987 bis zu den Montagsdemonstrationen 1989. Nach dem Tod des Vaters, eines hohen Volkspolizei-Offiziers, schließt sich die Tochter der Widerstandsbewegung um die Nikolaikirche an. Phänomene wie Gehorsam, Mitläufertum, Bespitzelung und Widerstand werden in dieser eindringlichen Verfilmung an einzelnen Personen verdeutlicht. Ein Film, der Denkanstöße zur Wende-Diskussion gibt und Zeitgeschichte rekapituliert.</t>
  </si>
  <si>
    <t>Nicki</t>
  </si>
  <si>
    <t>Ariana Grande Feat. Nicki Minaj: Side to Side</t>
  </si>
  <si>
    <t>tt6454250</t>
  </si>
  <si>
    <t>Ariana Grande, Nicki Minaj</t>
  </si>
  <si>
    <t>Neues aus der Florentiner 73</t>
  </si>
  <si>
    <t>tt0172871</t>
  </si>
  <si>
    <t>Edda Dentges, Jessy Rameik, Norbert Speer</t>
  </si>
  <si>
    <t>Brigitte steht zwischen zwei Männern: Da ist zum einen der ehrgeizige Klaus, der Vater ihrer kleinen Tochter und zum anderen der einfühlsame Wolfgang, ihr Mitbewohner, zu dem sie sich hingezogen fühlt. Mit tatkräftiger Hilfe der Hausbewohner, allen voran Mutter Klucke, findet sie heraus, für wen ihr Herz wirklich schlägt.</t>
  </si>
  <si>
    <t>Nachhilfe für Vati</t>
  </si>
  <si>
    <t>tt0383522</t>
  </si>
  <si>
    <t>Sebastian Paasch, Jana Zoller, Falk Rockstroh</t>
  </si>
  <si>
    <t>Die Geschwister Sebastian und Bettina kommen in den Ferien zu ihrem von der Familie getrennt lebenden Vater, da die Mutter fur einige Wochen beruflich verreist ist. Wahrend er sich mit der ungewohnten Vaterrolle schwertut, versuchen die Kinder mit allerlei Tricks, die Eltern wieder zusammenzubringen.</t>
  </si>
  <si>
    <t>Mit vierzig hat man noch Träume</t>
  </si>
  <si>
    <t>tt0183524</t>
  </si>
  <si>
    <t>Renate Geißler, Margot Busse, Thomas Kästner</t>
  </si>
  <si>
    <t>Meines Vaters Strassenbahn</t>
  </si>
  <si>
    <t>Meines Vaters Straßenbahn</t>
  </si>
  <si>
    <t>tt0320108</t>
  </si>
  <si>
    <t>Monika Woytowicz, Arno Wyzniewski, Rene Kalaene</t>
  </si>
  <si>
    <t>Ralph wächst auf im Dresden der Vorkriegszeit als ältester Sohn eines prinzipienfesten und ordnungsliebenden Straßenbahnschaffners. Mit dem Machtantritt der Nazis, Krieg, Zusammenbruch und zögerndem Neubeginn gerät auch dessen festgefügte kleinbürgerliche Welt aus dem Gleis. Als einer der Ersten erhält der Vater seine Einberufung zur Front. Die Mutter bleibt allein zurück mit der Verantwortung für Ralph und seinen jüngeren Bruder Achim. Im Luftschutzkeller, in den Bombennächten und später im tagtäglichen Kampf gegen das Elend und den Hunger läßt die Mutter schnell allen moralischen Ballast über Bord gehen und entwickelt einen pragmatischen Überlebenswillen, für den sie Ralph verehrt. Zugleich erschreckt den Heranwachsenden der verzweifelte Glücksanspruch seiner Mutter, weil er ihre Affären als Verrat an dem Vater empfindet, der allmählich verblaßt ist zu einem Symbol glücklicher, sorgloser Kindheit.</t>
  </si>
  <si>
    <t>Marta, Marta</t>
  </si>
  <si>
    <t>tt0079533</t>
  </si>
  <si>
    <t>Otto Mellies, Helga Piur, Hildegard Alex</t>
  </si>
  <si>
    <t>Ost-Berlin, Ende der 70er Jahre: Nach ihrem Schulabschluß erlebt die 17jährige Marta mit dem Taxifahrer Ernst  die erste Liebe, findet bei ihren von Eheproblemen geplagten Eltern jedoch wenig Verständnis. Sie entscheidet sich für eine Ausbildung als Krankenschwester. Bald gibt es Ärger mit einer strengen Vorgesetzten…</t>
  </si>
  <si>
    <t>Liebe mit 16</t>
  </si>
  <si>
    <t>tt0071752</t>
  </si>
  <si>
    <t>Simone von Zglinicki, Heinz-Peter Linse, Axel Gärtner</t>
  </si>
  <si>
    <t>Im Tanzkurs ein Mädchen anzusprechen, ist an sich schon eine peinliche Angelegenheit, noch dazu, wenn die Auserwählte sich spröde gibt. Doch Matthias schafft es allmählich, das Interesse von Ina zu gewinnen. So werden die beiden Schüler, die in der Liebe noch unerfahren sind, ein Paar und merken schnell, daß das im Alltag gar nicht so einfach ist: Was erwarten beide voneinander? Wie findet man zwischen Schule, Hausaufgaben, FDJ, GST und Ferienarbeit genügend Zeit füreinander? Und schließlich haben ja auch Mattis und Inas Eltern noch ein Wörtchen mitzureden, die mit dem Erwachsenwerden ihrer Kinder ganz unterschiedlich umgehen...</t>
  </si>
  <si>
    <t>Konstantin Und Alexander</t>
  </si>
  <si>
    <t>Konstantin und Alexander</t>
  </si>
  <si>
    <t>Fernsehfilm DDR 1989</t>
  </si>
  <si>
    <t>tt1779420</t>
  </si>
  <si>
    <t>Herbert Köfer, Hartmut Schreier, Christine Harbort</t>
  </si>
  <si>
    <t>Alexander sitzt in der Kneipe und will in Ruhe gelassen werden ... Der falsche Seemann Konstantin sitzt in der Kneipe, weil er seine Mitmenschen nicht in Ruhe lassen kann...  An diesem Abend jedoch hat er es auf Alexander abgesehen, lässt nicht locker, bis der ihm widerwillig von seinem Arbeitsunfall erzählt. Nach dem Unfall taugt er nur noch für Schreibtischjobs, was den einst kerngesunden Bauarbeiter mit seinem Schicksal hadern lässt. Ungefragt und ungebeten beschafft Konstantin dem verbitterten Alexander mehr als genug Arbeit, indem er ihn zum Verantwortlichen für einen längst überfälligen Straßenbau der Gemeinde erklärt.  Damit überrumpelt der Alte nicht nur Alexander, sondern auch den Bürgermeister. Viel zu lange schon hatte der die Planung für das Projekt aufgeschoben. Beide sind verständlicherweise nicht begeistert, aber da die Dinge nun einmal ins Rollen kommen, müssen sie handeln ...</t>
  </si>
  <si>
    <t>Komm mit mir nach Chicago</t>
  </si>
  <si>
    <t>tt0125322</t>
  </si>
  <si>
    <t>Ulrike Krumbiegel, Jo Fabian, Hilmar Baumann</t>
  </si>
  <si>
    <t>Klassenkameraden</t>
  </si>
  <si>
    <t>tt0087565</t>
  </si>
  <si>
    <t>Alfred Müller, Otto Mellies, Gert Gütschow</t>
  </si>
  <si>
    <t>Klassenkameraden ist ein deutscher Kriminalfilm aus dem Jahr 1984 von Rainer Bär. Er wurde für das Fernsehen der DDR produziert und am 18. November 1984 dort erstausgestrahlt. Robert Arndt wird nachts auf einer Waldlichtung an einem Bahndamm aus seinem Auto seine Jacke samt persönlichen Papieren gestohlen, während er dort durch ein zärtliches Tête-à-Tête mit einer jungen Frau, die er zuvor als Anhalterin mitgenommen hat, abgelenkt ist. Robert versucht den Täter zu verfolgen, wird aber aufgehalten, da er einen Zug auf der vielbefahrenen Bahnstrecke passieren lassen muss, er entkommt ihm schließlich. Robert erzählt seinem Freund und Arbeitskollegen Werner von seinem Malheur und die beiden beschließen, am nächsten Sonntag zur gleichen Uhrzeit zum Bahndamm zurückzukehren, um dem Täter eine Falle zu stellen und die Jacke und die Papiere zurückzuholen.</t>
  </si>
  <si>
    <t>Jonny kommt</t>
  </si>
  <si>
    <t>tt0466038</t>
  </si>
  <si>
    <t>Sebastian Hattop, Petra Kelling, Joachim Siebenschuh, Benjamin Burkhardt, Silke Natzke</t>
  </si>
  <si>
    <t>Der fast 14-jährige Jonny lebt in einem Kinderheim. Sein Vater ist tot. Seine Mutter ist nicht in der Lage, ihn großzuziehen. Jonny sehnt sich nach einer Familie. So steht er eines Tages vor der Tür der Familie Koberg und teilt der Familie mit, dass er nicht mehr zurück ins Heim gehe. Da sich der 12-jährige Sascha Koberg sofort mit Jonny anfreundet, beschließen Mutter Johanna und Vater Rolf, eine Patenschaft für den Jungen zu übernehmen. Sascha und sein kleiner Bruder Thomas mögen Jonny sehr, die 15-jährige Julia ist nicht so begeistert über noch einen "Bruder", akzeptiert aber die Entscheidung der Eltern.</t>
  </si>
  <si>
    <t>Jan Oppen</t>
  </si>
  <si>
    <t>tt0383426</t>
  </si>
  <si>
    <t>Jens Schmieder, Martin Trettau, Christian Grashof</t>
  </si>
  <si>
    <t>Die Familie Oppen lebt und wohnt seit Generationen in Berlin, Griesener Straße. Auch die Vornamen der Familienmitglieder wiederholen sich, so trägt der Enkel Jan den gleichen Vornamen wie sein Großvater. Die Männer der Oppens pflegten bis dato noch eine Tradition: sie waren bzw. sind allesamt Zimmerleute. Doch letzteres fällt bei dem 16jährigen Jan noch nicht auf fruchtbaren Boden, seine Passion ist das Moped, seine “Maschine”. Natürlich ist er ein Neuling unter den Motorradfans um den schwarzen Jonny , aber er ist wahnsinnig gern im Kreise selbiger, um Abenteuer zu erleben, und natürlich möchte er auch mit ihnen “mithalten” können. Wie er das bewerkstelligen könnte, dazu hat Jan schon eine Strategie entwickelt.</t>
  </si>
  <si>
    <t>Irrläufer</t>
  </si>
  <si>
    <t>tt0336639</t>
  </si>
  <si>
    <t>Erik S. Klein, Erik Veldre, Klaus Nietz</t>
  </si>
  <si>
    <t>Auf dem Güterbahnhof einer ostdeutschen Kleinstadt sorgt ein Waggon beladen mit russischem Sekt für Aufregung. Plünderer scheinen die Türen des Wagens aufgebrochen zu haben, doch nicht eine einzige Flasche fehlt. Major Bauer von der Staatssicherheit und sein Ermittlerteam nehmen sich dem Fall an und stellen schnell fest, dass etwas mit den Begleitpapieren der Ladung nicht stimmt. Ist der Waggon nur ein Irrläufer oder wurde er ausgetauscht? Für Major Bauer beginnt ein Wettlauf gegen die Zeit, denn die verschwundene Fracht scheint für den westlichen Geheimdienst von großem Interesse zu sein …</t>
  </si>
  <si>
    <t>Insel der Schwäne</t>
  </si>
  <si>
    <t>tt0085730</t>
  </si>
  <si>
    <t>Axel Bunke, Mathias Müller, Sven Martinek</t>
  </si>
  <si>
    <t>Der 14-jährige Stefan Kolbe lebt auf dem Lande. Das Leben dort gefällt ihm. Es hält für ihn viele Abenteuer in der Natur mit seinem Freund Tasso bereit. Doch gegen seinen Willen muss er nach Berlin umziehen, wo seine Familie eine Wohnung in einer trostlosen, im Bau befindlichen Großwohnsiedlung erhalten hat, in der sein Vater als Bauarbeiter arbeitet. Hier lernt er Hubert kennen, einen schüchternen und ängstlichen Jugendlichen. Mit ihm schließt er schnell Freundschaft. Hubert wird von Windjacke erpresst, einem älteren jugendlichen Raufbold, der der Erwachsenenwelt verbal höflich entgegentritt, Jüngere aber grundlos drangsaliert. Auch mit Mädchen kommt Stefan schnell in Kontakt. Die Mitschülerinnen Rita und Anja verlieben sich beide in ihn. Aus seinem ihm eigenen Gerechtigkeitssinn findet Stefan jedoch wenig Zeit für die Mädchen, sondern versucht seinem Freund zu helfen, sich gegen den Widersacher Windjacke zur Wehr zu setzen.</t>
  </si>
  <si>
    <t>Ich, dann eine Weile nichts</t>
  </si>
  <si>
    <t>Ich - Dann eine Weile nichts</t>
  </si>
  <si>
    <t>tt0462904</t>
  </si>
  <si>
    <t>Cornelia Voss, Renate Blume, Hans-Peter Reinecke</t>
  </si>
  <si>
    <t>Nach der Trennung ihrer Eltern will sich die 13jährige Tochter nicht damit abfinden, dass die Mutter jetzt zur Familie eines Klassenkameraden gehört. Fürs Fernsehen gedrehter, sensibler Jugendfilm über ein junges Mädchen auf der Suche nach einem Platz im Leben.</t>
  </si>
  <si>
    <t>Ich war neunzehn</t>
  </si>
  <si>
    <t>tt0061802</t>
  </si>
  <si>
    <t>Jaecki Schwarz, Василий Ливанов, Rolf Hoppe, Галина Польских, Jürgen Hentsch</t>
  </si>
  <si>
    <t>April 1945. In der Uniform eines sowjetischen Leutnants kommt der 19-jährige Deutsche Gregor Hecker in seine Heimat zurück. Er war acht, als seine Eltern mit ihm nach Moskau emigrierten. Auf dem Weg der 48. Armee kommt er an Berlin vorbei und fordert noch vereinzelt kämpfende deutsche Soldaten zum Überlaufen auf. Einige kommen, andere antworten mit Schüssen. Täglich begegnet Gregor Menschen verschiedenster Art, hoffnungsvollen, verwirrten, verzweifelten. Bei seinen russischen Freunden fühlt er sich zu Hause, viele der Deutschen geben ihm Rätsel auf. Langsam begreift er, dass es „die Deutschen“ nicht gibt. Die erste Begegnung mit aus dem Konzentrationslager befreiten Antifaschisten wird für ihn zu einem bewegenden Erlebnis. Und als sein Freund Sascha bei seinem letzten Kampfeinsatz fällt, steht für den erschütterten Gregor fest, dass er hier am Aufbau eines anderen, besseren Deutschlands wirken wird.</t>
  </si>
  <si>
    <t>Ich bin nicht meine Tante</t>
  </si>
  <si>
    <t>tt1096903</t>
  </si>
  <si>
    <t>Die nette Tante Basilia und ihre Enkelin haben Glück und überleben einen Überfall der lokalen Mafia dem die restliche Familie zum Opfer fällt.  Zum Pech für die Killer ist die Tante eine knorrige Korsin, die sich nun aufmacht sie zur Strecke zu bringen.</t>
  </si>
  <si>
    <t>Hochzeitsreise</t>
  </si>
  <si>
    <t>tt0988667</t>
  </si>
  <si>
    <t>Marietta Anday, Winfried Glatzeder, Rolf Hoppe</t>
  </si>
  <si>
    <t>Rita, eine Pelznäherin, und Peter, ein Bauarbeiter, sind ein junges Liebespaar und wollen heiraten. Rita träumt von einer Hochzeitsreise wie im Film – frisch vermählt, mit Blumen und Hochzeitskleid, möchte sie abreisen. Der weniger romantisch veranlagte Peter kann damit eigentlich nicht allzu viel anfangen, ist aber einverstanden. Besser, mit Rita zu verreisen, als die Familie auf dem Leib zu haben. Die beiden starten in die Sächsische Schweiz. Bald tauchen Fragen auf, die sie nicht nur auf der Reise begleiten, sondern auch ihre Zukunft betreffen: Wie miteinander leben, trotz all der Gegensätze? Sie begegnen drei Ehepaaren mit unterschiedlichen Vorstellungen, und_x000D_ eine Wanderung auf einen Berg soll dem jungen Paar wertvolle Erkenntnisse liefern ... Werden sie aufbrechen?</t>
  </si>
  <si>
    <t>Hiev Up</t>
  </si>
  <si>
    <t>Hiev up</t>
  </si>
  <si>
    <t>Fernsehfilm</t>
  </si>
  <si>
    <t>tt0077676</t>
  </si>
  <si>
    <t>Alfred Müller, Dietmar Richter-Reinick, Fred Delmare</t>
  </si>
  <si>
    <t>Käpt n Odje führt das Kommando auf dem DDR-Fischkutter SAS 303. Seine Mannschaft bringt gewöhnlich die besten Fangergebnisse und erzielt immer den ersten Platz im Wettbewerb des Saßnitzer Fischereikombinats. Doch diesmal: Nur ein dürftiger dritter Platz. Keine Prämie, nur ein Wimpel und Blumensträuße. Die Mannschaft ist ganz schön sauer, und der Kapitän ist es auch. Ihm wird dezent angedeutet: Die Fangergebnisse allein genügen eben nicht, da muss noch mehr sein. Na warte, denkt Odje. Jetzt führen wir mal vorbildliches Brigadeleben vor, aber mit allen Schikanen. Befehlsgewaltig verfügt er über die Freizeit seiner Mannschaft: Beim nächsten Landgang mehrtägiger gemeinsamer Brigadeausflug mit Frauen und Bräuten und noch gar nicht existierender Patenklasse. Außerdem gemeinsamer Thea- terbesuch. Selbstverständlich geht bei den gemeinsamen Unternehmungen mit Familienangehörigen so einiges schief. Käpt n Odje kriegt das große Staunen, was in den drei Tagen alles passiert.</t>
  </si>
  <si>
    <t>Heisse Spuren</t>
  </si>
  <si>
    <t>Heiße Spuren</t>
  </si>
  <si>
    <t>Kinderkrimi</t>
  </si>
  <si>
    <t>tt0377068</t>
  </si>
  <si>
    <t>Alfred Scheid, Kerstin Kulakowski, Dieter Franke</t>
  </si>
  <si>
    <t>Der zehnjährige Lutz Paschke, Sohn des Kriminalhauptmanns Paschke, ist ein begeisterter, aber oftmals übereifriger Detektiv. Mit seinem Basset Hound Pinkus streift er durch seine Stadt und vermeint in meist harmlosen Ereignissen Verbrechen zu erkennen. Ein ums andere Mal wird sein Vater von ihm zu einem vermeintlichen Verbrechen gerufen, so glaubt Lutz einen Mord gesehen zu haben, der sich jedoch als linkischer Karpfentötungsversuch erweist. Vater Paschke ist genervt, zumal ihn Lutz’ Aktionen immer wieder in peinliche Situationen bringen. Als Lutz daher einen anonymen Brief erhält, der mit ausgeschnittenen Buchstaben Freitagabend ein Verbrechen an der alten Mühle ankündigt, sagt er seinem Vater nichts.</t>
  </si>
  <si>
    <t>Hafengeschichten</t>
  </si>
  <si>
    <t>tt2632020</t>
  </si>
  <si>
    <t>Edda Dentges, Ingolf Gorges, Otmar Richter</t>
  </si>
  <si>
    <t>Die junge hübsche Kranführerin Vera ist die einzige Frau in einem Team von Hafenarbeitern am Überseehafen Rostock. Sie muss sich gegenüber ihren männlichen Kollegen behaupten. Zum Glück unterstützt sie ihr Großvater, der Pförtner in dem Mädchenwohnheim ist, in dem Vera wohnt. Besonders spannungsgeladen ist die Zusammenarbeit mit dem impulsiven Norbert, der sich prompt in Vera verliebt. Sie mag den vernünftigen und verantwortungsbewussten Christian viel lieber. Wer wird ihr Herz erobern?</t>
  </si>
  <si>
    <t>Grüne Hochzeit</t>
  </si>
  <si>
    <t>tt0097460</t>
  </si>
  <si>
    <t>Anja Kling, Marc Lubosch, Heike Krone</t>
  </si>
  <si>
    <t>Als das junge Paar Robert und Susanne erfährt, dass Nachwuchs auf dem Weg ist, beschließen sie zu heiraten. Sie bekommen Zwillinge und dürfen in eine Ausbauwohnung ziehen. Um über die Runden zu kommen, muss Robert auch nachts arbeiten, während Susanne mit dem Haushalt und den beiden Kindern überfordert scheint. Man trennt sich und versucht, sich mit anderen Partnern zu trösten, doch als Susanne einen Selbstmordversuch unternimmt, kommen beide zur Einsicht, dass man es vielleicht doch noch einmal mit einander versuchen sollte.</t>
  </si>
  <si>
    <t>Gib acht auf Susi!</t>
  </si>
  <si>
    <t>tt0479405</t>
  </si>
  <si>
    <t>Dorit Gäbler, Lissy Tempelhof, Fred Lenz</t>
  </si>
  <si>
    <t>Frau Born ist Ende dreißig, von Beruf Tankwartin, sie ist geschieden und Mutter von zwei Kindern. Ihr Sohn Micha ist zehn Jahre alt und hat sich zur “Freude” seiner Mutter einen Namen als junger “Erfinder” gemacht: er erfindet Rauchpatronen und ahnliche Sachen, die Meta Born fur absolut uberflussig halt. Aber auch mit ihrer Tochter Susi gibt es “Stress”: sie ist 17 Jahre alt, sehr hubsch und blond, begeisterte Tragerin von Minirocken, die ihr sehr gut stehen. Auch Susi hat es von Zeit zu Zeit mit dem “Erfinden”, denn sie spricht von “Freundinnen”, mit denen sie ins Kino oder zum Bummeln geht, wahrend sie sich in Wirklichkeit mit “Mannlichkeiten” abgibt.</t>
  </si>
  <si>
    <t>Geschwister</t>
  </si>
  <si>
    <t>tt0072503</t>
  </si>
  <si>
    <t>Marijam Agischewa, Stefan Naujokat, Walfriede Schmitt</t>
  </si>
  <si>
    <t>Herbert und Hella sind beide allein erziehende Zugbegleiter. Sie heiraten und damit die Kinder sich zusammenfinden, schicken sie die drei Kinder in die Sommerferien an die Ostsee.</t>
  </si>
  <si>
    <t>Gänsehaut</t>
  </si>
  <si>
    <t>tt0374690</t>
  </si>
  <si>
    <t>Manon Richter, Horst Schulze, Sebastian Katzer</t>
  </si>
  <si>
    <t>Dieser Fernsehfilm erzählt von den Problemen eines 14jährigen Jungen. Steffen, so der Name des Jungen, kann die Scheidung seiner Eltern nicht überwinden, er mutiert zum "Versager", muss die 7. Klasse der Schule wiederholen. Seine Mutter und auch die Lehrer stehen dem Jungen hilflos und enttäuscht gegenüber. Gegenüber ihnen bleibt er verschlossen, baut sich eine eigene Welt auf, in dem er auf einen alten Turm flüchtet und dort heimlich Gedichte schreibt. Franziska, eine Mitschülerin von Steffen, ist ihm sehr zugetan, weshalb sie sich für ihn einsetzt; sie kämpft für Steffens gerechte Behandlung. Dann wird auch die Freundschaft der beiden jungen Menschen durch das Misstrauen des Jungen auf eine harte Probe gestellt.</t>
  </si>
  <si>
    <t>Für die Liebe noch zu mager</t>
  </si>
  <si>
    <t>tt0071530</t>
  </si>
  <si>
    <t>Simone von Zglinicki, Christian Steyer, Norbert Christian</t>
  </si>
  <si>
    <t>Susanne ist 18 Jahre alt und Facharbeiterin in einem Textilbetrieb. Sie ist fleißig und immer da, wenn es Arbeit gibt oder jemand Hilfe braucht, zu Hause und im Betrieb. Am Ende der Maidemonstration werden ihr alle Fahnen in die Hand gedrückt, bei der GST-Übung ist sie die aktivste, aber beim Tanz wird sie als letzte aufgefordert. Dass auch sie Wünsche hat, bemerkt keiner - auch der etwas versponnene Lutz nicht, in den sie verliebt ist. Die beiden sind zusammen aufgewachsen, doch dass sie inzwischen erwachsen sind, sieht er nicht. Das egoistische Verhalten ihrer Freundin Daisy löst eine Wandlung in Susanne aus. Sie entwickelt Selbstbewusstsein, Rückschläge inbegriffen, und erobert sich Lutz. Die beiden verbringen eine kurze, glückliche Zeit. Als Lutz eines Tages von dannen zieht, er will die Welt erobern, verabschiedet Susanne ihn mit einem weinenden und einem lachenden Auge.</t>
  </si>
  <si>
    <t>Frühstück im Bett</t>
  </si>
  <si>
    <t>tt0125107</t>
  </si>
  <si>
    <t>Micaela Kreißler, Petra Strowjasiewicz, Jürgen Trott</t>
  </si>
  <si>
    <t>Die beiden Junggesellen Winter und Martin fahren zeitgleich in den Skiurlaub. Dort buhlen sie um die Gunst der attraktiven Vera Urban und versuchen sich gegenseitig „auszustechen“. Die beiden Männer, die allerdings wenig Erfahrung im Kontakt mit Frauen haben, sind auf die Hilfe und Ratschläge anderer angewiesen. Ernst Martin unterstützt seine beiden Tanten Anna und Martha, die in dem Urlaubsort wohnen und bei denen er sich einquartiert. Sie sind der Meinung, dass er erst einmal ordentlich fit werden muss um seine Angebetete zu beeindrucken. Auch an seinem Kleidungsstil haben sie etwas auszusetzen und staffieren ihn komplett neu aus. Herr Winter hingegen sucht unter Skigästen seinen Rat. Dabei bemerkt er, dass Veras Exmann Georg Hartmann unter den Gästen ist. Doch Hartmann zeigt sich anfangs an Vera nur wenig interessiert, er ist nur wegen der gemeinsamen Kinder Susanne und Rolf gekommen.</t>
  </si>
  <si>
    <t>Fräulein Schmetterling</t>
  </si>
  <si>
    <t>tt0488294</t>
  </si>
  <si>
    <t>Carmen-Maja Antoni, Carola Braunbock, Sina Fiedler-Engel</t>
  </si>
  <si>
    <t>Die 17-jährige Helene Raupe lebt mit ihrer sechsjährigen Schwester Asta in einem Altbauviertel in Berlin. Als ihr Vater stirbt, wird dessen Laden geschlossen, obwohl Helene ihn stets mit ihrem Vater gemeinsam geführt hatte. Dem ganzen Altbauviertel droht der Abriss. Bei ihrer Tante in Potsdam können die beiden Mädchen nicht wohnen, da diese angeblich zu wenig Platz hat. Helene muss sich allein um ihre kleine Schwester kümmern. In ihren Träumen stellt sie sich jedoch ein Leben als Stewardess vor.</t>
  </si>
  <si>
    <t>Florentiner 73</t>
  </si>
  <si>
    <t>tt0253081</t>
  </si>
  <si>
    <t>Edda Dentges, Anne Wollner, Norbert Speer</t>
  </si>
  <si>
    <t>Florentiner 73: Die Berliner Zimmerwirtin Frau Klucke kümmert sich wie eine Mutter um die Hausbewohner der Florentiner Straße 73, die ihre Hilfe gut gebrauchen können. Als die schwangere Brigitte ein möbliertes Zimmer sucht, landet sie schließlich bei Frau Klucke. Sie muss jedoch mit einem Durchgangszimmer vorlieb nehmen. Nachdem Brigitte zuerst recht enttäuscht ist, dass alle möglichen Hausbewohner und deren Gäste regelmäßig das Zimmer passieren, gewöhnt sie sich mit der Zeit an diesen Zustand. Schon bald hat sie die Eigenarten der anderen Bewohner der Florentiner 73 und die mütterliche Führsorge ihrer Vermieterin lieb gewonnen.</t>
  </si>
  <si>
    <t>Fleur Lafontaine</t>
  </si>
  <si>
    <t>tt0077562</t>
  </si>
  <si>
    <t>Angelica Domröse, Hilmar Thate, Eberhard Esche</t>
  </si>
  <si>
    <t>Berlin, 1948: Gelähmt und der Erinnerung beraubt, kommt Fleur nach einem schweren Sturz zu Bewusstsein. Der behandelnde Arzt erkennt, dass ihr Problem psychischer Natur ist, und ermuntert sie, sich ihrer Vergangenheit zu stellen. Nur widerwillig blickt die Tochter einer Bordell-Besitzerin zurück: auf eine glücklose Kindheit, ihre Beziehungen zu Lebemann Dr. Goldner und dem politisch engagierten Schlosser Philipp (Hilmar Thate) sowie auf die schwierige Zeit des Faschismus… Die spannende Reise in die deutsche Vergangenheit beruht auf Dinah Nelkens Roman "Das angstvolle Heldenleben einer gewissen Fleur Lafontaine".</t>
  </si>
  <si>
    <t>Dietmar Richter-Reinick, Otmar Richter, Günter Schubert</t>
  </si>
  <si>
    <t>Feriengewitter</t>
  </si>
  <si>
    <t>tt0097349</t>
  </si>
  <si>
    <t>Etienne Charle, Sandra Puhlmann, Bärbel Röhl</t>
  </si>
  <si>
    <t>Der 13-jährige Dani erfährt während der gemeinsamen Sommerferien mit seinen Eltern, dass die beiden sich scheiden lassen wollen. Zum Glück hat er Luzie gefunden, mit der er über die Scheidung seiner Eltern reden kann. Er bleibt länger auf dem Land als seine Eltern. Für den Berliner Großstattjungen ist die Dorfidylle eine willkommene Abwechslung, und die Schreckensnachricht der Scheidung kann er hier versuchen zu verarbeiten. Die beiden Kinder stellen allerhand gemeinsam an. Dani ist traurig und seinen Eltern sehr böse. Luzie versucht ihr Bestes, Dani abzulenken, ihn aufzubauen oder ihm Lösungen anzubieten. Dani ist der Überzeugung, dass er sich für keinen von beiden entscheiden wird, wenn es darum geht, bei welchem Elternteil er leben soll. Luzie bietet ihm sogar an, bei ihrer Familie zu leben, denn sie hat ihn gern und möchte ihn am Ende der Ferien auf keinen Fall verlieren. Die beiden werden dicke Freunde.</t>
  </si>
  <si>
    <t>Familie Rechlin</t>
  </si>
  <si>
    <t>tt0083918</t>
  </si>
  <si>
    <t>Marianne Wünscher, Gerry Wolff, Katrin Sass</t>
  </si>
  <si>
    <t>Das Ehepaar Hannes und Ingelore Rechlin leben im Ostberliner Stadtteil Mitte am Hackeschen Markt zusammen mit dem jüngsten Sohn Rene und dem Vater des Ehemannes in einer Altbauwohnung. Der Film beginnt 1962, kurz nachdem der Bau der Berliner Mauer die Familie getrennt hat. Die Tochter Beate lebt zusammen mit ihrem Mann und Sohn im Westberliner Ruhleben, und kann erst 1963 mit dem Passierscheinabkommen wieder die Familie besuchen. Ingelore, die bis dahin das Zentrum war, sieht die Gefahr, dass ihre Familie zerbricht.</t>
  </si>
  <si>
    <t>Eva Und Adam - Drum Prüfe!</t>
  </si>
  <si>
    <t>Es sollte ewig Sonntag sein</t>
  </si>
  <si>
    <t>tt0382015</t>
  </si>
  <si>
    <t>Annemone Haase, Katrin Hein, Erhard Köster</t>
  </si>
  <si>
    <t>Einfach Blumen aufs Dach</t>
  </si>
  <si>
    <t>tt0079096</t>
  </si>
  <si>
    <t>Martin Trettau, Barbara Dittus, Lars Jung</t>
  </si>
  <si>
    <t>Berlin im Jahr 1978. Hochspannungsmonteur Hannes Blaschke und seine Frau Maxi, Busfahrerin, haben Familienzuwachs bekommen: Zwillinge. Das stellt sie vor ein Problem. Ihr Trabant ist zu klein, um die große Familie, zu der noch zwei Söhne und ein Hund gehören, aufzunehmen. Hannes' Brigade weiß Rat. Gemeinsam sehen sie sich auf einem Autoschrottplatz der Handelszentrale nach einem größeren Wagen um und entdecken dort einen zum Verschrotten abgegebenen Repräsentationswagen der sowjetischen Marke "Tschaika".</t>
  </si>
  <si>
    <t>Eine Frau für drei</t>
  </si>
  <si>
    <t>tt1772837</t>
  </si>
  <si>
    <t>Herbert Köfer, Arno Wyzniewski, Alexander Heidenreich</t>
  </si>
  <si>
    <t>Walter sucht nach zwei gescheiterten Ehen endlich wieder eine Frau. Doch sein Vater Paul, der seine eigene Stellung im Hause gefährdet sieht, wenn eine Schwiegertochter ins Haus käme, schlägt zunächst alle Bewerberinnen listig in die Flucht. Walter, ein geschiedener Mann in den besten Jahren, hat eine Heiratsannonce aufgegeben, denn sowohl der von Walters Vater Paul geführte Männerhaushalt als auch die Erziehung seines halbwüchsigen Sohnes Peter verlangen nach einer ordnenden weiblichen Hand. Großvater Paul dagegen sieht die traute Dreisamkeit und besonders seine eigene Stellung im Hause gefährdet, wenn erneut eine Schwiegertochter das Zepter übernähme. So macht sich Paul erfindungsreich daran, Walters Absichten zu vereiteln. Walter ist es zunächst völlig unerklärlich, weshalb alle seine Begegnungen mit heiratswilligen Damen mit einem Misserfolg enden. Aber im Augenblick beschäftigen ihn sowieso andere Sorgen. Sein Sohn Peter bandelt ausgerechnet mit der Tochter seiner Lehrerin</t>
  </si>
  <si>
    <t>Du und icke und Berlin</t>
  </si>
  <si>
    <t>tt0075966</t>
  </si>
  <si>
    <t>Jürgen Heinrich, Susanne Linser, Micaela Kreißler</t>
  </si>
  <si>
    <t>Bauarbeiter Dieter Körber flieht vor seiner Verlobten aus der Kleinstadt Mühlhausen nach Berlin. Hier wohnt er offiziell im Arbeiterwohnheim und teilt sich ein Zimmer mit dem Bastler Harald Pfitzner. In Wirklichkeit zieht Dieter jedoch zu seiner Tante Irma Bause.</t>
  </si>
  <si>
    <t>Drei Töchter - Armer Vater</t>
  </si>
  <si>
    <t>Der Meister Richard Gorbacher begeht seinen 65. Geburtstag und verkündet an diesem Tag einen ungewöhnlichen Entschluss: Er will Eva, Marion und Renate, drei junge Frauen aus seinem Betrieb, adoptieren. Da sie in ihrem Leben mit so einigen Schwierigkeiten zu kämpfen haben, will er ihnen ab sofort als Vater in allen Lebenslagen uneingeschränkt zur Seite stehen. Allerdings reagieren die jungen Frauen auf Richards Angebot anders, als erwartet. Doch Gorbacher bleibt dran und kämpft um "seine" Töchter und ihr wahres Glück.</t>
  </si>
  <si>
    <t>Die Weihnachtsklempner</t>
  </si>
  <si>
    <t>tt0092196</t>
  </si>
  <si>
    <t>Ulrich Thein, Daniel Minetti, Janina Hartwig</t>
  </si>
  <si>
    <t>Weihnachten unter'm Tannenbaum? Klempner Martin und sein jüngerer Kollege Frank haben ausgerechnet am Heiligen Abend Bereitschaftsdienst. Franks Freundin Regina  die jeden Moment ihr erstes Baby erwartet, ist alles andere als begeistert. Doch es hilft nichts, Dienst ist Dienst. Ein Notruf reiht sich an den anderen, doch an diesem Abend warten nicht nur defekte Wasserrohre auf die beiden Klempner...</t>
  </si>
  <si>
    <t>Die Taube auf dem Dach</t>
  </si>
  <si>
    <t>Die Taube auf dem Dach - Das Hobby der 100.000</t>
  </si>
  <si>
    <t>tt9304042</t>
  </si>
  <si>
    <t>Eine Baustelle im Süden der DDR: Die junge Mecklenburgerin Linda Heinrichs ist hier, wo einmal Plattenbauwohnungen stehen sollen, als Bauleiterin tätig. Sie lernt zwei Männer kennen, die unterschiedlicher nicht sein könnten: Der Student Daniel ist spontan, führt sie zum Tanz aus und sammelt dort schon einmal ungeplant Spenden für Vietnam. Sein Interesse an der Raumfahrt und an der Zukunft wird im Film wiederholt thematisiert, bereits der Vorspann zeigt eine startende Rakete. Baubrigadier Hans Böwe wiederum ist ein ewig Rastloser, der in vielen Teilen der DDR am Bau gearbeitet hat, jedoch nirgendwo richtig zu Hause ist. Linda trifft sich mit beiden Männern, weigert sich jedoch selbstbewusst, sich für einen der beiden zu entscheiden...</t>
  </si>
  <si>
    <t>Die Russen Kommen</t>
  </si>
  <si>
    <t>Die Russen kommen</t>
  </si>
  <si>
    <t>tt9609340</t>
  </si>
  <si>
    <t>Frühjahr 1945 in einem kleinen Ort an der Ostsee. Der 15-jährige Günter glaubt noch immer an den Endsieg. Bei der Jagd auf einen russischen Jungen, einen entflohenen Fremdarbeiter, ist er der Schnellste. Der Russe wird vom Dorfpolizisten erschossen. Stolz nimmt Günter das Eiserne Kreuz entgegen und meldet sich freiwillig zur Front.</t>
  </si>
  <si>
    <t>Die Jagd nach dem Stiefel</t>
  </si>
  <si>
    <t>tt0056114</t>
  </si>
  <si>
    <t>Günter Naumann, Wolfgang Böhme, Mathias Böhme</t>
  </si>
  <si>
    <t>Die Jagd nach dem Stiefel ist ein vom DEFA-Studio für Spielfilme, künstlerische Arbeitsgruppe „konkret“, produzierter Kinderfilm von Regisseur Konrad Petzold</t>
  </si>
  <si>
    <t>Die Flucht (DDR, 1977, Drama))</t>
  </si>
  <si>
    <t>Die Flucht</t>
  </si>
  <si>
    <t>Die dicke Tilla</t>
  </si>
  <si>
    <t>tt0083830</t>
  </si>
  <si>
    <t>Carmen Sarge, Jana Mattukat, Matthias Manz</t>
  </si>
  <si>
    <t>Feindschaft auf den ersten Blick! Tilla ist Klassenstärkste und Anführerin. Die Neue mit der Brille lehnt sie sofort ab. Sie schikaniert die zierliche Einsenschülerin Anne, wo sie nur kann. Anne malt gern und flieht in die Welt ihrer Bilder. Doch eines Tages beginnt sie sich zu wehren. Der Zwist wird handgreiflich. Tilla demoliert Annes Fahrrad. In einer Notsituation kommen sie sich plötzlich näher, erzählen von sich. Dabei lernen sie einander von einer ganz anderen Seite kennen und eröffnen sich die Chance auf eine unerwartete Freundschaft.</t>
  </si>
  <si>
    <t>Der Vogel</t>
  </si>
  <si>
    <t>tt1226332</t>
  </si>
  <si>
    <t>Heinz Rennhack, Myriam Stark, Karin Düwel</t>
  </si>
  <si>
    <t>So liebevoll betreut zu werden - welcher Mann wünschte sich das nicht? Bernd Vogel richtet seine ganze Hoffnung auf Renate, die attraktive Tänzerin, obwohl er sich eigentlich über die Fürsorge seiner treuen Freundin Berta nicht beklagen kann. Der freundliche Mann mit dem großen Herzen gerät in manche Auseinandersetzung.Nicht zuletzt deshalb, weil er seine halbwüchsige Tochter mit väterlicher Eifersucht verfolgt. Trotzdem findet er schließlich das ihm zustehende Glück.</t>
  </si>
  <si>
    <t>Der Staatsanwalt Hat Das Wort  - Meine Frau</t>
  </si>
  <si>
    <t>Der Rest, der bleibt</t>
  </si>
  <si>
    <t>tt0320362</t>
  </si>
  <si>
    <t>Annekathrin Bürger, Klaus Piontek, Alexander Höchst</t>
  </si>
  <si>
    <t>Als die Chansonsängerin Marianne und der Drucker Robert einander zum erstenmal begegnen, befinden sich beide in einer Ausnahmesituation. Sie leiden unter Einsamkeit, mangelnder Anteilnahme und Zuwendung. Und so treibt es beide fast zwangsläufig zueinander: die Mittvierzigerin und den um zwanzig Jahre jüngeren Mann. Sie fliehen in die Wärme des anderen Körpers, die Zärtlichkeit der Umarmung und entdecken die Welt neu mit den Augen des anderen. Doch schon kurze Zeit später wird das Paar vom Alltag eingeholt. Aus den Himmeln des Glücks fällt es auf den Boden der Realität, und dies ist ernüchternd und grausam.  Zu offensichtlich ist der Altersunterschied der beiden Liebenden. Ihre Liebe, so plötzlich entstanden, zerbricht. Marianne kehrt der Vernunft gehorchend zu ihrem Ehemann zurück.</t>
  </si>
  <si>
    <t>Der Reserveheld</t>
  </si>
  <si>
    <t>tt0058519</t>
  </si>
  <si>
    <t>Rolf Herricht, Marita Böhme, Günther Simon</t>
  </si>
  <si>
    <t>Ein berühmter Schauspieler wird als Reservist ausgerechnet während seiner Flitterwochen in die Kaserne abkommandiert. Allerdings sieht der Promi es gar nicht ein, seinen Urlaub zu unterbrechen und verbrennt kurzerhand den Befehl – worauf er von der Polizei geschnappt und zwangsweise zur Kaserne gebracht wird. Hier gerät der anarchische Schauspieler schon bald mit dem strengen Hauptmann aneinander. Und als dann auch noch seine junge Frau in der Kaserne auftaucht, um nach ihrem Mann zu schauen, überschlagen sich die ohnehin schon turbulenten Ereignisse.</t>
  </si>
  <si>
    <t>Der Lumpenmann</t>
  </si>
  <si>
    <t>tt0336783</t>
  </si>
  <si>
    <t>Herbert Köfer, Ruth Glöss, Udo Schenk</t>
  </si>
  <si>
    <t>Der Frühling braucht Zeit</t>
  </si>
  <si>
    <t>tt0060435</t>
  </si>
  <si>
    <t>Eberhard Mellies, Günther Simon, Doris Abeßer</t>
  </si>
  <si>
    <t>Denk bloß nicht, ich heule (DDR, 1990, Drama))</t>
  </si>
  <si>
    <t>Denk bloß nicht, ich heule</t>
  </si>
  <si>
    <t>XG, DE</t>
  </si>
  <si>
    <t>Peter Reusse, Anne-Kathrein Kretzschmar, Hans Hardt-Hardtloff, Jutta Hoffmann, Helga Göring</t>
  </si>
  <si>
    <t>Der Schüler Peter Naumann gilt als Rebell seiner Schule. Seine provokante Art und Sätze wie „Ich brauche die Republik nicht“ führen zur Relegation. Außer seiner Freundin Anne hält niemand zu ihm. Die zunehmende Isolation lässt ihn zu Anne aufs Land ziehen. Annes Vater, ein engstirniger LPG-Vorsitzender, ist strikt gegen die Beziehung. Peter hegt Rachegefühle gegen den Rektor, doch als seine Kumpel diesem auflauern, greift Peter ein – und bezieht selbst Prügel. Ein formal außergewöhnlich dichter, hervorragend gespielter Film, der ebenso kritisch wie ambitioniert zur Diskussion über die Bedeutung des einzelnen in einer sozialistischen Gesellschaft herausfordert. Seine Argumente zur Überwindung eines menschlichen Niemandslandes sind ungebrochen aktuell und fernab ideologischer Färbung: es geht um Respekt, Toleranz und die Notwendigkeit, einander zuzuhören und miteinander zu reden.</t>
  </si>
  <si>
    <t>Den Wolken ein Stück näher DDR, (1973, Drama))</t>
  </si>
  <si>
    <t>Das Puppenhaus in Pinnow</t>
  </si>
  <si>
    <t>Das Mädchen und der Junge</t>
  </si>
  <si>
    <t>tt0084378</t>
  </si>
  <si>
    <t>Birgit Käding, Sven Martinek, Reiner Heise</t>
  </si>
  <si>
    <t>Berlin im Winter: Die 14-jährige Katrin stürzt beim Eislaufen und wird von dem 17-jährigen Frank versehentlich angefahren und am Bein verletzt. Frank bringt Katrin zum Arzt und dann nach Hause, und so kommen die beiden sich näher. Katrins Eltern haben einen einwöchigen Winterurlaub in ihrem Häuschen im Wald geplant, und Katrin versucht vergeblich, zu Hause bleiben zu dürfen, um mehr Zeit mit Frank verbringen zu können. Als sie sich im Urlaub aber langweilt, überzeugt sie die Eltern, drei Tage früher allein nach Hause fahren zu dürfen.  Frank und Katrin werden ein Paar. Ihrem Vater missfällt das, da er findet, Katrin habe sich verändert. Eines Abends bringt Katrin Frank mit nach Hause. Sie hört ein Gespräch der Eltern und erfährt, dass der Vater Frank ablehnt, ohne ihn überhaupt zu kennen.</t>
  </si>
  <si>
    <t>Das Mädchen aus dem Fahrstuhl</t>
  </si>
  <si>
    <t>tt0483086</t>
  </si>
  <si>
    <t>Barbara Sommer, Rolf Lukoschek, Henry Schroeder</t>
  </si>
  <si>
    <t>Frank, mathematisch begabt, FDJ-Sekretär der Schule und Sohn eines Betriebsdirektors, beginnt sich in der 10. Klasse für die Neue, Regine, zu interessieren. Er begegnet ihr mehrfach im Fahrstuhl des Hochhauses auf der Berliner Fischerinsel, wo auch seine Familie wohnt. Als sie, leistungsschwächste Schülerin, mehrere Tage fehlt, will er sich um sie kümmern und entdeckt, dass sie ihre Geschwister betreut. Ihre Mutter liegt im Krankenhaus, die vier verschiedenen Väter haben sich davongemacht. Er unterstützt sie und setzt sich für sie ein. Als sie Kindergärtnerin werden möchte, fordert er ein öffentliches Gespräch über Leistung und Eignung heraus. Dabei stößt er auf den energischen Widerstand der Direktorin und wird aus der FDJ ausgeschlossen was ihm Abitur und Studium unmöglich macht. Seine einflussreichen Eltern verschaffen ihm einen Platz in einer Spezialklasse an der Technischen Universität Dresden.</t>
  </si>
  <si>
    <t>Das Double</t>
  </si>
  <si>
    <t>tt0322073</t>
  </si>
  <si>
    <t>Harald Juhnke, Christine Kaufmann, Magdalena Ritter</t>
  </si>
  <si>
    <t>Ein deutsches TV-Drama</t>
  </si>
  <si>
    <t>Coming Out (DDR, 1989, Drama))</t>
  </si>
  <si>
    <t>Coming Out</t>
  </si>
  <si>
    <t>XG</t>
  </si>
  <si>
    <t>Matthias Freihof, Dagmar Manzel, Dirk Kummer, Michael Gwisdek, Werner Dissel</t>
  </si>
  <si>
    <t>Der junge Lehrer Philipp lernt seine Kollegin Tanja nach einem Unfall im Treppenhaus der Schule näher kennen, und die beiden beginnen eine Beziehung. Ein alter Freund Tanjas, Jakob, den sie Redford nennt, entpuppt sich als Jugendliebe Philipps. Philipps Eltern hatten die Beziehung beendet, indem sie Jakob einen Zirkelkasten und ein Fahrrad als Entschädigung schenkten. Durch die Wiederbegegnung gerät Philipp in eine Krise, flüchtet in eine Schwulenbar, aus der er schließlich volltrunken von zwei Barbesuchern nach Hause gebracht wird. Einen dieser für ihn anfangs anonymen Helfer, den jungen Matthias, trifft er bald danach vor dem Schauspielhaus wieder und beginnt eine Beziehung mit diesem.Philipp muss sich mit seiner eigenen sexuellen Orientierung auseinandersetzen, hat aber nicht die Kraft hierzu.</t>
  </si>
  <si>
    <t>Camping-Camping</t>
  </si>
  <si>
    <t>tt0075800</t>
  </si>
  <si>
    <t>Ursula Karusseit, Dieter Franke, Sybille Winkler</t>
  </si>
  <si>
    <t>Der vollbepackte Trabi rollt Richtung Ostsee und Familienvater Detlef ist ausnahmsweise mal in blendender Stimmung. Hat er doch mit seinem Kumpel Alfred ausgemacht, sich alsbald mit einem dringenden Telegramm gegenseitig aus dem Ferienort zurückzubeordern. Aber als die beiden dann abenteuerlustig im Dschungel der Großstadt auf die Pirsch gehen, erleben sie eine Pleite nach der anderen. Missmutig sehnt sich Detlef nach Ehetrott und Zeltplatz zurück. Dort macht sein angepasstes und mit den Jahren etwas fade gewordenes Eheweib Eveline eine erstaunliche Wandlung durch.</t>
  </si>
  <si>
    <t>Bis Dass Der Tod Euch Scheidet</t>
  </si>
  <si>
    <t>Bis daß der Tod euch scheidet</t>
  </si>
  <si>
    <t>tt0078866</t>
  </si>
  <si>
    <t>Katrin Sass, Martin Seifert, Berko Acker</t>
  </si>
  <si>
    <t>Süß und voller Träume beginnt die Ehe von Sonja (Katrin Saß) und Jens (Martin Seifert). Alles soll gut werden, nehmen sie sich vor. Doch der Alltag ist kein Märchen. Die Probleme beginnen, als Sonja nach der Geburt des Kindes wieder als Verkäuferin arbeiten gehen will. Jens jedoch ist strikt dagegen. Er, der in seiner Kindheit ein harmonisches Familienleben entbehren musste, will Sonja auf ihre Rolle als Mutter und Ehefrau festlegen.</t>
  </si>
  <si>
    <t>Erwin Geschonneck, Agnes Kraus, Wolfgang Greese</t>
  </si>
  <si>
    <t>Aus dem Tagebuch eines Minderjährigen</t>
  </si>
  <si>
    <t>Bernd Siegmundt, Jochen Thomas, Helga Raumer</t>
  </si>
  <si>
    <t>Amor holt sich nasse Füsse</t>
  </si>
  <si>
    <t>Amor holt sich nasse Füße</t>
  </si>
  <si>
    <t>tt0303643</t>
  </si>
  <si>
    <t>Marina Krogull, Peter Friedrichson, Georgi Popov</t>
  </si>
  <si>
    <t>Um ihrem Auserwählten aufzufallen, lässt eine junge Frau nichts aus. Schließlich geht sie sogar ins Wasser - mit Taucheranzug. Heitere Unterwasser-Liebesgeschichte fürs DDR-Fernsehen, die beiläufig auch für die Tauchsportsektion der vormilitärischen Gesellschaft für Sport und Technik in der DDR wirbt.</t>
  </si>
  <si>
    <t>Am Grauen Strand</t>
  </si>
  <si>
    <t>Am grauen Strand, am grauen Meer</t>
  </si>
  <si>
    <t>tt0303627</t>
  </si>
  <si>
    <t>Angelica Domröse, Bodo Krämer, Marina Krogull</t>
  </si>
  <si>
    <t>Bürgerliche Konventionen stehen der Liebe eines jungen Paares im Weg. TV-Drama nach der Novelle "Hans und Heinz Kirch" von Theodor Storm.  In einer tristen Kleinstadt an der Ostsee lebt der ehrgeizige Schiffseigner Hans Kirch  mit seiner Familie. Sohn Heinz liebt die aus einfachen Verhältnissen stammende Wieb Harmsen. Als der Vater von der Beziehung erfährt, überwirft er sich mit seinem Sohn. Wütend verlässt Heinz die Stadt. Erst 17 Jahre später kehrt er zurück. Doch im Ort kommen Zweifel an Heinz' Identität auf. Nur seine Jugendliebe Wieb hält zu ihm…</t>
  </si>
  <si>
    <t>Alwin auf der Landstrasse</t>
  </si>
  <si>
    <t>Alwin auf der Landstraße</t>
  </si>
  <si>
    <t>tt0303626</t>
  </si>
  <si>
    <t>Andreas Schmidt, Hans-Peter Reinecke, Martina Heister</t>
  </si>
  <si>
    <t>Das Altmarkstädtchen Gösemark Mitte der sechziger Jahre des 20. Jahrhunderts. Der zwölfjährige Tierarztsohn Alwin Weingart fühlt sich eingesperrt, weil er, statt in den Sommerferien zu den Großeltern im Harz fahren zu dürfen, von dem gestrengen Vater den Auftrag erhielt, die schwachen Rechtschreibleistungen auf dem Zeugnis durch Übungen mit dem Duden zu verbessern. Die Mutter, sonst vermittelnd, weilt auswärts zur Kur. Auch die Freiheit des Freundes Ruschi kann</t>
  </si>
  <si>
    <t>Alter schützt vor Liebe nicht (DDR, 1990, Drama))</t>
  </si>
  <si>
    <t>Louisa</t>
  </si>
  <si>
    <t>Ronald Reagan, Ruth Hussey, Spring Byington, Charles Coburn, Edmund Gwenn</t>
  </si>
  <si>
    <t>Alma schafft alle</t>
  </si>
  <si>
    <t>tt0080356</t>
  </si>
  <si>
    <t>Agnes Kraus, Fred Mahr, Gojko Mitic</t>
  </si>
  <si>
    <t>Vier Jahre sind vergangen, seitdem Alma und Dr. Kröpelin geheiratet haben. Der Heimatzoo in Groß-Klückow blüht und gedeiht und Alma geht ganz in ihrer neuen Aufgabe auf. Aber daneben findet sie immer noch Zeit, sich um Dinge zu kümmern, die sie, genau genommen, gar nichts angehen. Und als ein gewisser…</t>
  </si>
  <si>
    <t>Albert Einstein</t>
  </si>
  <si>
    <t>tt0309263</t>
  </si>
  <si>
    <t>Talivaldis Abolins, Janina Hartwig, Anette Felber</t>
  </si>
  <si>
    <t>Berlin 1932. Der Nationalsozialismus in Deutschland wird salonfähig. Einstein, Professor, Akademiemitglied und Nobelpreisträger wird als Jude angegriffen – auch von Kollegen. Plötzlich unterscheidet man nicht zwischen richtiger oder falscher Physik, sondern arischer und jüdischer. Im Kollegium greift ihn sein Kollege und wissenschaftlicher Widersacher, Professor Stark, offen und aggressiv als Jude an. Während Einstein noch an die Republik glaubt, zieht seine Vertraute und Geliebte, Tabea Mandel, in die Schweiz.</t>
  </si>
  <si>
    <t>Ach du meine Liebe</t>
  </si>
  <si>
    <t>tt0086920</t>
  </si>
  <si>
    <t>Jaecki Schwarz, Marianne Wünscher, Karin Ugowski</t>
  </si>
  <si>
    <t>Detlev, ein lediger Versicherungsangestellter über 30, wird von seiner liebevoll-fürsorglichen Mutter in Abhängigkeit gehalten und verliert gerade dadurch seine Freundin Karin. Kummer und eine alkoholisierte Zufallsbekanntschaft veranlassen ihn, eine Heiratsannonce aufzugeben. Detlev gerät in einen Wirbel von Freund- und Liebschaften: zur fürsorglichen Witwe Karin; der wohlsituierten Frisiersalon-Besitzerin Ute Schöbel; der Kulturredakteurin Norma Goldbach, der Fotoreporterin Kerstin und der Studentin Andrea Binz. Detlev, der sich zunächst als Freund und Ratgeber, aber auch als Liebhaber bewährt, wird zunehmend selbstbewusster. Auch in seiner Arbeit ist er erfolgreich und emanzipiert sich endlich von seiner Mutter. Zwar verliert er in einer turbulenten Odyssee "seine" Frauen, hat sich aber vom Muttersöhnchen Detlev zu einem durchaus akzeptablen Mann gemausert.</t>
  </si>
  <si>
    <t>Abschiedsdisco</t>
  </si>
  <si>
    <t>tt0098978</t>
  </si>
  <si>
    <t>Holger Kubisch, Jaecki Schwarz, Horst Schulze</t>
  </si>
  <si>
    <t>Der fünfzehnjährige Henning ist vom Tod seiner Freundin Silke, seiner ersten Liebe, schwer erschüttert. Er ist verstört, die Tröstungen von Dixie sind ihm lästig. Er entschliesst sich, zum Großvater zu fahren, der im Dorf Wussina im Braunkohlengebiet lebt. Das Dorf muss der Kohle weichen, doch der Alte weigert sich, ins Altersheim zu gehen. Henning erfährt dort ein anderes Sterben. Bagger fressen sich durch die Landschaft, alles Leben vernichtend. In der fast verlassenen Gegend begegnet er verschiedenen Menschen. Einem Plünderer und dem alten Dorfkauz, der Tiere einsammelt, um sie zu retten. Eine Frau in der Disco, die geschlossen wird, macht ihm unzweideutige Angebote. Er beobachtet ein junges Paar, das sich in der gespenstischen Umgebung liebt.</t>
  </si>
  <si>
    <t>Absage an Viktoria</t>
  </si>
  <si>
    <t>tt0075625</t>
  </si>
  <si>
    <t>Marietta Anday, Ina Bleiweiß, Eva Bodnar, Angela Brunner</t>
  </si>
  <si>
    <t>Ende der 50er-Jahre verliebt sich die lebenshungrige Studentin Viktoria in den zurückhaltenden jungen Kraftwerker Hans. Die beiden heiraten und nur kurze Zeit später wird Viktoria schwanger.  Doch die freiheitsliebende angehende Architektin fühlt sich von der Ehe und Mutterschaft eingeengt und beschließt, ihren Mann und ihre Tochter zu verlassen, um in den Westen zu gehen. Hans, der inzwischen ebenfalls ein Studium aufgenommen hat und die Republikflucht seiner Frau nicht zur Anzeige bringt, wird exmatrikuliert und erhält eine Parteirüge. Doch er kann sich im Laufe der Zeit rehabilitieren und findet sogar eine neue Liebe. Viktoria hingegen zweifelt zunehmend an ihrer Entscheidung.  War es wirklich richtig, ihre Heimat zu verlassen?</t>
  </si>
  <si>
    <t>Ab heute erwachsen</t>
  </si>
  <si>
    <t>tt0088659</t>
  </si>
  <si>
    <t>David C. Bunners, Jutta Wachowiak, Kurt Böwe</t>
  </si>
  <si>
    <t>Ab heute erwachsen ist ein Spielfilm der DEFA von Gunther Scholz aus dem Jahr 1985_x000D_ Stefans Mutter wird bei sich zu Hause von einem Fernsehteam interviewt. Zum Thema wie einer, aktiv im Arbeitsprozess, alleinerziehenden Frau geht,  Der anwesende Sohn gibt nur patzige Antworten.  Stefan arbeitet als Maurerlehrling und hilft, den Französischen Dom auf dem Berliner Platz der Akademie mit aufzubauen. Am Tage seines 18. Geburtstages offenbart er seiner Mutter, dass er ausziehen werde.  In der neuen Umgebung lernt Stefan die Telegrammbotin Christel kennen, in die er sich verliebt. Ein Versuch, in der freien mütterlichen Wohnung eine Nacht miteinander zu verbringen, misslingt, da Christel ihn gleich fest an sich binden will. Auch erscheint Stefans Mutter früher als erwartet. Diese hat ihren Sohn immer noch nicht aufgegeben. Sehr großen Ärger gibt es, als sie ihn bei einem Gaststättenbesuch als Toilettenaufsicht erwischt.</t>
  </si>
  <si>
    <t>tt1773113</t>
  </si>
  <si>
    <t>Verdammtes Glück</t>
  </si>
  <si>
    <t>tt0120437</t>
  </si>
  <si>
    <t>Heinz Hoenig, Christine Reinhart, Ruth Friemel</t>
  </si>
  <si>
    <t>Deutsches TV-Drama</t>
  </si>
  <si>
    <t>tt0344509</t>
  </si>
  <si>
    <t>Riverboat 25.11.1995</t>
  </si>
  <si>
    <t>Polizeiruf 110 Variante Tramper</t>
  </si>
  <si>
    <t>Die Toten bleiben jung</t>
  </si>
  <si>
    <t>tt0063708</t>
  </si>
  <si>
    <t>Barbara Dittus, Günter Wolf, Klaus-Peter Pleßow</t>
  </si>
  <si>
    <t>Aerolina · 01 Saisonbeginn</t>
  </si>
  <si>
    <t>Your Name.</t>
  </si>
  <si>
    <t>TR</t>
  </si>
  <si>
    <t>Animation, Drama, Fantasy</t>
  </si>
  <si>
    <t>tt5311514</t>
  </si>
  <si>
    <t>Skyler Davenport, Brock Powell</t>
  </si>
  <si>
    <t>Mitsuha lebt gemeinsam mit ihrer kleinen Schwester Yotsuha bei ihrer Großmutter in einer ländlichen Kleinstadt Japans. Insgeheim beklagt sie ihr abgeschiedenes Dasein in der Provinz und wünscht sich ein aufregendes Leben in der Großstadt. Taki würde sich freuen, so beschaulich aufzuwachsen, denn er wohnt in der Millionen-Metropole Tokio, verbringt viel Zeit mit seinen Freunden und jobbt neben der Schule in einem italienischen Restaurant. Eines Tages scheint Mitsuha einen Traum zu haben, in dem sie sich als Junge in Tokio wiederfindet. Parallel macht Taki eine ähnliche Erfahrung: Er findet sich als Mädchen in einer Kleinstadt in den Bergen wieder, wo er noch nie zuvor war. Doch wie kommt es zu dieser schicksalhaften Verstrickung und welches Geheimnis verbirgt sich wirklich hinter den Träumen der beiden Teenager?</t>
  </si>
  <si>
    <t>Classic Albums: Phil Collins - Face Value</t>
  </si>
  <si>
    <t>tt0235300</t>
  </si>
  <si>
    <t>Irina Schackow, Kathrin Mann, Walfriede Schmitt</t>
  </si>
  <si>
    <t>Sylvia hat immer wieder Angst, etwas falsch zu machen, und als das sensible Kind dann wieder einmal Wichtiges vergisst, gerät sie in eine gefährliche Gemütsverfassung, die die Eltern und ihre Schwester anfangs unterschätzen. Kurz vor ihrem elften Geburtstag erhält Sylvia einen eigenen Wohnungsschlüssel. Das sensible Mädchen ist stolz über das Zeichen anerkannter Selbstständigkeit, aber auch unsicher, ob sie die allgemeinen Erwartungen erfüllen wird. Bisher wurde sie wie ein Baby bemuttert, besonders von ihrer Zwillingsschwester Evelin, die alles viel besser weiß und kann. Der Schlüssel wird für sie zum Symbol einer neu entdeckten Freiheit</t>
  </si>
  <si>
    <t>Erwin Geschonneck, Hildegard Walter, Bernd Stempel</t>
  </si>
  <si>
    <t>Im Jahre 1960 erfährt Großbauer Walter Wagemühl aus dem Westen, dass es mit ihm zu Ende geht. Um den Hof in treue Hände übergeben zu können, schickt er seine Adoptivtochter Catharina zwecks Heirat in den Osten zu seinem patenten Neffen Ewald. Den bringt das überraschende Ansinnen gewaltig in die Zwickmühle. Im Studium kurz vor dem Examen stehend, haben ihm die Universitätsfunktionäre eine wissenschaftliche Karriere zugedacht. Dabei wünscht Ewald nichts sehnlicher, als Vorsitzender der sozialistischen Genossenschaft in Hullerbusch zu werden. Und nun auch noch dies ...</t>
  </si>
  <si>
    <t>...and Your Name Is Jonah</t>
  </si>
  <si>
    <t>tt0078776</t>
  </si>
  <si>
    <t>Sally Struthers, James Woods, Randee Heller</t>
  </si>
  <si>
    <t>Ein idealistischer Debütregisseur lebt für seine Kunst – bis er bei den Filmfestspielen von Cannes die Frau eines italienischen Produzenten kennenlernt. Eine leidenschaftliche Affäre beginnt, doch die Liebe des Paares wird auf die Probe gestellt, als sie den Verlockungen von Ruhm und Reichtum ausgesetzt sind.</t>
  </si>
  <si>
    <t>7 Gefangene</t>
  </si>
  <si>
    <t>7 Prisioneiros</t>
  </si>
  <si>
    <t>tt14168118</t>
  </si>
  <si>
    <t>Christian Malheiros, Rodrigo Santoro, Bruno Rocha, Lucas Oranmian, Vitor Julian</t>
  </si>
  <si>
    <t>Um seiner Familie auf dem Land ein besseres Leben zu ermöglichen, nimmt der 18-jährige Mateus für seinen neuen Chef Luca einen Job auf einem Schrottplatz in São Paulo an. Aber als er und einige andere Jungen zu modernen Sklaven werden, bedeutet das für Mateus: Wenn er irgendwie aussteigt, riskiert er die Zukunft seiner Familie. Mit Waffengewalt und Bedrohungen werden die jungen Arbeiter streng überwacht. Wer nicht hört, der muss harte Strafen erleiden. Mateus will sich von den unmenschlichen Bedingungen nicht entmutigen lassen und versucht mit Luca einen Deal einzugehen: Er verspricht ihm, die Produktivität des Schrottplatzes zu steigern, wenn er und die anderen im Gegenzug ihre Freiheit erhalten. Mateus ahnt jedoch nicht, dass er sich mit diesem Deal auf einen gefährlichen Weg begibt, der ihn persönlich verändern wird und zum Handlanger von Luca macht.</t>
  </si>
  <si>
    <t>12 heißt Ich liebe dich</t>
  </si>
  <si>
    <t>12 heißt: Ich liebe dich</t>
  </si>
  <si>
    <t>tt1177067</t>
  </si>
  <si>
    <t>Claudia Michelsen, Devid Striesow, Michael Krabbe</t>
  </si>
  <si>
    <t>Für Bettina bricht eine Welt zusammen, als sie 1984 wegen Beziehungen ins "kapitalistische Ausland" von der Stasi festgenommen wird. In endlosen Verhören wird sie von dem jungen Jan, der ehrgeizig an seiner Karriere beim Ministerium für Staatssicherheit arbeitet, vernommen. Ein halbes Jahr lang sehen sie sich in den Verhören fast täglich und es geschieht in dieser Zeit das Unfassbare: Sie verlieben sich ineinander. Ihre Gefühle jedoch dürfen sie nicht zeigen, sondern müssen sie versteckt halten.</t>
  </si>
  <si>
    <t>12 Years a Slave</t>
  </si>
  <si>
    <t>tt2024544</t>
  </si>
  <si>
    <t>Chiwetel Ejiofor, Michael Kenneth Williams, Michael Fassbender</t>
  </si>
  <si>
    <t>Solomon Northup ist ein freier Afro-Amerikaner, der in New York als freier Tischler arbeitet. Seine wahre Leidenschaft ist allerdings die Musik, und als zwei vorgebliche Zirkus-Betreiber ihn in Washington DC als Musiker engagieren wollen, wirft er seine Bedenken über Bord. Wenig später findet sich Salomon seiner Identität beraubt in Louisiana wieder, wo er als Sklave arbeiten muss. Sollte er je seinen wahren Namen und seinen Status als freier Mann erwähnen, so sagten sie ihm, werde er sterben. In den folgenden 12 Jahren wechselt er mehrmals den Besitzer, und damit auch oft die Beschäftigung und die Art, wie er behandelt wird. Hoffnung blüht erst auf, als er auf der Plantage von Edwin Epps den weißen Tischler Samuel Bass kennenlernt. Ihm vertraut er eine Nachricht an seine Familie an, welche in New York einen befreundeten Anwalt engagiert, um Solomon nach zwölf Jahren als Sklave endlich zu befreien und nach Hause zu bringen.</t>
  </si>
  <si>
    <t>24 Wochen</t>
  </si>
  <si>
    <t>tt5369484</t>
  </si>
  <si>
    <t>Julia Jentsch, Bjarne Mädel, Johanna Gastdorf, Emilia Pieske, Maria Dragus</t>
  </si>
  <si>
    <t>Astrid und Markus stehen mit beiden Beinen fest im Leben. Astrid lebt und liebt ihren Beruf als Kabarettistin, ihr Mann und Manager Markus unterstützt sie besonnen und liebevoll. Doch als die beiden ihr zweites Kind erwarten, wird ihr Leben aus der Bahn geworfen: Bei einer Routineuntersuchung erfahren sie, dass das Baby schwer krank ist. Die Diagnose trifft sie wie das blinde Schicksal, das sie auf sich nehmen müssen. Gemeinsam wollen sie lernen, damit umzugehen. Doch während Heilungspläne, Ratschläge und Prognosen auf sie niederprasseln, stößt ihre Beziehung an ihre Grenzen. Die Suche nach der richtigen Antwort stellt alles in Frage: die Beziehung, den Wunsch nach einem Kind, ein Leben nach Plan. Je mehr Zeit vergeht, desto klarer erkennen sie, dass nichts und niemand ihnen die Entscheidung abnehmen kann, die eine Entscheidung über Tod und Leben ist.</t>
  </si>
  <si>
    <t>A Gifted Man</t>
  </si>
  <si>
    <t>tt7491818</t>
  </si>
  <si>
    <t>Patrick Wilson, Jennifer Ehle, Margo Martindale</t>
  </si>
  <si>
    <t>Gehirnchirurg Ben Carson, der viele Hürden überwand, um den Werdegang der Medizin für immer zu ändern. Für den jungen Mann standen die Chancen schlecht. Er wuchs in einem zerrütteten Elternhaus inmitten von Armut und Vorurteilen auf, schnitt schlecht in der Schule ab und neigte zu Wutausbrüchen. Doch seine Mutter verlor nie den Glauben an ihn. Sie hielt ihn dazu an, die Chancen zu nutzen, die sie nie hatte, sie half ihm dabei, seine Phantasie, seine Intelligenz und vor allem seinen Glauben an sich selbst zu entwickeln. Dieser Glaube sollte seine Rettung werden, er befähigte ihn, seinem Traum zu folgen und einer der führenden Neurochirurgen der Welt zu werden.</t>
  </si>
  <si>
    <t>Above The Shadows</t>
  </si>
  <si>
    <t>Above the Shadows</t>
  </si>
  <si>
    <t>Drama, Fantasy, Romance</t>
  </si>
  <si>
    <t>tt4622682</t>
  </si>
  <si>
    <t>Olivia Thirlby, Alan Ritchson, Jim Gaffigan</t>
  </si>
  <si>
    <t>Nach dem frühen Tod ihrer Mutter, zieht sich Holly immer weiter zurück. Das Leben zieht an ihr vorbei und Holly scheint zu verblassen - bis sie für ihre Umwelt buchstäblich unsichtbar ist. Nach anfänglichem Entsetzen baut sie sich ein verhältnismäßig normales Leben auf. Verborgen im Schatten, verdient sich Holly ihren Lebensunterhalt als anonyme Promi-Fotografin. Sie scheint sich mit ihrem Leben zu arrangieren, bis sie auf den ehemals sehr erfolgreichen MMA-Champion Shane Blackwell trifft. Er ist nach Jahren der erste Mensch, der sie sehen kann. Als sich herausstellt, dass Holly auch für das Foto verantwortlich, das zu Shanes Absturz geführt hat, setzt sie alles daran, dies wiedergutzumachen...</t>
  </si>
  <si>
    <t>Aftersun</t>
  </si>
  <si>
    <t>tt19770238</t>
  </si>
  <si>
    <t>Paul Mescal, Frankie Corio, Celia Rowlson-Hall</t>
  </si>
  <si>
    <t>Die 11-jährige Sophie genießt die seltene gemeinsame Zeit mit ihrem liebevollen und idealistischen Vater Calum in einem verblassenden Ferienort. Zwanzig Jahre später werden Sophies zärtliche Erinnerungen an ihren letzten Urlaub zu einem kraftvollen und herzzerreißenden Porträt ihrer Beziehung.</t>
  </si>
  <si>
    <t>American History X</t>
  </si>
  <si>
    <t>tt0120586</t>
  </si>
  <si>
    <t>Edward Norton, Edward Furlong, Beverly D'Angelo</t>
  </si>
  <si>
    <t>Dereks Leben ist geprägt von Hass - von rassistischem Hass, den er seit dem tragischen Tod seines Vaters fanatisch verfolgt. In seiner Clique aus Gleichgesinnten steigt er auf Grund seiner Intelligenz und seiner rhetorischen Fähigkeiten sehr schnell zum Anführer auf, unterstützt durch den Altnazi Cameron. Doch ein Gefängnisaufenthalt ändert seine Ansichten völlig. Während er sich dort vor Übergriffen seiner Kameraden schützen muss und zur Vernunft kommt, ist sein kleiner Bruder Danny auf dem besten Wege dahin, in den Nazisumpf abzugleiten und es seinem Vorbild Derek gleich zu tun.</t>
  </si>
  <si>
    <t>Apocalypse Now</t>
  </si>
  <si>
    <t>tt0078788</t>
  </si>
  <si>
    <t>Martin Sheen, Marlon Brando, Robert Duvall</t>
  </si>
  <si>
    <t>Im Jahr 1969, mitten im Vietnamkrieg, erhält Captain Benjamin L. Willard den Auftrag, den abtrünnigen Colonel Walter E. Kurtz zu liquidieren. Dieser hat sich von der amerikanischen Militärführung distanziert und lässt sich nicht mehr kontrollieren. Im kambodschanischen Dschungel hat er sich ein eigenes „Reich“ aufgebaut, über das er gebieterisch herrscht. Captain Willard macht sich in einem Patrouillenboot samt Besatzung von Saigon aus auf den Weg durch den Dschungel. Die Reise der Männer entwickelt sich zu einem Höllentrip durch die Absurditäten eines sinnentleerten Kriegs und offenbart, analog zur Romanvorlage, die Abgründe der menschlichen Seele.</t>
  </si>
  <si>
    <t>Apostel!</t>
  </si>
  <si>
    <t>Bayerns Naturdenkmäler - Von Wackelstein bis Zwölf Apostel</t>
  </si>
  <si>
    <t>tt16808564</t>
  </si>
  <si>
    <t>Robert Duvall, Farrah Fawcett, Miranda Richardson, John Beasley, Walton Goggins</t>
  </si>
  <si>
    <t>Drama von Robert Duvall, der das Buch schrieb, Regie führte, den Film selbst finanzierte und auch die Hauptrolle spielt. Der Film erzählt die Geschichte eines texanischen Priesters, der sich als "Apostel E.F." daran macht, die Kirche neu zu erfinden.</t>
  </si>
  <si>
    <t>Arctic</t>
  </si>
  <si>
    <t>tt6820256</t>
  </si>
  <si>
    <t>Mads Mikkelsen, Maria Thelma Smáradóttir, Tintrinai Thikhasuk</t>
  </si>
  <si>
    <t>Der Forscher Overgard (Mads Mikkelsen) befindet sich nach einem Flugzeugabsturz in der Eiswüste der Arktis in aussichtsloser Lage. Er ist zwar nicht großartig verletzt, aber Hilfe ist weit und breit nicht in Sicht. Zu Fuß einen Weg zu suchen, wäre ohne Landkarte Selbstmord. Er ernährt sich von geangeltem rohem Fisch und gibt seine Versuche nicht auf, mit der Außenwelt in Kontakt zu treten. Behelfsmäßigen Unterschlupf findet er in dem Flugzeugwrack. Als bei einem schweren Sturm ein chinesischer Hubschrauber auf Erkundungsflug vor seiner Nase abstürzt, verkompliziert sich die Lage. Die junge Co-Pilotin (Maria Thelma Smaradottir) überlebt den Crash schwer verletzt, während ihr Kompagnon ums Leben kommt. Overgard nimmt sich der Frau an und versucht sie aufzupäppeln, doch sie erlangt nur sporadisch das Bewusstsein und droht zu sterben – aber immerhin zieht er aus dem havarierten Hubschrauber einige nützliche Ausrüstungsgegenstände.</t>
  </si>
  <si>
    <t>Beautiful Boy</t>
  </si>
  <si>
    <t>tt1226837</t>
  </si>
  <si>
    <t>Steve Carell, Maura Tierney, Jack Dylan Grazer</t>
  </si>
  <si>
    <t>Der Film erzählt die bewegende Geschichte einer Familie, die über Jahre hinweg gegen die Drogenabhängigkeit des ältesten Sohns Nic ankämpft.  Als Nic drogenabhängig wird, kann David es nicht glauben, er kann es nicht aufhalten, und er tut alles dafür, seinen Sohn zurück zu bekommen. Während er mit Nics Lügen und Vertrauensbrüchen ringt, blickt der Film immer wieder zurück auf den Nic, wie er früher einmal war – ein rücksichtsvoller, wunderbarer Junge.</t>
  </si>
  <si>
    <t>Because of You</t>
  </si>
  <si>
    <t>Honkai Impact 3rd: Because of You</t>
  </si>
  <si>
    <t>tt27047055</t>
  </si>
  <si>
    <t>Marina Inoue, Juri Kimura</t>
  </si>
  <si>
    <t>Im Sommer vor ihrem Studium erlebt die Leseratte Auden mit dem rätselhaften Nachtschwärmer Eli erstmals eine unbeschwerte Teenagerzeit, die ihr bisher verwehrt war.</t>
  </si>
  <si>
    <t>Before Midnight</t>
  </si>
  <si>
    <t>tt2209418</t>
  </si>
  <si>
    <t>Ethan Hawke, Julie Delpy, Seamus Davey-Fitzpatrick</t>
  </si>
  <si>
    <t>Neun Jahre sind vergangen, seit Jesse sein Flugzeug zurück in die Vereinigten Staaten verpasst hat, um stattdessen bei Celine in Paris zu bleiben. Nun verbringen der amerikanische Schriftsteller und die impulsive Französin ihren Sommerurlaub bei Freunden in Griechenland. Doch der letzte gemeinsame Abend verläuft nicht wie erhofft und schließlich stehen beide vor der Frage, ob es für ihre Liebe überhaupt noch eine Zukunft gibt.</t>
  </si>
  <si>
    <t>Beim Leben meiner Schwester</t>
  </si>
  <si>
    <t>My Sister's Keeper</t>
  </si>
  <si>
    <t>tt1078588</t>
  </si>
  <si>
    <t>Cameron Diaz, Abigail Breslin, Sofia Vassilieva, Alec Baldwin, Jason Patric</t>
  </si>
  <si>
    <t>Brian und Sara Fitzgerald bekommen eine der schlimmsten Nachrichten, die man Eltern überbringen kann: Ihre zweijährige Tochter Kate ist an Leukämie erkrankt. Das Paar trifft daraufhin eine schwerwiegende Entscheidung. Da weder ihr Sohn Jesse noch sie selbst als passende Spender für die kleine Kate in Frage kommen, entschließen sie sich, ein drittes Kind zu bekommen, das genetisch auf die Bedürfnisse seiner großen Schwester abgestimmt ist. Baby Anna ist fortan also ein lebendiges Ersatzteillager für Kate, deren Krebs immer wieder zurückkehrt. Die Eltern sind zu allem bereit, um Kate am Leben zu erhalten. Doch dann, als Anna elf Jahre alt ist, weigert sie sich, eine ihrer Nieren zu spenden und holt sich dafür Unterstützung von Anwalt Campbell Alexander.</t>
  </si>
  <si>
    <t>Ben is Back</t>
  </si>
  <si>
    <t>Ben Is Back</t>
  </si>
  <si>
    <t>tt7545524</t>
  </si>
  <si>
    <t>Julia Roberts, Lucas Hedges, Courtney B. Vance</t>
  </si>
  <si>
    <t>Holly Burns weiß gar nicht, wie ihr geschieht: Wie aus dem Nichts steht plötzlich ihr ältester Sohn Ben vor der Tür, bereit, wieder in den Kreis der Familie aufgenommen zu werden. Doch die Stimmung droht schon bald zu kippen, denn auch wenn seine Mutter nur zu gerne glauben würde, dass Ben sein Drogenproblem hinter sich gelassen hat, bleibt ein gewisser Zweifel. Sein Stiefvater Neal und seine Schwester Ivy sind von der Rückkehr nur wenig begeistert und befürchten, schon bald vor einem emotionalen Trümmerhaufen zu stehen – schon wieder. Doch Holly gibt ihren Sohn nicht auf und steht ihm in dieser besonders schweren Zeit bei, um die Familie zusammenzuhalten. Ben wird allerdings schnell von seiner Vergangenheit eingeholt, sodass sich seine Mutter fragen muss, ob sie ihren eigenen Sohn überhaupt kennt.</t>
  </si>
  <si>
    <t>Betty und ihre Schwestern</t>
  </si>
  <si>
    <t>Little Women</t>
  </si>
  <si>
    <t>tt0110367</t>
  </si>
  <si>
    <t>Winona Ryder, Trini Alvarado, Samantha Mathis, Kirsten Dunst, Claire Danes</t>
  </si>
  <si>
    <t>Auf dem Roman „Little Women“ von Louisa May Alcott basierendes Familiendrama, das von vier Schwestern handelt, deren Vater im amerikanischen Bürgerkrieg kämpft. Die Mutter kümmert sich sorgsam um ihre Töchter, die die kritische Zeit des Erwachsenwerdens durchmachen.</t>
  </si>
  <si>
    <t>Birthday Girl</t>
  </si>
  <si>
    <t>tt19883220</t>
  </si>
  <si>
    <t>Trine Dyrholm, Flora Ofelia Hofmann Lindahl, Herman Tømmeraas</t>
  </si>
  <si>
    <t>Nanna hat ihre Tochter Cille und ihre beste Freundin zu einer Kreuzfahrt eingeladen, um Cilles 18. Geburtstag zu feiern. Die Erwartungen sind hoch und sie haben große Pläne für die Tage an Bord der Kreuzfahrt. Doch schon in der ersten Nacht wird ihr Traumurlaub zum Albtraum, als Cille bei einem Überfall aufgefunden wird. Schockiert erkennt Nanna, dass sie selbst handeln muss, um sicherzustellen, dass Gerechtigkeit herrscht. Der Film ist ein intensives Drama über die beharrliche Suche einer Mutter nach Gerechtigkeit und die Liebe ihrer Tochter.</t>
  </si>
  <si>
    <t>Black Box - Gefährliche Wahrheit</t>
  </si>
  <si>
    <t>Black Box</t>
  </si>
  <si>
    <t>tt10341034</t>
  </si>
  <si>
    <t>Pierre Niney, Lou de Laâge, André Dussollier</t>
  </si>
  <si>
    <t>Mathieu ist ein hochtalentierter Blackbox-Analyst, der die Ursache für den tödlichen Absturz eines brandneuen Flugzeugs aufklären soll. Als der Fall von den Behörden abgeschlossen wird, spürt Mathieu jedoch, dass etwas mit den Beweisen ganz und gar nicht stimmt. Er sieht sich die Blackbox erneut an und stößt dabei auf einige sehr beunruhigende Details. Könnte das Band manipuliert worden sein? Entgegen den Anweisungen seines Chefs beginnt Mathieu mit seinen eigenen Ermittlungen – eine manische wie bedrohliche Suche nach der Wahrheit beginnt, die bald weit mehr als seine Karriere in Gefahr bringt …</t>
  </si>
  <si>
    <t>Blackbird - Ein Familiengeschichte</t>
  </si>
  <si>
    <t>Blackbird</t>
  </si>
  <si>
    <t>tt8717446</t>
  </si>
  <si>
    <t>Sam Neill, Susan Sarandon, Anson Boon</t>
  </si>
  <si>
    <t>Lily und Paul haben ein Wochenende mit ihren Kindern Jennifer und Anna in ihrem Landhaus am Meer geplant. Für die Familie ist dies ein ganz besonderer Ort, der voller Erinnerungen und wunderschöner Erlebnisse steckt. Zu dem Familiengespann soll später auch noch Lilys beste Freundin Liz dazustoßen. Die beiden Geschwister könnten unterschiedlicher nicht sein: Während Jennifer eher die Konservativere ist, sticht die jüngere Anna mit ihrer rebellischen Art oft hervor. Es kommt, wie es kommen musste und aus dem eigentlich beschaulichen Wochenende wird nach einem Streit zwischen den Schwestern ein nervenaufreibender Aufenthalt. Im Laufe der Zeit kommen immer mehr unausgesprochene Wahrheiten, Verletzungen und Geheimnisse ans Licht, die die Familienmitglieder miteinander verbinden. Doch können sie wieder zueinanderfinden, um ihrer Mutter einen letzten Wunsch zu erfüllen?</t>
  </si>
  <si>
    <t>Blood in, Blood out – Verschworen auf Leben und Tod</t>
  </si>
  <si>
    <t>Bound by Honor</t>
  </si>
  <si>
    <t>tt0106469</t>
  </si>
  <si>
    <t>Damian Chapa, Jesse Borrego, Benjamin Bratt, Enrique Castillo, Victor Rivers</t>
  </si>
  <si>
    <t>US-amerikanischer Kriminalfilm, der die miteinander verwobenen Leben der drei Brüder Miklo, Cruz  und Paco in Chicago ab dem Jahr 1972 bis Mitte der 1980er thematisiert. Miklo ist in den Augen der anderen kein "reiner" Latino und gilt als "Weisser". Als er trotzdem in die Gang aufgenommen wird, ist er sehr stolz. Doch da fangen die Probleme erst an.</t>
  </si>
  <si>
    <t>Blue Jasmine</t>
  </si>
  <si>
    <t>tt2334873</t>
  </si>
  <si>
    <t>Cate Blanchett, Alec Baldwin, Peter Sarsgaard</t>
  </si>
  <si>
    <t>Nach der Verhaftung ihres Gatten wegen Investmentbetrugs fliegt Society-Lady Jasmine aus ihrem sündteuren Manhattan-Luxus-Appartement und findet Unterschlupf in der kleinen Mietwohnung bei ihrer Adoptivschwester in San Francisco. Mangels Ausbildung und Computerkenntnissen findet sie keinen ihr genehmen Job. Als sie einen reichen und von ihr faszinierten Diplomaten kennen lernt, hofft das Nervenbündel auf einen Neuanfang.</t>
  </si>
  <si>
    <t>Bombshell – Das Ende des Schweigens</t>
  </si>
  <si>
    <t>Bombshell</t>
  </si>
  <si>
    <t>tt6394270</t>
  </si>
  <si>
    <t>Charlize Theron, Margot Robbie, Nicole Kidman, John Lithgow, Allison Janney</t>
  </si>
  <si>
    <t>Megyn Kelly ist das Aushängeschild von Fox News: blond, attraktiv, sexy. Schöne Beine sind bei dem konservativen Nachrichtensender gefragter als investigativer Journalismus und unbequeme Fragen. Als sich die Starmoderatorin vor laufenden Kameras mit Präsidentschaftsbewerber Donald Trump anlegt, hat sie keine Rückendeckung von oben zu erwarten: Senderchef Roger Ailes ist mit Trump befreundet, außerdem beschert der Krawallkandidat Fox News Topquoten – so auch mit seiner sexistischen Twitter-Kampagne gegen Megyn. Ihre gestandene Kollegin Gretchen Carlson weigert sich, noch länger die "TV-Barbie" zu geben. Daraufhin wird ihr Vertrag "wegen enttäuschender Einschaltquoten" nicht verlängert – während die ehrgeizige Redakteurin Kayla Pospisil nach einem Meeting hinter Rogers verschlossener Bürotür aufsteigt. Als Gretchen ihren Boss wegen sexueller Belästigung verklagt, formiert sich bei Fox News sofort "Team Roger". Nur Megyn bleibt verdächtig neutral, auch Kayla schweigt. Aber wie lange noch?</t>
  </si>
  <si>
    <t>Breakthrough - Zurück ins Leben</t>
  </si>
  <si>
    <t>Breakthrough</t>
  </si>
  <si>
    <t>tt7083526</t>
  </si>
  <si>
    <t>Marcel Ruiz, Topher Grace, Sarah Constible</t>
  </si>
  <si>
    <t>"Breakthrough - Zurück ins Leben" basiert auf einer unglaublichen wahren Geschichte und erzählt von der tiefen unendlichen Liebe einer Mutter zu ihrem Kind im Angesicht großer Hoffnungslosigkeit. Als John, der Adoptivsohn von Joyce Smith, auf dem Missouri Lake ins Eis einbricht, scheint alles verloren. Doch, obwohl John leblos darliegt, weigert sich Joyce, ihn aufzugeben.</t>
  </si>
  <si>
    <t>Brooklyn Rules</t>
  </si>
  <si>
    <t>tt0283503</t>
  </si>
  <si>
    <t>Paulo Araujo, Daniel Tay, Ty Thomas Reed</t>
  </si>
  <si>
    <t>Im Brooklyn der 80er herrscht das Gesetz der Straße – und die Mafia. Drei Freunde, die sich kennen, solange sie denken können, lassen sich in diesem Drama von Fragen um Liebe, Verlust und Treue umtreiben. Michael ist ein charmanter Betrüger. Er schreibt sich an der Uni ein und gewinnt das Herz von Ellen, die faszinieren kann. Bobby ist bodenständiger, er plant eine gemeinsame Zukunft mit seiner Freundin. Carmine sucht Wege in die Mafia und fühlt sich besonders von der Gestalt des Caesar angezogen. Der Freund auf Abwegen stellt Michael und Bobby vor die Frage, ob sie es riskieren sollen, sich gegen die Mafia zu stellen oder lieber die langjährige Freundschaft aufs Spiel setzen wollen.</t>
  </si>
  <si>
    <t>Capernaum - Stadt der Hoffnung</t>
  </si>
  <si>
    <t>Capernaum</t>
  </si>
  <si>
    <t>LBN</t>
  </si>
  <si>
    <t>tt8267604</t>
  </si>
  <si>
    <t>Zain Al Rafeea, Yordanos Shiferaw, Boluwatife Treasure Bankole</t>
  </si>
  <si>
    <t>Der zwölfjährige Zain ist nicht auf den Mund gefallen. Statt wie andere Kinder zur Schule zu gehen, muss Zain – als Sohn einer kinderreichen Familie aus ärmsten Verhältnissen in Beirut – bereits täglich Geld nach Hause bringen. Als seine Eltern die jüngere Schwester Sahar an ihren Vermieter verkaufen, hat Zain endgültig genug: Er rennt von zu Hause fort. In einem Freizeitpark trifft er auf die Äthiopierin Rahil, die dort illegal als Putzkraft arbeitet. Zain bietet sich als Babysitter für ihren einjährigen Sohn an. Einige Wochen und viele genauso dramatische wie unvergessliche Erlebnisse später beschliesst Zain, seine Eltern vor Gericht zu verklagen...</t>
  </si>
  <si>
    <t>Carandiru</t>
  </si>
  <si>
    <t>tt0293007</t>
  </si>
  <si>
    <t>Enrique Diaz, Wagner Moura, Caio Blat</t>
  </si>
  <si>
    <t>Carandiru ist ein berüchtigtes Gefängnis im brasilianischen São Paulo, das mit 8000 Insassen auf einem für 4000 Menschen geplanten Platz deutlich überbelegt ist. In den beengten Verhältnissen, die sich der Ordnungsmacht weitgehend einer Kontrolle entziehen, hat sich ein eigenes Sozialsystem ausgebildet. Basierend auf den Erlebnissen des brasilianischen Arztes Drauzio Varella, der in den 1990er Jahren in Carandiru arbeitete, entwirft Hector Babenco ein episodisches Gefängnisdrama. Varella (Luiz Carlos Vasconcelos) sucht Carandiru auf, um die Gefangenen über AIDS aufzuklären, das sich zu einer gefährlichen Seuche unter den Insassen zu entwickeln droht. Dabei lernt er zahlreiche Knastbrüder kennen, die ihm auch ihre Hintergründe offenbaren. In Rückblenden schildert der Film einige ihrer Geschichten und porträtiert das komplexe System aus sozialen Regeln, das Carandiru prägt.</t>
  </si>
  <si>
    <t>Carlitos Way</t>
  </si>
  <si>
    <t>Carlito's Way</t>
  </si>
  <si>
    <t>tt0106519</t>
  </si>
  <si>
    <t>Al Pacino, Sean Penn, Penelope Ann Miller, John Leguizamo, Ingrid Rogers</t>
  </si>
  <si>
    <t>Mit Hilfe des korrupten Anwalts David Kleinfeld wird der Ex-Killer Carlito Brigante nach fünf Jahren Haft vorzeitig aus dem Gefängnis entlassen. Nun möchte er sich zur Ruhe setzen, was allerdings niemand so recht glauben mag, denn Carlo scheint das Verbrechen magnetisch anzuziehen. Als Kleinfeld in Bedrängnis gerät, steht er seinem Freund aus Dankbarkeit zur Seite – ohne zu ahnen, dass ihn dieser aufs Kreuz legen will. Plötzlich findet er sich auf der Flucht vor kaltblütigen Mafiakillern wieder und gerät abermals in einen Strudel der Gewalt …</t>
  </si>
  <si>
    <t>Catch Me If You Can</t>
  </si>
  <si>
    <t>tt0264464</t>
  </si>
  <si>
    <t>Leonardo DiCaprio, Tom Hanks, Christopher Walken</t>
  </si>
  <si>
    <t>Frank W. Abagnale war nicht nur als Arzt und Rechtsanwalt erfolgreich, sondern auch als Copilot einer großen Fluglinie. Das alles erreichte er vor seinem 21. Geburtstag. Er ist ein Meister der Täuschung, aber auch ein brillanter Fälscher. Durch geschickte Scheckbetrügereien ist er zu einem Vermögen von mehreren Millionen Dollar gekommen. FBI-Agent Carl Hanratty hat ihn schon länger im Visier und macht sich zur Aufgabe, Frank zu fassen und vor Gericht zu bringen. Frank ist ihm jedoch immer einen Schritt voraus und macht sich einen Spaß daraus, seinem Verfolger kleine Köder vorzuwerfen, damit die Jagd weiter geht…</t>
  </si>
  <si>
    <t>Claras Geheimnis</t>
  </si>
  <si>
    <t>Clara's Heart</t>
  </si>
  <si>
    <t>tt0094882</t>
  </si>
  <si>
    <t>Whoopi Goldberg, Michael Ontkean, Kathleen Quinlan, Neil Patrick Harris, Spalding Gray</t>
  </si>
  <si>
    <t>Ein farbiges Zimmermädchen aus Jamaika nimmt eine Stelle als Gouvernante in Baltimore an. Nur langsam gewinnt die resolute Frau das Vertrauen des 12jährigen Sohnes der Familie, wobei ihre Zuneigung zu ihm durch die tragischen Ereignisse um ihren eigenen Sohn überschattet wird.</t>
  </si>
  <si>
    <t>Come As You Are - Roadtrip ins Leben</t>
  </si>
  <si>
    <t>Come As You Are</t>
  </si>
  <si>
    <t>tt6722726</t>
  </si>
  <si>
    <t>Grant Rosenmeyer, Hayden Szeto, Ravi Patel</t>
  </si>
  <si>
    <t>Die Freunde Scotty, Mo und Matt sind körperlich beeinträchtigt und wollen der übertriebene Fürsorge ihrer Eltern entfliehen. Sie beschließen, zu einem Bordell in Montreal zu fahren. Die Krankenschwester Sam schließt sich dem Trio an und fährt den Wagen, der die drei Männer ins Bordell bringt. Doch die Reise selbst erweist sich für die Freunde als eine transformative Erfahrung mit einer tieferen Bedeutung.</t>
  </si>
  <si>
    <t>Danke, es tut mir leid</t>
  </si>
  <si>
    <t>Tack och förlåt</t>
  </si>
  <si>
    <t>tt23735436</t>
  </si>
  <si>
    <t>Sanna Sundqvist, Charlotta Björck, Ia Langhammer, Ville Virtanen, Jonatan Rodriguez</t>
  </si>
  <si>
    <t>Die hochschwangere Sara steht plötzlich ganz alleine da, als unerwartet ihre ältere Schwester Linda zur Rettung eilt, zu der sie schon lange keinen Kontakt mehr hatte.</t>
  </si>
  <si>
    <t>Dark Shadows</t>
  </si>
  <si>
    <t>United States, Australia, United Kingdom</t>
  </si>
  <si>
    <t>Comedy, Fantasy, Horror</t>
  </si>
  <si>
    <t>tt1077368</t>
  </si>
  <si>
    <t>Johnny Depp, Michelle Pfeiffer, Eva Green</t>
  </si>
  <si>
    <t>Susan Hamilton hat eigentlich alles was sie braucht, einen liebevollen Ehemann und finanzielle Unabhängigkeit, doch leider wird das Glück durch die Tatsache getrübt, dass sie nicht Schwanger wird und zudem Nacht für Nacht von Albträumen gequält wird. In ihren Träumen sieht sie sich selbst als Karen, eine Leichenwäscherin mit einem Haufen Probleme die auch noch von einem Serienkiller verfolgt wird. Oder ist der Killer gar nicht hinter Karen sondern hinter Susan her? Die Grenzen zwischen Traum und Wirklichkeit verschwimmen ...</t>
  </si>
  <si>
    <t>Das Beste an mir bist Du</t>
  </si>
  <si>
    <t>Mi mejor amigo</t>
  </si>
  <si>
    <t>AR</t>
  </si>
  <si>
    <t>tt6400166</t>
  </si>
  <si>
    <t>Angelo Mutti Spinetta, Lautaro Rodríguez, Guillermo Pfening, Mariana Anghileri, Benicio Mutti Spinetta</t>
  </si>
  <si>
    <t>Vivian, Diane, Carol und Sharon kennen sich schon ihr halbes Leben und sind gemeinsam durch dick und dünn gegangen. Nun sind sie allesamt über 60 und nach wie vor beste Freundinnen. In ihrem regelmäßig stattfindenden Buchclub treffen sich die Vier, um bei jeder Menge Wein über alle möglichen Themen zu reden, nur um Männer geht es dabei zumeist nicht mehr. Das ändert sich jedoch schlagartig, als Vivian ihren Freundinnen das neue Buch vorstellt, dass sie gerade liest: Den Sado-Maso-Bestseller „Fifty Shades of Grey“ von E. L. James. Die erotische Lektüre stellt das (Liebes-)Leben der vier Damen auf den Kopf und sie finden sich auf einmal in einer Reihe von aufregenden romantischen Abenteuern wieder …</t>
  </si>
  <si>
    <t>Das Comeback</t>
  </si>
  <si>
    <t>Das grosse Comeback</t>
  </si>
  <si>
    <t>tt1709102</t>
  </si>
  <si>
    <t>Uwe Ochsenknecht, Andrea Sawatzki, Valerie Niehaus</t>
  </si>
  <si>
    <t>Nachdem er etliche Kämpfe hintereinander verloren hat, sieht der Halbschwergewicht-Boxer Jim Braddock keinen anderen Ausweg mehr: Er hört auf, in den Ring zu steigen und muss sich von nun an mit mickrigen Jobs begnügen, damit er, seine Frau Mae und seine Kinder über die Runden kommen.Eines Tages allerdings hat er die Chance zu seinem großen Comeback, als ein anderer Boxer einen Kampf absagen muss und Jim für ihn den Ring zurückkehrt. Hingegen aller Erwartungen gewinnt er den Kampf und wird so zum Held. Doch sein nächster Gegner wird nicht so einfach zu besiegen sein. Das Schwergewicht Max Baer stieg nämlich schon zweimal als einziger Überlebender aus dem Ring...</t>
  </si>
  <si>
    <t>Das Geheimnis des Seehund-Babys</t>
  </si>
  <si>
    <t>Das Geisterhaus</t>
  </si>
  <si>
    <t>Esteban Trueba, ein Mann aus ärmlichen Verhältnissen, steigt während der 1920er Jahre in Chile zum Großgrundbesitzer auf. Seine Familie, darunter seine Schwester Férula, aber auch seine Frau Clara leiden unter der Härte und Unerbittlichkeit des Patriarchen. Esteban geht schließlich in die Politik, um als konservativer Senator die Geschicke des Landes mitzubestimmen. Als die Generäle durch seine Unterstützung an die Macht kommen und ihr Terrorregime errichten, fühlt Esteban sich um seine Ideale betrogen.</t>
  </si>
  <si>
    <t>Das Gesetz der Familie</t>
  </si>
  <si>
    <t>Trespass Against Us</t>
  </si>
  <si>
    <t>tt3305308</t>
  </si>
  <si>
    <t>Michael Fassbender, Brendan Gleeson, Lyndsey Marshal, Rory Kinnear, Sean Harris</t>
  </si>
  <si>
    <t>Seit Generationen leben die Familienmitglieder des berüchtigten Cutler-Clans als Outlaws in der sanfthügeligen und üppigen Landschaft um Gloucestershire in England. Was sie zum Leben brauchen, stehlen sie von den reichen Bewohnern der Gegend und haben einen Mordsspaß dabei, die lokale Polizei an der Nase herumzuführen. Chad bewundert seinen Vater, Clan-Oberhaupt Colby  dafür ein Freigeist zu sein und sein Leben in absoluter Unabhängigkeit verbracht zu haben. Aber er weiß auch, dass das Leben abseits der Regeln nur bedingt Freiheit bietet, denn der Rückweg in die zivile Gesellschaft ist verbaut. Auch Chads Kinder sollen, wenn es nach Colby geht, frei und wild bleiben und ihre Zeit nicht mit der Schule vergeuden. Doch die Unabhängigkeit hat ihren Preis: die Polizei liegt stets auf der Lauer, in der Gruppe herrscht Chaos und das Geld ist immer knapp.</t>
  </si>
  <si>
    <t>Das Glück an meiner Seite</t>
  </si>
  <si>
    <t>You're Not You</t>
  </si>
  <si>
    <t>tt1198156</t>
  </si>
  <si>
    <t>Hilary Swank, Emmy Rossum, Josh Duhamel, Stephanie Beatriz, Julian McMahon</t>
  </si>
  <si>
    <t>Für die glücklich verheiratete, erfolgreiche Pianistin Kate ändert sich schlagartig alles, als sie die Diagnose ALS erhält. Von nun an auf Hilfe angewiesen engagiert sie aus der Reihe hochqualifizierter Bewerber auf die Pflegestelle ausgerechnet die chaotische Bec. Mit ihrer direkten und frischen Art scheint diese so gar nicht in die wohlgeordnete Welt von Kate zu passen. Doch sie vertraut ihrem Instinkt und setzt sich gegenüber ihrem Mann, der ihre Entscheidung nicht verstehen kann, durch. Wie sich zeigt zu recht, denn Bec erweist sich nicht nur als humorvolle und unkonventionelle Pflegerin, durch sie lernt Kate völlig neue Seiten von sich kennen. Aus den so gegensätzlichen Frauen werden ziemlich schnell beste Freundinnen.</t>
  </si>
  <si>
    <t>Der Fall Richard Jewell</t>
  </si>
  <si>
    <t>Richard Jewell</t>
  </si>
  <si>
    <t>tt3513548</t>
  </si>
  <si>
    <t>Paul Walter Hauser, Jon Hamm, Kathy Bates, Sam Rockwell, Olivia Wilde</t>
  </si>
  <si>
    <t>Atlanta 1996: Die ganze Stadt ist elektrisiert vom sportlichen Ereignis, das derzeit stattfindet – die Olympischen Sommerspiele. Auch Sicherheitsmann Richard Jewell fiebert mit, wenn er nicht gerade arbeiten muss. Nichtsahnend tritt er seine Schicht am 27. Juli an, als er plötzlich einen auffälligen Rucksack unter einer Parkbank entdeckt. Er verständigt sofort die Polizei. Gemeinsam mit den anrückenden Einsatzkräften evakuieren sie den Park. So schaffen sie es, die Opferzahl so gering wie möglich zu halten und tausenden Menschen das Leben zu retten.</t>
  </si>
  <si>
    <t>Der Gesang der Flusskrebse</t>
  </si>
  <si>
    <t>Where the Crawdads Sing</t>
  </si>
  <si>
    <t>tt9411972</t>
  </si>
  <si>
    <t>Daisy Edgar-Jones, Taylor John Smith, Harris Dickinson, David Strathairn, Michael Hyatt</t>
  </si>
  <si>
    <t>Von ihrer Familie im Stich gelassen, wächst Kya ganz allein in den Sümpfen außerhalb ihrer Kleinstadt auf. Als ihr ehemaliger Freund tot aufgefunden wird, wird Kya von den Einwohnern und der Polizei sofort als Hauptverdächtige für seinen Mord gebrandmarkt.</t>
  </si>
  <si>
    <t>Der Junge, der nicht lügen konnte</t>
  </si>
  <si>
    <t>Jimmy</t>
  </si>
  <si>
    <t>tt1376205</t>
  </si>
  <si>
    <t>Patrick Fabian, Kelly Carlson, Ian Colletti, Ted Levine, Bob Gunton</t>
  </si>
  <si>
    <t>Jimmy ist ein ganz besonderer Junge: Seit er als Baby beinahe ertrunken wäre, ist er, wie die Leute sagen, etwas „langsam“ im Kopf. Und er hat panische Angst vor Wasser. Aber er hat auch eine besondere Gabe: Er vergisst nichts, was er gehört hat – und er kann nicht lügen. Als er unfreiwillig Zeuge eines Verbrechens wird, ist es gerade diese Gabe, die ihn in große Gefahr bringt. Doch Gott, dem Jimmy fest vertraut, ist bei ihm und findet einen Weg, den Jungen zu retten – und dabei seine Angst vor dem Wasser zu überwinden.</t>
  </si>
  <si>
    <t>Der Liebe verfallen</t>
  </si>
  <si>
    <t>Falling in Love</t>
  </si>
  <si>
    <t>tt0087233</t>
  </si>
  <si>
    <t>Robert De Niro, Meryl Streep, Harvey Keitel, Jane Kaczmarek, George Martin</t>
  </si>
  <si>
    <t>Buchillustratorin Molly Gilmore fährt fast täglich von Ardsley nach Manhattan, um den kranken Vater zu besuchen. In Dobbs Ferry steigt Bauingenieur Frank Raftis zu. Beim Weihnachtseinkauf für ihre Familien treffen sie in einer Buchhandlung aufeinander, vertauschen versehentlich die Geschenke. Als sie sich wiedersehen, folgt der Verabredung zum Lunch die Suche nach einem Liebesnest. Das erste Mal schlägt fehl, weil Molly ihren Mann nicht betrügen kann. Erst nach etlichen Konflikten und Trennungen werden sie frei füreinander.</t>
  </si>
  <si>
    <t>Rudy Baylor steht kurz vor dem Ende seines Jurastudiums. Schon jetzt sucht er nach Klienten, aber die sind nicht so leicht zu finden. So verdingt Rudy sich in der Kanzlei von Bruiser Stone. Zuerst wird der Neuling dem Gehilfen Deck unterstellt, der ihm zeigt, wie man die Grauzonen des Gesetzes ausnutzt. Dann erhält Rudy seinen ersten Fall: Er vertritt das Ehepaar Black, deren Sohn Leukämie hat. Eine Knochenmarktransplantation kann helfen, aber die Versicherung will nicht zahlen …</t>
  </si>
  <si>
    <t>Der Schrei nach Liebe</t>
  </si>
  <si>
    <t>Im Alter von fünf Jahren halb Danny (Jude Law) der kleinen Anna Swan (Gretchen Mol) mit eigenen Händen auf die Welt und entschloß sich, sich später in sie zu verlieben. Als er sie mit Mitte Zwanzig durch einen Zufall wiedertrifft, ist er bei ihrer Familie hochwillkommen, denn da liegt einiges im Argen. Anna ist verlobt, ihre blinde Schwester Nina (Jennifer Tilly) hockt nur daheim, die andere Schwester Karen (Martha Plimpton) ist eine notorische Feministin. Bruder Billy (Jeremy Piven) ist mit einer Lebensmüden verheiratet und der Mutter Grace (Brenda Blethyn) geht es körperlich schlecht. Und in diese Familie platzt nun der zu allem entschlossene Danny, der sich sicher ist, der Richtige für Anna zu sein. Das ist aber nicht so einfach...</t>
  </si>
  <si>
    <t>Detachment</t>
  </si>
  <si>
    <t>tt1683526</t>
  </si>
  <si>
    <t>Adrien Brody, Christina Hendricks, Marcia Gay Harden</t>
  </si>
  <si>
    <t>Er bleibt nie lange, denn er hat Angst vor Nähe und Verantwortung. Henry Barthes ist Aushilfslehrer, unterrichtet mal hier, mal dort. Sein neuester Auftrag führt ihn an eine berüchtigte High School in New York. Von den Jugendlichen seiner neuen Klasse wird Henry mehr gefordert als je zuvor. Zusätzlich steht er plötzlich drei Frauen gegenüber, die mehr von ihm möchten als Unverbindlichkeit: seine Kollegin Sarah Madison, die Schülerin Meredith und die obdachlose Prostituierte Erica. Sie bringen Henrys Welt durcheinander und zwingen ihn, endlich Nähe zuzulassen.</t>
  </si>
  <si>
    <t>Die Abbotts – Wenn Hass die Liebe tötet</t>
  </si>
  <si>
    <t>Inventing the Abbotts</t>
  </si>
  <si>
    <t>tt0119381</t>
  </si>
  <si>
    <t>Joaquin Phoenix, Liv Tyler, Jennifer Connelly, Billy Crudup, Joanna Going</t>
  </si>
  <si>
    <t>Der Film ist zeitlich in den 1950ern angesiedelt. Die Brüder Doug und Jacey lernen die Schwestern Abbott kennen. Doch während Dougs Gefühle für Pamela Abbot aufrichtig sind, will Jacey Genugtuung, indem er sich an die beiden älteren Schwestern ranmacht. Er macht Vater Abbott für den Tod seines Vaters verantwortlich.</t>
  </si>
  <si>
    <t>Die durch die Hölle gehen</t>
  </si>
  <si>
    <t>The Deer Hunter</t>
  </si>
  <si>
    <t>tt0077416</t>
  </si>
  <si>
    <t>Robert De Niro, Christopher Walken, John Cazale, John Savage, Meryl Streep</t>
  </si>
  <si>
    <t>Michael, Steven und Nick sind drei befreundete, russisch-stämmige Stahlarbeiter aus Pennsylvania. "Serving God and country proudly" steht auf einem großen Spruchband, als die drei Männer in den Vietnamkrieg ziehen. In der grünen Hölle werden sie schnell mit allen Grausamkeiten konfrontiert, die dem indochinesischen Konflikt immanent sind. Michael, Steven und Nick müssen zusehen, wie nordvietnamesische Soldaten unschuldige vietnamesische Bauern, vor allem Frauen und Kinder, töten und geraten alle drei in Gefangenschaft des Vietcong. Zusammen mit anderen traumatisierten Gefangenen zwingt der Vietcong die drei zu einem bestialischen "Spiel", in dem sie sich nacheinander einer Art russischem Roulette unter einem Bild Ho Chi Minhs aussetzen müssen. Michael aber findet eine Möglichkeit, dem selbstmörderischen Spiel zu entkommen...</t>
  </si>
  <si>
    <t>Die Erfindung der Wahrheit</t>
  </si>
  <si>
    <t>Miss Sloane</t>
  </si>
  <si>
    <t>FR, US</t>
  </si>
  <si>
    <t>tt4540710</t>
  </si>
  <si>
    <t>Jessica Chastain, Mark Strong, Gugu Mbatha-Raw, Alison Pill, Michael Stuhlbarg</t>
  </si>
  <si>
    <t>Der 2. Zusatzartikel zur Verfassung der Vereinigten Staaten von Amerika, der Einschränkungen im Besitz und Tragen von Waffen seitens der Bundesregierung verbietet, ist seit Jahren politischer Sprengstoff. Auf diesem Schlachtfeld agiert die überaus erfolgreiche politische Strategin Elizabeth Sloane , die auf Grund ihrer Ambition und Skrupellosigkeit eine überaus erfolgreiche Vertreterin ihres Metiers darstellt. Dabei stellt sie die ausbeuterische Welt der Lobbyisten auf beiden Seiten der Debatte im Diskurs über Waffenkontrolle bloß. Ein neues Gesetz, welches strengere Überprüfungen von Waffenbesitzern fordert, gewinnt zunehmend an Zugkraft im Kongress. Sloane wird zur Vorkämpferin der Kampagne, wodurch sie sich einer Vielzahl politischer Gegner gegenübersieht. Mit ihrem allseits bekannten Geschick und von einem eisernen Siegeswillen angetrieben, gefährdet sie ausgerechnet all jene, die ihr am meisten bedeuten. Und auch ihre Karriere ist zunehmend in Gefahr...</t>
  </si>
  <si>
    <t>Die Farbe Lila</t>
  </si>
  <si>
    <t>The Color Purple</t>
  </si>
  <si>
    <t>tt1200263</t>
  </si>
  <si>
    <t>Fantasia Barrino, Taraji P. Henson, Danielle Brooks, Colman Domingo, Corey Hawkins</t>
  </si>
  <si>
    <t>Celie Harris lebt zusammen mit ihrer Schwester Nettie im amerikanischen Süden des beginnenden 20. Jahrhunderts. Bereits mit vierzehn Jahren wird sie von ihrem Vater vergewaltigt und anschließend an Albert „Mister“ Johnson verheiratet, der ihre geliebte Schwester aus dem Haus verbannt und ihr verbietet, sie jemals wiederzusehen. Während der folgenden Jahrzehnte in dieser gewaltvollen und gefühlskalten Ehe trifft Celie auf bemerkenswerte Frauen, deren eigene Geschichten alle auf unterschiedliche Weise mit der von Celie verwoben sind. Zu diesen gehört unter anderen die Sängerin Shug Avery, zu der sich – obwohl sie die Geliebte von „Mister“ ist – eine Freundschaft entwickelt. Nach vielen Widrigkeiten ist es schließlich an der Zeit, dass die Frauen ihr Schicksal selbst in die Hand zu nehmen.  Filmmusical nach dem gleichnamigen Roman von Alice Walker um die Schwierigkeiten der afroamerikanischen Bevölkerung zu Beginn des 20. Jahrhunderts.</t>
  </si>
  <si>
    <t>Die Jahrgangsbeste</t>
  </si>
  <si>
    <t>Killer Competition</t>
  </si>
  <si>
    <t>tt11671438</t>
  </si>
  <si>
    <t>Jacqueline Scislowski, Cristine Prosperi, Kate Watson, Paul London, Gina Hiraizumi</t>
  </si>
  <si>
    <t>Gefährliche Manipulation: Um Jahrgangsbeste zu werden, fälscht Nicole Prüfungsunterlagen. Als einer ihrer Rivalen tot aufgefunden und weitere attackiert werden, gerät sie unter Mordverdacht.</t>
  </si>
  <si>
    <t>Die junge Frau und das Meer</t>
  </si>
  <si>
    <t>Young Woman and the Sea</t>
  </si>
  <si>
    <t>Filmbiographie</t>
  </si>
  <si>
    <t>tt5177114</t>
  </si>
  <si>
    <t>Daisy Ridley, Tilda Cobham-Hervey, Stephen Graham, Kim Bodnia, Jeanette Hain</t>
  </si>
  <si>
    <t>Dies ist die einzigartige Geschichte von Trudy Ederle, der ersten Frau, die erfolgreich den Ärmelkanal durchschwamm. Dank der unerschütterlichen Unterstützung ihrer älteren Schwester und ihrer Trainer überwand sie alle Widrigkeiten und die Anfeindungen einer patriarchalischen Gesellschaft, um in der olympischen Schwimmmannschaft aufzusteigen und die 34 Kilometer lange Strecke von Frankreich nach England zu bewältigen.</t>
  </si>
  <si>
    <t>Die Kinder der Sonne</t>
  </si>
  <si>
    <t>Деца на сонцето</t>
  </si>
  <si>
    <t>tt2846008</t>
  </si>
  <si>
    <t>Ivana Pavlaković, Vlado Jovanovski, Meto Jovanovski, Biljana Tanevska, Emir Hadžihafizbegović</t>
  </si>
  <si>
    <t>Kale muss mit seiner Familie sein Zuhause verlassen, weil seine Taverne den Plänen der örtlichen Mafia im Wege steht. Die ganze Hoffnung der Familie liegt auf der hübschen Tochter Angela, die mit einem reichen Deutschen verkuppelt werden soll. Doch Mutter Miras Auserkorener entpuppt sich als Betrüger und Angela trifft sich weiterhin heimlich mit ihrem Liebhaber Marco. Als Kale beim Tauchen eine goldene Figur findet, schöpft die schräge Familie wieder Hoffnung. Aber alles kommt ganz anders…</t>
  </si>
  <si>
    <t>Die Kinder meines Bruders</t>
  </si>
  <si>
    <t>tt5570814</t>
  </si>
  <si>
    <t>David Rott, Max Hegewald, Anna Thalbach</t>
  </si>
  <si>
    <t>Was kostet die Welt? Nach diesem Motto genießt der unstete Eric Steiner in Berlin sein Leben. Er liebt seine Freundin Verena und will sie glücklich machen, kann jedoch mit deren kleiner Tochter so gar nichts anfangen. Überhaupt: Familie, Verantwortung und Verpflichtung sind für Eric Fremdwörter. Als er vom Tod seines Bruders Christoph erfährt, der als Milchbauer in Sachsen-Anhalt lebte, ist dies ein Schock. Trotzdem will er den Hof schnellstmöglich abwickeln und Christophs Kinder, den 16-jährigen Nico und die 11-jährige Leonie, zu Pflegeeltern abschieben. Verantwortung für die Kinder und den familiären Milchhof zu übernehmen, auf dem er selbst aufwuchs? Das kommt Eric nicht in den Sinn. Auch als er in seine alte Heimat zurückkehrt, will er nur eins: so schnell wie möglich wieder verschwinden...</t>
  </si>
  <si>
    <t>Die Poesie Des Unendlichen</t>
  </si>
  <si>
    <t>The Man Who Knew Infinity</t>
  </si>
  <si>
    <t>tt0787524</t>
  </si>
  <si>
    <t>Dev Patel, Jeremy Irons, Toby Jones, Devika Bhise, Stephen Fry</t>
  </si>
  <si>
    <t>Das koloniale Indien des Jahres 1913: Srinivasa Ramanujan ist 25, einfacher Büroangestellter – und ein genialer, intuitiver Mathematiker. Doch weder Familie noch Vorgesetzte würdigen bzw. erkennen, welche Fähigkeit Srinivasa hat. Er wendet sich an den britischen Mathematikprofessor G. H. Hardy, der am Trinity College in Cambridge arbeitet. Hardy merkt schnell, dass ihn ein großes Talent kontaktiert hat. Der Professor holt Srinivasa nach England, gegen Widerstände akademischer Kollegen, und das junge Mathegenie macht Theorien zu Formeln, nach denen die Mathematik nicht mehr so ist wie davor. Doch Srinivasa, der seine Frau Janaki  in Indien zurückließ, ist auch im neuen Land ein Außenseiter. Schwer hat er dafür zu kämpfen, seine Ideen in einem abweisenden, elitären Kollegenkreis durchzusetzen, zumal auch die Gesundheit bald streikt...</t>
  </si>
  <si>
    <t>Die Stimme des Regenwaldes</t>
  </si>
  <si>
    <t>Bruno Manser - Die Stimme des Regenwaldes</t>
  </si>
  <si>
    <t>tt9850264</t>
  </si>
  <si>
    <t>Sven Schelker, Nick Kelesau, Elizabeth Ballang, Matthew Crowley, David K.S. Tse</t>
  </si>
  <si>
    <t>1984: Auf der Suche nach einer Erfahrung, die tiefer geht als die Oberflächlichkeit der modernen Welt, reist der 29-jährige Schweizer Bruno Manser (Sven Schelker) in den Dschungel von Sarawak, dem malayischen Teil der Insel Borneo, und findet sie bei dem nomadischen Penan-Stamm. Es ist eine Begegnung, die sein Leben für immer verändert. Schon lange war es sein Traum, ein Leben abseits der Industrialisierung und des Konsums zu führen. Als die Existenz der Penan durch unerbittliche Abholzung bedroht ist, nimmt Manser den Kampf gegen die Abholzung mit Mut und Entschlossenheit auf. Sein Einsatz macht ihn zu einem der renommiertesten und glaubwürdigsten Umweltschützer seiner Zeit. Letztendlich kostet ihn das alles.</t>
  </si>
  <si>
    <t>Die Verdammten des Krieges</t>
  </si>
  <si>
    <t>Casualties of War</t>
  </si>
  <si>
    <t>tt0097027</t>
  </si>
  <si>
    <t>Michael J. Fox, Sean Penn, Don Harvey, John C. Reilly, John Leguizamo</t>
  </si>
  <si>
    <t>Gerade drei Wochen ist Eriksson an der Front, als er von seinem kaltschnäuzigen Sergeant Meserve aus einer Falle des Vietcong gerettet wird. Pausenlose Feindeinsätze im vietnamesischen Dschungel strapazieren die GI’s bis zum Äussersten. Wenig später, auf einem langen Erkundungsmarsch, befiehlt Meserve schier Unglaubliches: “Zur besseren Unterhaltung” der Truppe soll eine junge Vietnamesin gekidnappt, mitgenommen und vergewaltigt werden. Meserves Männer sind von der Idee begeistert. Eriksson ist schockiert und weigert sich mitzumachen, doch bald muss er sich mehr vor seinen Kameraden fürchten als vor dem Gegner.</t>
  </si>
  <si>
    <t>Die Verurteilten</t>
  </si>
  <si>
    <t>Die Beichte einer Verurteilten</t>
  </si>
  <si>
    <t>tt0482690</t>
  </si>
  <si>
    <t>Lotte Erol, Lotte Müller, Adele Sandrock, Andreas Van Horn</t>
  </si>
  <si>
    <t>Das Shawshank Gefängnis in den 30ern: der wegen Mordes an seiner Frau verurteilte Andy Dufresne kommt als Neuling lebenslänglich hinter Gittern. Zurückhaltend wie er ist, ist er ständig das Ziel sexueller Angriffe, doch als er als Banker durchblicken läßt, daß er finanziell für den Direktor und die Wärter eine Menge tun kann, ist für seine Sicherheit gesorgt. Langsam aber sicher freundet er sich mit dem Langzeitinsassen Red an, baut die Gefängnisbibliothek auf und rückt nie von seiner Überzeugung ab, unschuldig zu sein. Viele Jahre vergehen, bis etwas geschieht, was sogar Reds Leben für immer verändern wird...</t>
  </si>
  <si>
    <t>Die WonderBoys</t>
  </si>
  <si>
    <t>Wonder Boys</t>
  </si>
  <si>
    <t>tt0185014</t>
  </si>
  <si>
    <t>Michael Douglas, Tobey Maguire, Frances McDormand, Robert Downey Jr., Katie Holmes</t>
  </si>
  <si>
    <t>Das Leben des alternden Englisch-Professors Grady Tripp ist ins Stocken geraten. Wie sein Roman, nicht fertig werden will. Und das obwohl Grady vor Jahren für sein Debütwerk als Wunderknabe gefeiert wurde. Da verlässt ihn mitten in seiner Lethargie die dritte Frau, die Gattin seines Chefs erwartet ein Kind von ihm, und sein Verleger will sein Manuskript.</t>
  </si>
  <si>
    <t>Dinner for Two</t>
  </si>
  <si>
    <t>tt13916792</t>
  </si>
  <si>
    <t>Maarten Cornelis, Matt Ventre, Alicia Buxton</t>
  </si>
  <si>
    <t>Der Traum vom Michelin-Stern für ihr Restaurant ist das Ziel auf das Maggi und Carsten unermüdlich hinarbeiten - er als Koch, sie als Restaurant-Managerin. Doch die Leidenschaft wird zur Obsession, an der alles zu zerbrechen droht.</t>
  </si>
  <si>
    <t>Ditte und Louise</t>
  </si>
  <si>
    <t>Ditte &amp; Louise</t>
  </si>
  <si>
    <t>DK</t>
  </si>
  <si>
    <t>tt8713190</t>
  </si>
  <si>
    <t>Ditte Hansen, Louise Mieritz, Thure Lindhardt, Nicolaj Kopernikus, Marijana Janković</t>
  </si>
  <si>
    <t>Ditte ist Schauspielerin, aber schon über 40. Und für Schauspielerinnen in diesem Alter gibt es keine Rollen mehr. Kurzerhand verkleidet sie sich als Mann und geht nun als Ditlev zu den Castings. Schnell wird sie sehr erfolgreich. Doch sie verändert sich, was die Freundschaft zu Louise bedroht.</t>
  </si>
  <si>
    <t>Dog Gone</t>
  </si>
  <si>
    <t>tt15334430</t>
  </si>
  <si>
    <t>Rob Lowe, Johnny Berchtold, Kimberly Williams-Paisley</t>
  </si>
  <si>
    <t>Als sein geliebter Hund verschwindet, startet ein junger Mann mit seinen Eltern eine unglaubliche Suchaktion, um ihm rechtzeitig seine lebensrettende Medizin geben zu können.</t>
  </si>
  <si>
    <t>Dreizehn Leben</t>
  </si>
  <si>
    <t>Thirteen Lives</t>
  </si>
  <si>
    <t>tt12262116</t>
  </si>
  <si>
    <t>Viggo Mortensen, Colin Farrell, Joel Edgerton, Tom Bateman, Paul Gleeson</t>
  </si>
  <si>
    <t>Es sollte ein unvergesslicher Ausflug für das Jungen-Fußballteam und ihren Trainer werden. – Auf einem gemeinsamen Trip durch Thailand beschließt die Mannschaft, eine Exkursion zu einer unterirdischen Höhle zu unternehmen. Auf der Suche nach Abenteuer und Spannung macht sich die Gruppe auf, den beeindruckenden Naturschauplatz zu besichtigen. Obwohl sie zuvor gewarnt wurde, dass heftige Regenfälle drohen und das Unterfangen zu einer gefährlichen Angelegenheit machen, lassen sie sich nicht aufhalten. Die Warnung kam nicht grundlos: Als die Mannschaft und ihr Trainer in der Höhle sind, setzt der Regen ein und flutet die Höhle. Eine der weltweit aufsehenerregendsten Rettungsmissionen beginnt.  Basierend auf der wahren Begebenheit der thailändischen Tham-Luang-Höhlenrettung im Jahr 2018.</t>
  </si>
  <si>
    <t>Dschungelkind</t>
  </si>
  <si>
    <t>tt1242543</t>
  </si>
  <si>
    <t>Stella Kunkat, Thomas Kretschmann, Nadja Uhl</t>
  </si>
  <si>
    <t>Sabine ist acht Jahre alt, als sie mit ihrer Mutter und ihren beiden Geschwistern nach West-Papua auswandert. Ihr Vater  ist Sprachwissenschaftler und hat es geschafft, einen der begehrtesten Aufträge seines Fachgebiets, die Erforschung der Sprache eines Eingeborenenstammes, zu erhalten. Dafür wird die ganze Familie mehrere Jahre im Urwald fernab jeglicher Zivilisation leben müssen. Sabine freut sich am meisten darüber. Sie scheint wie gemacht für ihre neue Umgebung voller Abenteuer und fühlt sich schnell zu Hause. Was die Familie nicht weiß: Sie sind mitten in einen Stammeskrieg geraten, dessen Auseinandersetzungen sie zwar nicht direkt betrifft, in den sie aber immer weiter mit einbezogen werden.</t>
  </si>
  <si>
    <t>Du gehst nicht allein</t>
  </si>
  <si>
    <t>Temple Grandin</t>
  </si>
  <si>
    <t>tt1278469</t>
  </si>
  <si>
    <t>Claire Danes, David Strathairn, Barry Tubb, Melissa Farman, Charles Baker</t>
  </si>
  <si>
    <t>Temple Grandin ist besonders: Sie spricht wenig, nur das Nötigste. Sie erträgt keine körperliche Nähe. Sie nimmt die Dinge um sich herum anders wahr als ihre Mitmenschen. Sie denkt in Bildern, hat ein fotografisches Gedächtnis. Temple Grandin ist Autistin. Als bei ihr die Diagnose gestellt wird, ist dieses Krankheitsbild in den USA der 50er Jahre noch so gut wie unbekannt. Anstatt sie in ein Heim zu geben, erarbeitet ihre Mutter in mühsamer Kleinarbeit nach und nach bestimmte Methoden für den Umgang mit ihrer Tochter. Mit der Unterstützung ihrer Mutter und ihres engagierten Lehrers Dr. Carlock schafft Temple den Schulabschluss.</t>
  </si>
  <si>
    <t>Ein Gauner und Gentleman</t>
  </si>
  <si>
    <t>The Old Man &amp; the Gun</t>
  </si>
  <si>
    <t>tt2837574</t>
  </si>
  <si>
    <t>Robert Redford, Casey Affleck, Sissy Spacek, Danny Glover, Tom Waits</t>
  </si>
  <si>
    <t>Den Großteil seines Lebens verbrachte Forrest Tucker hinter Schloss und Riegel. Weil er aber nicht bloß einer der besten Bankräuber ist, sondern gleichzeitig auch ein wahres Genie, wenn es um Gefängnisausbrüche geht, genießt der Berufsganove auch immer wieder die selbstgewonnene Freiheit. Selbst im legendären, in der Bucht von San Francisco liegenden Hochsicherheitsknast von Alcatraz konnten sie den Verbrecher nicht halten. Als dieser 1981 mit seinen Handlangern Teddy und Waller schließlich eine Bank nach der anderen ausraubt, lernt er nach einem Coup die Farmbesitzerin Jewel kennen, die mit ihrem Truck liegengeblieben ist. Alles läuft wie am Schnürchen für Tucker, bis der Polizist John Hunt als erster durchschaut, was es mit all den Überfällen der letzten Zeit auf sich hat: Ein und dieselbe Bande steckt dahinter! Tucker und seine Komplizen müssen sich von nun an also umso mehr in Acht nehmen, denn Hurt ist ihnen dank des neugewonnenen Wissens dicht auf den Fersen …</t>
  </si>
  <si>
    <t>Ein Kind wie Jake</t>
  </si>
  <si>
    <t>A Kid Like Jake</t>
  </si>
  <si>
    <t>tt6884200</t>
  </si>
  <si>
    <t>Claire Danes, Jim Parsons, Octavia Spencer, Priyanka Chopra Jonas, Ann Dowd</t>
  </si>
  <si>
    <t>Alex und Greg Wheeler sind ein glückliches Paar im angesagten Brooklyn. Ihr vierjähriger Sohn Jake ist ihr Sonnenschein, ein aufgeweckter, neugieriger, weltoffener Junge. Dass er sich für Puppen interessiert und gerne Tüllröcke anzieht? Geschenkt! In diesem Alter probieren Kinder alles einmal aus. Als die Erzieherin in Jakes Kindergarten darauf hinweist, dass das Verhalten des Jungen mehr sein könnte als nur eine Phase, müssen Alex und Greg lernen, dass Jake anders sein könnte, aber eben auch ganz besonders...</t>
  </si>
  <si>
    <t>Ein Licht in meinem Herzen</t>
  </si>
  <si>
    <t>Unhook the Stars</t>
  </si>
  <si>
    <t>tt0118044</t>
  </si>
  <si>
    <t>Gena Rowlands, Marisa Tomei, Gérard Depardieu, Jake Lloyd, Moira Kelly</t>
  </si>
  <si>
    <t>Annie hat kein gutes Verhältnis zu ihrer Mutter Mildred. So schnell es geht zieht sie weg und lässt die Witwe einsam zurück. Die bekommt erst wieder etwas zu tun, als sie der Bitte ihrer Nachbarin Monica nachkommt, auf deren Sohn Jake aufzupassen. Sie bringt ihn zur Schule, macht ihm Essen und unterrichtet ihn sogar selbst ein wenig. Beide haben ein gutes Verhältnis zueinander. Monica bedankt sich für die Hilfe, indem sie Mildred in eine Kneipe einlädt - wo letztere den Lastwagenfahrer Big Tommy kennenlernt. Er erzählt ihr begeistert von Miami, das er auf seinen Touren regelmäßig zu Gesicht bekommt. Die zwei treffen sich wieder, als Mildred nicht mehr auf Jake aufpassen muss...</t>
  </si>
  <si>
    <t>Endstation Sehnsucht</t>
  </si>
  <si>
    <t>tt6860286</t>
  </si>
  <si>
    <t>Maria Fris, Janine Monin, Ray Barra, Rainer Koechermann</t>
  </si>
  <si>
    <t>Blanche Dubois besucht ihre schwangere Schwester und deren Ehemann Stanley in New Orleans. Stanley mag sie nicht und drängt sie, Informationen über ein Anwesen zu erbeuten, von dem er weiß, dass es den Schwestern vermacht wurde. Er findet heraus, dass sie eine Hypothek auf das Anwesen aufgenommen und das ganze Geld ausgegeben hat, und will alles über sie herausfinden, was er kann. Noch mehr Reibereien entstehen zwischen den beiden, während sie zusammen in der Wohnung sind …</t>
  </si>
  <si>
    <t>Enzo und die wundersame Welt der Menschen</t>
  </si>
  <si>
    <t>The Art of Racing in the Rain</t>
  </si>
  <si>
    <t>tt1478839</t>
  </si>
  <si>
    <t>Kevin Costner, Milo Ventimiglia, Amanda Seyfried, Ryan Kiera Armstrong, Lily Dodsworth-Evans</t>
  </si>
  <si>
    <t>Enzo und die wundersame Welt der Menschen basiert auf Garth Steins Bestseller und ist eine herzerwärmende Geschichte, die aus der Perspektive von Enzo, einem geistreichen und philosophierenden Hund erzählt wird. Durch die Freundschaft mit seinem Besitzer Denny Swift, einem aufstrebenden Formel 1 Fahrer, hat Enzo tiefen Einblick in das Wesen der Menschen bekommen.</t>
  </si>
  <si>
    <t>Evelyn</t>
  </si>
  <si>
    <t>tt12821240</t>
  </si>
  <si>
    <t>Stefano Scaramuzzino, Claudio Monzio Compagnoni, Valentina Ghetti</t>
  </si>
  <si>
    <t>Um den Selbstmord eines Bruders zu verarbeiten, unternimmt ein Regisseur mit Freunden und Familie eine emotional und visuell eindringliche Wanderung durch Großbritannien.</t>
  </si>
  <si>
    <t>Familiensache</t>
  </si>
  <si>
    <t>tt1745878</t>
  </si>
  <si>
    <t>Nie wollte Ellen Gulden so werden wie ihre Mutter Kate. Statt Kochrezepte und Dekorationsanleitungen bestimmen Interviewtermine und Enthüllungsstories das Leben der ehrgeizigen Journalistin, das triste Hausfrauendasein der Mutter verabscheut sie. Doch dann erkrankt ihre Mutter an Krebs - und Ellens Vater George besteht darauf, daß sie die Kranke pflegt. Widerwillig gibt Ellen nach und kehrt ins Elternhaus, in ein verschlafenes Nest in New Jersey, zurück. In den nächsten Wochen und Tagen lernt sie ihre Eltern kennen, wie sie sie noch nie zuvor gesehen hat. Sie erfährt von den Schwächen ihres Vaters, den sie doch so sehr verehrt. Und sie erlebt die wahre und innere Kraft ihrer Mutter, die sie bislang nicht so richtig ernst genommen hatte. Im Laufe der Zeit kommen sich die beiden Frauen emotional näher, während ihr Vater allmählich sein wahres Gesicht offenbart...</t>
  </si>
  <si>
    <t>Father Stu</t>
  </si>
  <si>
    <t>tt14439896</t>
  </si>
  <si>
    <t>Mark Wahlberg, Mel Gibson, Jacki Weaver</t>
  </si>
  <si>
    <t>Als eine Verletzung seine Karriere als Amateurboxer beendet, zieht Stuart Long nach L.A. und träumt vom Ruhm. Während er sich als Supermarktangestellter durchschlägt, lernt er Carmen kennen, eine katholische Sonntagsschullehrerin, die gegen seinen Bad-Boy-Charme immun zu sein scheint. Entschlossen, sie für sich zu gewinnen, beginnt der langjährige Agnostiker in die Kirche zu gehen, um sie zu beeindrucken. Doch als er einen schrecklichen Motorradunfall überlebt, fragt er sich, ob er seine zweite Chance nutzen kann, um anderen zu helfen, ihren Weg zu finden, was zu der überraschenden Erkenntnis führt, dass er dazu bestimmt ist, katholischer Priester zu werden. Trotz einer verheerenden Gesundheitskrise und der Skepsis von Kirchenvertretern und seinen entfremdeten Eltern verfolgt Stu seine Berufung mit Mut und Mitgefühl und inspiriert damit nicht nur die Menschen, die ihm am nächsten stehen, sondern auch unzählige andere.</t>
  </si>
  <si>
    <t>Flight</t>
  </si>
  <si>
    <t>tt1907668</t>
  </si>
  <si>
    <t>Denzel Washington, Kelly Reilly, Don Cheadle</t>
  </si>
  <si>
    <t>Sämtliche Flugzeuge hören auf zu funktionieren, als ein elektromagnetischer Sturm die Kommunikationssatelliten der USA abstürzen lässt. Zwar befinden sich zu diesem Zeitpunkt nur zwei Flugzeuge in der Luft, eines davon ist allerdings die Air Force One, die private Maschine des Präsidenten der Vereinigten Staaten von Amerika. Unglücklicherweise befindet sie sich nun auf einem direkten Kollisionskurs mit einem gewöhnlichen Passagierflugzeug. Da das neu installierte automatische Verteidigungssystem der Air Force One durch eine Fehlfunktion alle Türen verschlossen hat, müssen die beiden Flugzeuge umgelenkt werden, damit das Leben des Präsidenten und das der anderen Passagiere gerettet werden kann. Doch das stellt sich als schwierige Aufgabe heraus.</t>
  </si>
  <si>
    <t>Flucht in Ketten</t>
  </si>
  <si>
    <t>The Defiant Ones</t>
  </si>
  <si>
    <t>tt0051525</t>
  </si>
  <si>
    <t>Tony Curtis, Sidney Poitier, Theodore Bikel, Charles McGraw, Lon Chaney Jr.</t>
  </si>
  <si>
    <t>John Jackson und Noah Cullen sitzen im Gefängnis, ihre unterschiedlichen Hautfarben machen sie zu Feinden. Als sie bei einem Gefangentransport entkommen können, müssen sie ihre gegenseitigen Einstellungen überdenken, denn sie sind aneinander gefesselt.</t>
  </si>
  <si>
    <t>Force of Nature</t>
  </si>
  <si>
    <t>tt10308928</t>
  </si>
  <si>
    <t>Emile Hirsch, Mel Gibson, David Zayas</t>
  </si>
  <si>
    <t>Während eines gewaltigen Hurrikans versucht der desillusionierte Polizist Cardillo, die wenigen verbliebenen Bewohner eines heruntergekommenen Apartmentkomplexes zu evakuieren. Dadurch kommt er ungewollt einer brutalen Gangsterbande in die Quere, die verborgene Kunstschätze im Wert von 55 Millionen Dollar in einer der Wohnungen aufspüren und alle Zeugen ausschalten will. Glücklicherweise erhält Cardillo unerwartete Rückendeckung von Ex-Cop Ray, der seit Jahren hier wohnt und jede Ecke des Gebäudes kennt. Cardillo und Ray müssen sich in einem tödlichen Katz-und-Maus-Spiel einiges einfallen lassen, um die Oberhand gegen die Bande zu gewinnen …</t>
  </si>
  <si>
    <t>Forrest Gump</t>
  </si>
  <si>
    <t>tt0109830</t>
  </si>
  <si>
    <t>Tom Hanks, Robin Wright, Gary Sinise</t>
  </si>
  <si>
    <t>Von seiner Mutter rückhaltlos unterstützt, macht sich der geistig ein wenig zurückgebliebene Forrest Gump in die Welt auf. Er bringt Elvis seinen Tanzstil bei, findet in der jungen Jenny eine echte Freundin, wird aufgrund seines Laufvermögens ein Football-Star, steht im Vietnamkrieg seinen Mann, rettet seinen Vorgesetzten Dan Taylor vor dem sicheren Tod und wird schließlich im Shrimps-Business zum Millionär. Doch all die Zeit kann er seine große Liebe Jenny nicht vergessen.</t>
  </si>
  <si>
    <t>Four Good Days</t>
  </si>
  <si>
    <t>tt10344522</t>
  </si>
  <si>
    <t>Mila Kunis, Carla Gallo, Glenn Close</t>
  </si>
  <si>
    <t>Deb unterstützt ihre drogensüchtige Tochter Molly bei der Bewältigung der entscheidenden vier Tage des Drogenentzugs. Währenddessen kommen sowohl alte Probleme zwischen den beiden als auch ihre Zuneigung füreinander zum Vorschein.</t>
  </si>
  <si>
    <t>Freedom Writers</t>
  </si>
  <si>
    <t>tt0463998</t>
  </si>
  <si>
    <t>Hilary Swank, Imelda Staunton, Patrick Dempsey</t>
  </si>
  <si>
    <t>Die angehende weiße Lehrerin Erin Gruwell bekommt eine Anstellung an der Wilson Highschool in Long Beach. Sie soll einen Englischkurs mit von der Schulleitung längst abgeschriebenen Problemkindern ausländischer Herkunft unterrichten, deren Alltag aus Gewalt, Rassismus und Drogen besteht. So hat Erin es am Anfang nicht leicht, sich gegen die jungen Wilden durchzusetzen, doch nach und nach gewinnt sie den Respekt der Kinder und schafft es, die Klasse von ihrer Perspektivlosigkeit zu befreien.</t>
  </si>
  <si>
    <t>French Exit</t>
  </si>
  <si>
    <t>tt10279362</t>
  </si>
  <si>
    <t>Michelle Pfeiffer, Lucas Hedges, Tracy Letts</t>
  </si>
  <si>
    <t>"Mein Plan war es, zu sterben, bevor das Geld ausgeht", sagt die 60-jährige, mittellose Frances Price aus Manhattan, aber die Dinge laufen nicht wie geplant. Ihr Ehemann Franklin ist seit 12 Jahren tot, und da sein riesiges Erbe weg ist, löst sie ihre letzten Besitztümer auf und beschließt, ihren Lebensabend anonym in einer geliehenen Wohnung in Paris zu verbringen, begleitet von ihrem orientierungslosen Sohn Malcolm und einer Katze namens Small Frank - der vielleicht den Geist von Frances' totem Ehemann verkörpert, vielleicht auch nicht.</t>
  </si>
  <si>
    <t>Für immer dein</t>
  </si>
  <si>
    <t>In Wahrheit: Für immer dein</t>
  </si>
  <si>
    <t>tt35713294</t>
  </si>
  <si>
    <t>Christina Hecke, Robin Sondermann, Pierre Kiwitt</t>
  </si>
  <si>
    <t>Nur einem glücklichen Umstand glaubt U.S. Marine Sergeant Logan Thibault sein Leben zu verdanken, als er in seinem dritten Irakkriegseinsatz nur knapp einen Raketeneinschlag überlebt: dem Foto einer rätselhaften fremden jungen Frau, das er kurz zuvor auf dem Boden liegend gefunden hat. Sofort nach seiner Rückkehr in die USA begibt sich Logan auf die Suche nach der Frau hinter dem Foto, um ihr persönlich zu danken. Er findet heraus, dass sie Beth heißt und eine Hundezucht betreibt. Da er keinen weiteren Plan hat, nimmt Logan kurzerhand einen Job an, den Nana, die Oma von Beth’ Sohn, ihm anbietet. Ehe sich Logan versieht, verliebt er sich in Beth, und auch sie ist ihm nicht abgeneigt. Während Logan noch nach einem Weg sucht, ihr die Wahrheit über seine Identität mitzuteilen, kehrt der wahre Besitzer des Fotos, Beth’ Ehemannn, aus dem Krieg zurück…</t>
  </si>
  <si>
    <t>Georgias Gesetz</t>
  </si>
  <si>
    <t>Georgia Rule</t>
  </si>
  <si>
    <t>tt0791304</t>
  </si>
  <si>
    <t>Jane Fonda, Lindsay Lohan, Felicity Huffman, Dermot Mulroney, Cary Elwes</t>
  </si>
  <si>
    <t>Rachel ist ein rebellischer Teenager, der außer Kontrolle geraten ist. Sie bricht alle Regeln, bis sie mit ihrer verzweifelten Mutter Lilly einen unvergesslichen Sommer im Haus ihrer strengen Großmutter Georgia verbringen muss. Hier gilt nur ein Gesetz – und das wird allein von der resoluten Hausherrin Georgia gemacht. Bereits nach kurzer Zeit zeigen die Regeln und Werte, die Rachel auf dem Land kennen lernt...</t>
  </si>
  <si>
    <t>Gib mir meinen Sohn zurück</t>
  </si>
  <si>
    <t>Let Me Have My Son</t>
  </si>
  <si>
    <t>tt9065630</t>
  </si>
  <si>
    <t>Cristobal Krusen, Nathan Barlow, Nick Wilder, Tony Denman, Robert Shepherd</t>
  </si>
  <si>
    <t>Ben Whitmore wacht eines Morgens auf und erfährt, dass sein Sohn Benny nach jahrelanger Behandlung wegen Schizophrenie aus dem Middlemouth Hospital in seine Obhut entlassen werden soll. Als er zur Klinik kommt, um Benny dort abzuholen, erfährt Ben, dass Benny auf mysteriöse Weise verschwunden ist. Fest entschlossen seinen Sohn zu finden, macht sich Ben auf die Suche.</t>
  </si>
  <si>
    <t>Glaubensfrage</t>
  </si>
  <si>
    <t>Doubt</t>
  </si>
  <si>
    <t>tt0918927</t>
  </si>
  <si>
    <t>Meryl Streep, Philip Seymour Hoffman, Amy Adams, Viola Davis, Alice Drummond</t>
  </si>
  <si>
    <t>New York, 1964. An einer katholischen Klosterschule reibt sich der Liberalismus von Pater Flynn mit der Strenge der Leiterin, Schwester Aloysius. Zur Explosion kommt der Konflikt um Glauben, Macht und Autorität, als Aloysius aus der harmlosen Beobachtung einer jungen Schwester einen schweren Vorwurf macht. Hat Flynn in der Zuneigung zu einem Schüler oder seine Kontrahentin in der Reaktion darauf Grenzen überschritten? Mit der Beschuldigung wird eine Kette von Ereignissen ausgelöst, an der Existenzen zerbrechen.</t>
  </si>
  <si>
    <t>Gorillas im Nebel</t>
  </si>
  <si>
    <t>Gorillas in the Mist</t>
  </si>
  <si>
    <t>tt0095243</t>
  </si>
  <si>
    <t>Sigourney Weaver, Bryan Brown, Julie Harris, John Omirah Miluwi, Iain Cuthbertson</t>
  </si>
  <si>
    <t>1967 ließ Dian Fossey ihr Leben voller Bequemlichkeit zurück, um in Afrika die letzten vom Aussterben bedrohten Berggorillas zu studieren. In einem Land voller Schönheit und Gefahren setzte sie alles aufs Spiel - um die Gorillas um Nebel zu retten. Doch jemand wollte das verhindern...</t>
  </si>
  <si>
    <t>George C. Scott, Peter Boyle, Season Hubley</t>
  </si>
  <si>
    <t>Hateship Loveship</t>
  </si>
  <si>
    <t>tt2463512</t>
  </si>
  <si>
    <t>Kristen Wiig, Guy Pearce, Hailee Steinfeld</t>
  </si>
  <si>
    <t>Johanna Parry ist eine sehr stille und schüchterne Frau, doch zugleich ist sie auch eine exzellente Pflegerin, die einen neuen Job bei dem älteren Mister McCauley beginnt. Bei ihm wohnt auch seine Teenager-Enkelin Sabitha, die gar nicht so begeistert von Johannas Auftauchen ist. Denn Sabithas Vater Ken hat nur selten Zeit für seine Tochter und lädt sie vorzugsweise bei ihrem Opa ab. Nun aber soll sie auch von Johanna bemuttert werden, die scheinbar Gefallen an dem etwas verwegen wirkenden Ken gefunden hat. Da sieht Sabitha eine Chance, sowohl Johanna als auch ihrem Vater eins auszuwischen: Unter einer falschen E-Mail-Adresse gehen Sabitha und ihre Freundin Edith unter der Vorgabe, Ken zu sein, eine Online-Brieffreundschaft mit Johanna ein, die schnell in eine vorgebliche Romanze ausartet. Die naive Johanna ahnt davon zunächst nichts ...</t>
  </si>
  <si>
    <t>Headshot</t>
  </si>
  <si>
    <t>tt5147214</t>
  </si>
  <si>
    <t>Iko Uwais, Chelsea Islan, Sunny Pang</t>
  </si>
  <si>
    <t>Ein namenloser Mann erwacht im Krankenhaus mit einem schweren Schädeltrauma und weiß nicht, wer er ist oder was mit ihm passiert ist. Während er versucht, sich zu erinnern, holt ihn seine Vergangenheit in Form eines Drogen- und Bandenbosses ein, dessen Einfluss sich bis zur Polizei und ins Vollzugssystem erstreckt. Bald sieht er sich einer Vielzahl von Kämpfern gegenüber, die seine ehemaligen Kollegen sein könnten. Durch eine Reihe tödlicher Kämpfe mit dieser Vollstreckertruppe fallen ihm Fragmente seiner Vergangenheit wieder ein und das Puzzle seiner Identität beginnt, sich wieder zusammenzusetzen.</t>
  </si>
  <si>
    <t>Here Today</t>
  </si>
  <si>
    <t>Dramedy</t>
  </si>
  <si>
    <t>tt10944596</t>
  </si>
  <si>
    <t>Billy Crystal, Chad Jennings, Dierdre Friel</t>
  </si>
  <si>
    <t>Der pensionierte Comedy-Autor Charlie Berns, der langsam aber sicher den Bezug zur Realität verliert, freundet sich mit der talentierten jungen New Yorker Straßensängerin Emma Payge an. Zusammen bilden sie eine unwahrscheinliche, aber urkomische und berührende Freundschaft, die den Generationsunterschied beiseiteschiebt und die Bedeutung von Liebe und Vertrauen neu definiert.</t>
  </si>
  <si>
    <t>Himmelskind</t>
  </si>
  <si>
    <t>Miracles from Heaven</t>
  </si>
  <si>
    <t>tt4257926</t>
  </si>
  <si>
    <t>Jennifer Garner, Kylie Rogers, Martin Henderson, Brighton Sharbino, Courtney Fansler</t>
  </si>
  <si>
    <t>Christy und Kevin Beam sind die stolzen Eltern von drei kleinen Mädchen und führen ein Familienleben wie aus dem Bilderbuch. Doch dann entdeckt Christy, dass die kleine Anna an einer schweren, unheilbaren Krankheit leidet. Die besorgte Mutter setzt alles daran, ihrer erst 10-jährigen Tochter beizustehen und eine Möglichkeit zu finden, dem Mädchen Erleichterung zu verschaffen, doch Annas Lage scheint hoffnungslos zu sein. Als sie aber eines Tages aus großer Höhe von einem Baum fällt, passiert das Unglaubliche. Nachdem sie aus ihrer mehrere Stunden andauernden Bewusstlosigkeit erwacht, hat sie nicht nur kaum einen Kratzer, sie scheint auch noch auf wundersame Weise von ihrer Krankheit geheilt worden zu sein. Ihrer Mutter erzählt Anna, dass ihr im Traum eine wunderbare Erscheinung gekommen sei …</t>
  </si>
  <si>
    <t>Hiroshima, mon amour</t>
  </si>
  <si>
    <t>Hiroshima Mon Amour</t>
  </si>
  <si>
    <t>tt0052893</t>
  </si>
  <si>
    <t>Emmanuelle Riva, Eiji Okada, Stella Dassas</t>
  </si>
  <si>
    <t>Japan, 1957: Eine französische Filmschauspielerin ist zu Dreharbeiten für einen Antikriegsfilm nach Hiroshima gekommen. Kurz vor ihrer Abreise verliebt sie sich in einen japanischen Architekten. Die leidenschaftliche Liebesnacht mit ihm weckt in ihr die Erinnerung an ihre erste Liebe, einen deutschen Soldaten, der am Tag der Befreiung vor ihren Augen erschossen wurde.</t>
  </si>
  <si>
    <t>Home</t>
  </si>
  <si>
    <t>tt10353704</t>
  </si>
  <si>
    <t>Sam Chang, Gary Chang, Peter Cookson Smith</t>
  </si>
  <si>
    <t>Nach mehr als 17 Jahren Haft macht sich Marvin auf den Weg nach Hause – auf seinem Skateboard und im Trainingsanzug, in dem er als Teenager verhaftet wurde. Daheim in Newhall erwartet ihn seine kranke Mutter in dem heruntergekommenen Haus seiner Kindheit. Schnell merkt Marvin, dass die Bewohner der Kleinstadt seine Tat auch nach so vielen Jahren nicht vergessen haben. Besonders der Flintow-Clan begegnet ihm mit unverhohlenem Hass. Doch Marvin ist bereit, sich den Konsequenzen seiner Vergangenheit zu stellen. Als er alle Schikanen ohne Gegenwehr erträgt, beginnt die junge Delta Flintow ihn mit anderen Augen zu sehen …  Mit ihrem tiefberührenden Langfilmdebüt ist Franka Potente ein eindringliches Plädoyer für Mitgefühl und Vergebung gelungen, das authentisch die Atmosphäre der amerikanischen Provinz einfängt. Jake McLaughlin brilliert als verletzlicher Straftäter an der Seite von Oscar®-Preisträgerin Kathy Bates.</t>
  </si>
  <si>
    <t>Human Trafficking – Menschenhandel</t>
  </si>
  <si>
    <t>Hunter’s Creek – Gefährliche Beute</t>
  </si>
  <si>
    <t>Rust Creek</t>
  </si>
  <si>
    <t>tt6610158</t>
  </si>
  <si>
    <t>Hermione Corfield, Jay Paulson, Sean O'Bryan, Micah A. Hauptman, Daniel R. Hill</t>
  </si>
  <si>
    <t>Die zielstrebige Studentin Sawyer steht kurz vor ihrem Abschluss mit Bestnoten. Auf der Fahrt zu einem Vorstellungsgespräch nimmt sie jedoch eine falsche Abzweigung und verirrt sich in den endlosen Wäldern von Kentucky. Leichte Beute? Nein, Sawyer ist kein Opfer. Das bekommen zwei Männer zu spüren, die sich über die scheinbar wehrlose Frau hermachen wollen, um einen Mord zu vertuschen. Mit einer Schnittwunde am Bein kämpft sie sich durch die feindselige Wildnis und verbündet sich mit dem rätselhaften Lowell, um ihren Peinigern zu entkommen, obwohl sie alles andere als sicher ist, ob sie ihm vertrauen kann</t>
  </si>
  <si>
    <t>Im Westen nichts Neues</t>
  </si>
  <si>
    <t>Geschundenes Zelluloid - Das Schicksal des Kinoklassikers 'Im Westen nichts Neues'</t>
  </si>
  <si>
    <t>tt4525776</t>
  </si>
  <si>
    <t>Gert Heidenreich, Christian Wolff, Fritz Lucke</t>
  </si>
  <si>
    <t>Der Teenager Paul Bäumer und seine Freunde Albert und Müller schreiben sich während des Ersten Weltkrieges freiwillig in die deutsche Armee ein und reiten auf einer Welle patriotischen Eifers, die sich schnell in Wohlgefallen auflöst. Ernüchtert und schockiert müssen sie feststellen, dass der Kampf um Deutschland keineswegs eine rein ehrenhafte Sache ist, sondern ein tödliches Gemetzel. Sobald sich die jungen Soldaten den brutalen Realitäten des Lebens an der Front stellen, gehören Tod und Verlust zu den täglichen Schreckensszenarien.</t>
  </si>
  <si>
    <t>In Liebe lassen</t>
  </si>
  <si>
    <t>De son vivant</t>
  </si>
  <si>
    <t>tt11093266</t>
  </si>
  <si>
    <t>Catherine Deneuve, Benoît Magimel, Cécile de France, Gabriel Sara, Oscar Morgan</t>
  </si>
  <si>
    <t>Der 40-jährige Benjamin ist schwer an Krebs erkrankt, nach Aussagen der Mediziner, die ihn behandeln, bleibt ihm noch ein Jahr. Seine Mutter Crystal leidet schwer unter dem nahenden Ende ihres Kindes. Dr. Eddé und die Krankenschwester Eugénie begleiten Mutter und Sohn voller Hingabe auf ihrem Weg, das Unausweichliche zu akzeptieren.</t>
  </si>
  <si>
    <t>In voller Blüte</t>
  </si>
  <si>
    <t>The Great Escaper</t>
  </si>
  <si>
    <t>tt14124080</t>
  </si>
  <si>
    <t>Michael Caine, Glenda Jackson, John Standing, Will Fletcher, Laura Marcus</t>
  </si>
  <si>
    <t>Bernard Jordan flieht quasi aus seinem Pflegeheim und macht sich auf den Weg nach Frankreich, um dort in der Normandie zusammen mit anderen Kameraden den im Zweiten Weltkrieg vor 70 Jahren bei der Landung Gefallenen zu gedenken. Mit dieser Aktion kommt Bernard im Sommer 2014 zu weltweitem Ruhm, die Presse aus aller Herren Länder interessiert sich für sein Abenteuer. Für Bernard scheint der Trip jedoch gar kein großes Wagnis gewesen zu sein. Sich scheinbar überlebensgroßen Aufgaben zu stellen, gehörte für ihn seit dem Krieg selbstverständlich zum Leben dazu. Doch langsam holen ihn die schlimmen Kriegserfahrungen ein. Jedoch kann er immer auf Rene, die Frau an seiner Seite zählen.</t>
  </si>
  <si>
    <t>Jenseits von Eden</t>
  </si>
  <si>
    <t>East of Eden</t>
  </si>
  <si>
    <t>tt0048028</t>
  </si>
  <si>
    <t>James Dean, Julie Harris, Raymond Massey, Richard Davalos, Jo Van Fleet</t>
  </si>
  <si>
    <t>Im kalifornischen Ort Salinas betreibt Gemüsebauer Adam Trask im Jahr 1917 seine eigene Farm. Unterstützt wird der alleinerziehende Vater von seinen beiden Söhnen Aron und Caleb, die sich schon immer als Rivalen gesehen haben, wenn es um die Gunst ihres Vaters geht. Ihre Mutter Kate sei schon lange tot, in diesem Glauben ließ Adam seine Söhne zumindest. Doch Cal weiß schon lange, dass Kate die Familie freiwillig verließ und ein Bordell in Monterey leitet. Nur Aron ahnt von dieser Tatsache nichts.  Als Adam bei einem Versuch, tiefgefrorenen Salat an die Ostküste zu transportieren, sein gesamtes Vermögen verliert, fasst Cal den Plan, ihm das Geld wieder zu beschaffen. Er nutzt den Eintritt der USA in den Ersten Weltkrieg, um schnell Gewinn zu erzielen. Noch begreift Cal nicht, dass eine Liebe zwischen Vater und Sohn nicht auf Geld basiert.</t>
  </si>
  <si>
    <t>Jeremías - Zwischen Glück und Genie</t>
  </si>
  <si>
    <t>El Jeremías</t>
  </si>
  <si>
    <t>tt4457020</t>
  </si>
  <si>
    <t>Martín Castro, Karem Momo Ruiz, Paulo Galindo</t>
  </si>
  <si>
    <t>Der achtjährige Jeremías (Martín Castro) wächst in ärmlichen Verhältnissen bei seiner Familie in Mexiko auf. Eines Tages findet er heraus, dass er hochbegabt ist, und begibt sich auf eine Reise der Selbstfindung, die ihn von seiner Familie entfernt. Er muss die Entscheidung treffen, die neue, aufregende Welt zu entdecken, die nun vor ihm liegt, oder zu seiner Familie, die ihn liebt, zurückzukehren.</t>
  </si>
  <si>
    <t>Kaltes Land</t>
  </si>
  <si>
    <t>North Country</t>
  </si>
  <si>
    <t>tt0395972</t>
  </si>
  <si>
    <t>Charlize Theron, Frances McDormand, Woody Harrelson, Sean Bean, Jeremy Renner</t>
  </si>
  <si>
    <t>Nach dem Scheitern ihrer Ehe kehrt Josey Aimes in ihre Heimat im Norden Minnesotas zurück – sie träumt von einem besseren Leben für sich und ihre beiden Kinder. Ihre Freundin Glory arbeitet als eine von wenigen Frauen im Bergbau, und sie vermittelt Josey eine Stelle in der Grube. Josey stellt sich auf die oft gefährliche Knochenarbeit ein, aber wirklich unerträglich sind nur die Belästigungen, denen die Frauen durch ihre männlichen Kollegen ausgesetzt sind. Es kommt zu Auseinandersetzungen, und Joseys Mut inspiriert schließlich auch ihre Kolleginnen, sich gegen die diskriminierende Behandlung durch die Minengesellschaft aufzulehnen…</t>
  </si>
  <si>
    <t>Killer Competition - Die Jahrgangsbeste</t>
  </si>
  <si>
    <t>Jacqueline Scislowski, Cristine Prosperi, Kate Watson</t>
  </si>
  <si>
    <t>Königreich des Verbrechens</t>
  </si>
  <si>
    <t>Animal Kingdom</t>
  </si>
  <si>
    <t>tt1313092</t>
  </si>
  <si>
    <t>Ben Mendelsohn, Joel Edgerton, Guy Pearce, Luke Ford, Jacki Weaver</t>
  </si>
  <si>
    <t>Selbst auch nicht gerade eine Heilige, hat es Julia Cody über Jahre erfolgreich geschafft, ihren 17-jährigen Sohn Joshua vor ihrer kriminellen Familie abzuschirmen. Als sie jedoch an einer Überdosis Heroin stirbt, wendet sich Joshua an seine Großmutter, Janine "Smurf" Cody. Diese wacht mit einer grenzwertig inzestuösen Liebe über ihre drei Söhne, die ihren Lebensunterhalt mit brutalen Banküberfällen bestreiten. Die Polizei ist insbesondere ihrem ältesten Sohn Pope auf den Fersen, der es immer wieder schafft, rechtzeitig unterzutauchen. Doch als die Polizei von Joshua erfährt, versucht sie, ihn als Spitzel einzuspannen. Für den Jungen beginnt eine lebensgefährliche Gratwanderung</t>
  </si>
  <si>
    <t>Lass mich nicht gehen</t>
  </si>
  <si>
    <t>Don't Make Me Go</t>
  </si>
  <si>
    <t>tt2597804</t>
  </si>
  <si>
    <t>John Cho, Mia Isaac, Kaya Scodelario, Josh Thomson, Jemaine Clement</t>
  </si>
  <si>
    <t>Als der alleinerziehende Vater Max (John Cho) erfährt, dass er unheilbar krank ist, beschließt er, all die Jahre der Liebe und Unterstützung, die er mit seiner Teenager-Tochter Wally (Mia Isaac) verpassen wird, in die ihm verbleibende Zeit mit ihr zu packen. Mit dem Versprechen von lang ersehnten Fahrstunden überredet er Wally, ihn auf einem Roadtrip von Kalifornien nach New Orleans zu begleiten, um dort sein 20-jähriges College-Treffen zu feiern.</t>
  </si>
  <si>
    <t>Like Father, Like Son</t>
  </si>
  <si>
    <t>tt2331143</t>
  </si>
  <si>
    <t>Masaharu Fukuyama, Machiko Ono, Yôko Maki</t>
  </si>
  <si>
    <t>Die Eltern eines sechs Jahre alten Jungen erfahren, dass ihr Kind bei der Geburt im Krankenhaus vertauscht worden ist. Ihr ganzes Umfeld rät ihnen das Kind gegen das eigene auszutauschen. Die Eltern sind ratlos. Was ist für sie besser, was für die Kinder? Unsicher beginnen sie und das andere Paar mit dem Kinderrücktausch über ein Wochenende.  Ryota und seine Frau Midori erfahren, dass ihr sechsjähriger Sohn Keita nicht ihr eigenes Kind ist, weil zwei Babys im Krankenhaus nach der Geburt vertauscht worden waren. Die Frage stellt sich, wollen sie und das andere betroffene Elternpaar den vermeintlichen Sohn gegen den wirklichen eintauschen? Nach sechs Jahren Kindheit?  Wunderbar leicht kreist der Japaner Hirokazu Kore-eda um die Fragen, was es heißt, Eltern zu sein und was Kind.</t>
  </si>
  <si>
    <t>Little Boy</t>
  </si>
  <si>
    <t>tt1810683</t>
  </si>
  <si>
    <t>Jakob Salvati, Emily Watson, David Henrie</t>
  </si>
  <si>
    <t>Nordkalifornien in den 1940er Jahren. Die kleine US-amerikanische Hafenstadt O'Hare wirkt wie leergefegt. Die Männer und heranwachsenden Jungen sind in den Krieg gezogen. Zurück blieben nur Frauen, Kinder und die Älteren der Gemeinde. In der Schule hat sich für Pepper Flint Busbee zwar nicht viel verändert – aufgrund seiner kleinen Statur wird er noch immer von seinen Schulkameraden gehänselt. Doch Pepper muss nun ohne seinen Vater auskommen, der wie die meisten Altersgenossen in den Krieg gezogen ist. Als der Sohnemann eines Tages einen riesigen Berg mit bloßer Willensstärke bewegt, kennt "Little Boy" nur noch ein Ziel: Er möchte seinen Vater, der mittlerweile tausende von Kilometern entfernt in einem Kriegsgefangenlager sitzt, mit aller Kraft zurück nach Hause bringen…</t>
  </si>
  <si>
    <t>Lorenzos Öl</t>
  </si>
  <si>
    <t>Lorenzo's Oil</t>
  </si>
  <si>
    <t>tt0104756</t>
  </si>
  <si>
    <t>Nick Nolte, Susan Sarandon, Peter Ustinov, Ann Hearn, Maduka Steady</t>
  </si>
  <si>
    <t>Als Augusto und Michaela Odone erfahren, dass ihr fünfjähriger Sohn an einer seltenen und tödlichen Krankheit leidet, beginnt für die beiden eine ungewöhnliche Mission. Trotz der negativen Prognose machen sich die Odones auf, ihr Kind zu retten. Sie müssen sich mit Ärzten, Wissenschaftlern und Hilfsorganisationen anlegen, die dem Paar wenig Unterstützung bei ihrer Suche nach einem Heilmittel bieten. Ihr unermüdlicher Einsatz wird zur Beweisprobe für ihre Ehe, ihre Überzeugungen und die Grenzen herkömmlicher Medizin.</t>
  </si>
  <si>
    <t>Lügen und Geheimnisse</t>
  </si>
  <si>
    <t>Liebe, Lügen und Geheimnisse</t>
  </si>
  <si>
    <t>tt0211482</t>
  </si>
  <si>
    <t>Natascha Bub, Kathleen Fiedler, Ulrike Hübschmann</t>
  </si>
  <si>
    <t>Marriage Story</t>
  </si>
  <si>
    <t>tt7653254</t>
  </si>
  <si>
    <t>Adam Driver, Scarlett Johansson, Julia Greer</t>
  </si>
  <si>
    <t>Regisseur Charlie und Schauspielerin Nicole waren zehn Jahre lang das Traumpaar der New Yorker Theaterszene, haben sich mittlerweile aber kaum mehr etwas zu sagen – es ist Zeit für die Trennung. Nicole möchte zurück zu ihrer Familie nach Los Angeles ziehen und hat dort bereits eine Rolle in einer TV-Pilotfolge angenommen. Insbesondere ihrem kleinen Sohn Henry zuliebe wollen die beiden die Trennung friedlich über die Bühne bringen. Aber dann kommen doch Anwälte ins Spiel - und aus dem nett zurechtgelegten Konsens wird ein erbitterter Streit über die Frage, wo Henry in Zukunft leben soll.</t>
  </si>
  <si>
    <t>Marvins Töchter</t>
  </si>
  <si>
    <t>Marvin's Room</t>
  </si>
  <si>
    <t>tt0116999</t>
  </si>
  <si>
    <t>Meryl Streep, Diane Keaton, Leonardo DiCaprio, Robert De Niro, Hume Cronyn</t>
  </si>
  <si>
    <t>Nach einer ärztlichen Routineuntersuchung erfährt Bessie, daß sie an Leukämie erkrankt ist. Nur eine Knochenmarkstransplantation von engen Verwandten kann sie noch retten. Bessie bittet ihre Schwester Lee, die sie seit gemeinsamen Teenagertagen nicht mehr gesehen hat, ihr zu helfen. Lee willigt ein und reist mit ihren Söhnen Hank und Charlie nach Florida zum Haus des gelähmten Vaters Marvin, den Bessie seit mehr als 20 Jahren aufopferungsvoll pflegt. Dort kommt es dann zu heftigen Auseinandersetzungen zwischen den beiden Schwestern...</t>
  </si>
  <si>
    <t>Mein Freund Joe</t>
  </si>
  <si>
    <t>My Friend Joe</t>
  </si>
  <si>
    <t>tt0117015</t>
  </si>
  <si>
    <t>Schuyler Fisk, John Cleere, Stephen McHattie, Stanley Townsend, Pauline McLynn</t>
  </si>
  <si>
    <t>Der zwölfjährige Chris wird von seinen Kameraden als Angsthase verspottet, weil er bei einer heiklen Mutprobe gekniffen hat. Eines Tages taucht der tollkühne Joe auf, der Chris' großmäulige Freunde in Mut und Geschicklichkeit mühelos übertrifft. Chris und Joe verstehen sich auf Anhieb, doch ihre Freundschaft wird von einem Geheimnis überschattet. Joe heißt eigentlich Joanne und ist eine talentierte Hochseilartistin, die im Wanderzirkus arbeitet. Ihr brutaler und ehrgeiziger Onkel Curt fordert ihr ein unmenschliches Trainingspensum ab und zwingt sie, sich wie ein Junge zu kleiden. Als Joe ihr Geheimnis lüftet, wird ihre Freundschaft zu Chris auf eine harte Probe gestellt.</t>
  </si>
  <si>
    <t>Meine geniale Freundin</t>
  </si>
  <si>
    <t>Meschkas Enkel</t>
  </si>
  <si>
    <t>tt0293862</t>
  </si>
  <si>
    <t>Erwin Geschonneck, Dieter Bellmann, Elsa Grube-Deister</t>
  </si>
  <si>
    <t>Nach dem Tod seiner Tochter kümmert Meschka sich um seinen achtjährigen Enkel Christian. Nun ist er der Meinung, das Beste für den Jungen sei es, künftig bei der Tante in Rostock zu leben, in einer richtigen Familie mit Geschwistern. Gemeinsam begeben sich Großvater und Enkel auf die Reise vom heimischen Erzgebirge an die Ostsee. Unterwegs begegnen sie zahlreichen Menschen, die bei Meschka immer stärkere Zweifel wecken, ob er für Christian die richtige Entscheidung treffen wird.</t>
  </si>
  <si>
    <t>Mr. Jones</t>
  </si>
  <si>
    <t>tt0107611</t>
  </si>
  <si>
    <t>Richard Gere, Lena Olin, Anne Bancroft</t>
  </si>
  <si>
    <t>Mr. Jones ist manisch-depressiv. In seiner Hochphase will er am liebsten dem Himmel nah sein, und mit seinem kindlichen Charme läßt er alle Herzen höher schlagen. Doch dann kommt der jähe Fall in die Depression: Der unberechenbare Jones wird in ein Sanatorium eingeliefert, in dem er seiner Doktorin Libbie schnell den Hof macht. Libbie gibt seinem Drängen nach und bekommt Ärger mit der Verwaltung. Es kommt noch schlimmer: Der selbstmordgefährdete Jones flieht aus der Klinik!</t>
  </si>
  <si>
    <t>Mud - Kein Ausweg</t>
  </si>
  <si>
    <t>Mud</t>
  </si>
  <si>
    <t>tt1935179</t>
  </si>
  <si>
    <t>Matthew McConaughey, Tye Sheridan, Jacob Lofland</t>
  </si>
  <si>
    <t>Ellis und sein Kumpel Neckbone entdecken bei einer ihrer Erkundungstouren am Mississippi eine verlassene Insel. Nicht ganz verlassen allerdings, denn auf ihr hält sich der heruntergekommene, aber dennoch einnehmende Mud versteckt. Die Polizei und Kopfgeldjäger sind ihm auf den Fersen, für ein Verbrechen, das er aus Liebe zu seiner Juniper begangen hat. Von so viel Romantik schwer beeindruckt und fasziniert von dem Abenteuer, das Mud verspricht, beschließen die beiden Jungs ihm zu helfen, zu seiner Juniper zurück zu gelangen.</t>
  </si>
  <si>
    <t>Nach dem Urteil</t>
  </si>
  <si>
    <t>Jusqu'à la garde</t>
  </si>
  <si>
    <t>tt6002232</t>
  </si>
  <si>
    <t>Léa Drucker, Denis Ménochet, Thomas Gioria, Mathilde Auneveux, Mathieu Saikaly</t>
  </si>
  <si>
    <t>Miriam ist fassungslos, als das Gericht ihrem unberechenbaren Ex-Mann Antoine das Besuchsrecht für den gemeinsamen Sohn Julien zuspricht. Von nun an soll der 11-Jährige jedes zweite Wochenende bei seinem Vater verbringen. Die Besuche bei Antoine werden für Julien zur Tortur. Während Miriam daheim krank vor Sorge wartet, setzt Julien alles daran, seinen um Annäherung bemühten Vater nicht zu provozieren. Aber ist Antoine wirklich ein Pulverfass?</t>
  </si>
  <si>
    <t>Nicholas - Ein Kinderherz lebt weiter</t>
  </si>
  <si>
    <t>Nicholas' Gift</t>
  </si>
  <si>
    <t>tt0143767</t>
  </si>
  <si>
    <t>Jamie Lee Curtis, Alan Bates, Hallie Eisenberg</t>
  </si>
  <si>
    <t>Nichts als die Wahrheit</t>
  </si>
  <si>
    <t>...und nichts als die Wahrheit</t>
  </si>
  <si>
    <t>tt0051334</t>
  </si>
  <si>
    <t>Christoph Bauer</t>
  </si>
  <si>
    <t>Die Armeen der Ori planen den finalen Angriff auf die Erde. Die letzte Hoffnung, die Feinde doch noch zu besiegen, liegt in der "Ark of Truth", einem mächtigen Antikerartefakt. Daniel ist überzeugt, dass sich die "Ark of Truth" in der Heimatgalaxie der Ori be-findet. Das SG-1-Team geht an Bord der "Odyssey" und bricht in die weit entfernte Galaxie auf. Während das Team auf zwei gefährliche Gegner trifft, verfolgt das IOA (International Oversight Advisory) auf der Erde einen eigenen Plan.</t>
  </si>
  <si>
    <t>Nobodys Fool -  Auf Dauer unwiderstehlich</t>
  </si>
  <si>
    <t>Nur noch ein einziges Mal</t>
  </si>
  <si>
    <t>It Ends with Us</t>
  </si>
  <si>
    <t>tt10655524</t>
  </si>
  <si>
    <t>Blake Lively, Justin Baldoni, Jenny Slate, Brandon Sklenar, Hasan Minhaj</t>
  </si>
  <si>
    <t>Lily Bloom ist eine Frau, die ihre traumatische Kindheit hinter sich lassen will, um in Boston ein neues Leben zu beginnen. Dort möchte sie ihren lebenslangen Traum verwirklichen und ihr eigenes Geschäft eröffnen. Bei einer zufälligen Begegnung mit dem charmanten Neurochirurgen Ryle Kincaid fliegen zwischen den beiden sofort die Funken und sie fühlen eine tiefe Verbindung. Doch als sie sich Hals über Kopf ineinander verlieben, bemerkt Lily Seiten an Ryle, die sie an die Beziehung ihrer Eltern erinnern. Plötzlich taucht Lilys erste große Liebe Atlas Corrigan wieder in ihrem Leben auf. Dadurch wird die Beziehung zu Ryle auf den Kopf gestellt. Lily erkennt, dass sie lernen muss, auf ihre eigenen Stärken zu vertrauen. Und sie muss eine überaus schwierige Entscheidung für ihre Zukunft treffen.</t>
  </si>
  <si>
    <t>Nyad</t>
  </si>
  <si>
    <t>tt5302918</t>
  </si>
  <si>
    <t>Annette Bening, Jodie Foster, Anne Marie Kempf</t>
  </si>
  <si>
    <t>Im Alter von 60 Jahren widmet sich die Schwimmerin Diana Nyad einem fast unmöglichen Lebenstraum: dem Zurücklegen der 177 km von Kuba nach Florida.</t>
  </si>
  <si>
    <t>Oliver</t>
  </si>
  <si>
    <t>Oliver!</t>
  </si>
  <si>
    <t>tt0063385</t>
  </si>
  <si>
    <t>Mark Lester, Ron Moody, Shani Wallis</t>
  </si>
  <si>
    <t>Oliver, das Findelkind aus dem Arbeitshaus, ist ausgerissen. Karge Kost und ständige Prügel haben ihm Beine gemacht. Nun sucht Oliver sein Glück im Hexenkessel London, und landet prompt in den Fängen der Unterwelt. Mr. Fagin, Boss einer Bande jugendlicher Taschendiebe und Trickbetrüger, nimmt den Waisenknaben unter seine Fittiche. Und Oliver lernt das Gaunerhandwerk von Grund auf.</t>
  </si>
  <si>
    <t>One Life</t>
  </si>
  <si>
    <t>tt13097932</t>
  </si>
  <si>
    <t>Anthony Hopkins, Lena Olin, Johnny Flynn</t>
  </si>
  <si>
    <t>„Wenn etwas nicht unmöglich ist, dann muss es einen Weg geben!“ Mit dieser Lebenseinstellung schrieb Sir Nicholas ‚Nicky‘ Winton (Anthony Hopkins) Geschichte, als er in einem Wettlauf gegen die Zeit kurz vor Ausbruch des Zweiten Weltkriegs 669 Kinder vor den Nazis rettete: Dezember 1938. Der junge Londoner Börsenmakler Nicholas Winton (Johnny Flynn) erfährt über einen Freund von den entsetzlichen Zuständen in den tschechischen Flüchtlingslagern. Kurzentschlossen fährt er nach Prag und erlebt aus erster Hand, wie jüdische Familien auf der Flucht vor Verfolgung ohne Obdach und Essen ihrem Schicksal ausgeliefert sind. Bestürzt entwickelt er einen waghalsigen Plan. Und so beginnt mit Unterstützung seiner tatkräftigen Mutter (Helena Bonham Carter) in London und einer Hilfsorganisation vor Ort eine beispiellose Rettungsaktion – immer bedroht von der nahenden Invasion der Faschisten. Wie viele Kinder können sie retten, bevor die Grenzen geschlossen werden?</t>
  </si>
  <si>
    <t>Papillon</t>
  </si>
  <si>
    <t>tt5093026</t>
  </si>
  <si>
    <t>Charlie Hunnam, Damijan Oklopdzic, Christopher Fairbank</t>
  </si>
  <si>
    <t>Papillon ist zwar kriminell, aber kein Mörder. Trotzdem wird der gewiefte Safeknacker fälschlicherweise im Jahr 1933 wegen Mordes verhaftet und zu einer Gefängnisstrafe verurteilt. Damals verschifft Frankreich einen Großteil seiner Straftäter in die Strafkolonie auf den Teufelsinseln vor der Küste von Französisch-Guayana. Hier trifft das Schlitzohr Papillon auf den Fälscher Louis Dega. Gemeinsam hecken sie einen spektakulären Plan aus, um von der Teufelsinsel zu fliehen.</t>
  </si>
  <si>
    <t>Parked - Gestrandet</t>
  </si>
  <si>
    <t>Parked</t>
  </si>
  <si>
    <t>tt1571409</t>
  </si>
  <si>
    <t>Colin Morgan, Colm Meaney, Milka Ahlroth</t>
  </si>
  <si>
    <t>Ein arbeitsloser Uhrmacher kehrt mit Ende 50 aus England in seine Heimat Irland zurück. Das Elternhaus ist verkauft, ohne festen Wohnsitz erhält er keine Sozialhilfe und ohne die gibt es auch keine Wohnung. Ein Teufelskreis. Also haust er im alten Mazda auf dem Parkplatz an der Dubliner Küste und freundet sich mit seinem "Nachbarn" an, einem jungen Drogensüchtigen. Die beiden schöpfen ein bisschen Hoffnung in einer hoffnungslosen Welt, der Ältere entdeckt sogar längst vergessene Gefühle.</t>
  </si>
  <si>
    <t>Passion Fish - Ein Meer der Gefühle</t>
  </si>
  <si>
    <t>Passion Fish</t>
  </si>
  <si>
    <t>tt0105107</t>
  </si>
  <si>
    <t>Mary McDonnell, Alfre Woodard, Angela Bassett</t>
  </si>
  <si>
    <t>Die ehemalige Schauspielerin Mary-Alice sitzt nach einem schweren Autounfall im Rollstuhl. Verbittert über ihr eigenes Schicksal greift sie zur Flasche und lässt ihren Lebensunmut an ihren Pflegerinnen aus. Nachdem sie wieder eine Pflegerin erfolgreich vergrault hat, wird ihr Powerfrau Chantelle zugeteilt. Diese gibt der „Hexe auf Rädern“ gehörig Kontra.</t>
  </si>
  <si>
    <t>Perfect Days</t>
  </si>
  <si>
    <t>tt27503384</t>
  </si>
  <si>
    <t>Kôji Yakusho, Tokio Emoto, Arisa Nakano</t>
  </si>
  <si>
    <t>Hirayama scheint mit seinem einfachen Leben als Toilettenreiniger in Tokio vollauf zufrieden zu sein. Außerhalb seines sehr strukturierten Alltags genießt er seine Leidenschaft für Musik und für Bücher. Und er liebt Bäume und fotografiert sie. Eine Reihe unerwarteter Begegnungen enthüllt nach und nach mehr über seine Vergangenheit.</t>
  </si>
  <si>
    <t>Platoon</t>
  </si>
  <si>
    <t>tt0091763</t>
  </si>
  <si>
    <t>Charlie Sheen, Tom Berenger, Willem Dafoe</t>
  </si>
  <si>
    <t>Vietnam, 1967. Der Student Chris Taylor meldet sich voller Idealismus als Freiwilliger im Dschungelkrieg. Doch in der grünen Hölle gelangt er schnell zu einer bitteren Erkenntnis: Der Krieg schafft keine Helden, sondern macht aus Menschen rohe Bestien. Der tägliche Kampf gegen den nahezu unsichtbaren Feind und die ständigen Verluste unter seinen Kameraden setzen ihm physisch und psychisch stark zu. Chris’ Träume zerplatzen endgültig, als er merkt, dass der Krieg auch in den eigenen Reihen tobt. Zwischen dem brutalen Sergeant Barnes und Sergeant Elias, der sich trotz der Nerven aufreibenden Kämpfe seine Menschlichkeit bewahrt hat, herrscht blanker Hass. Die Situation spitzt sich zu und Chris versucht, den Horror des Krieges zu überleben und sich an Barnes zu rächen.</t>
  </si>
  <si>
    <t>Prince of Broadway</t>
  </si>
  <si>
    <t>tt1000769</t>
  </si>
  <si>
    <t>Prince Adu, Karren Karagulian, Aiden Noesi</t>
  </si>
  <si>
    <t>Prison 77 - Flucht in die Freiheit</t>
  </si>
  <si>
    <t>Prison 77</t>
  </si>
  <si>
    <t>tt15128358</t>
  </si>
  <si>
    <t>Miguel Herrán, Javier Gutiérrez, Jesús Carroza</t>
  </si>
  <si>
    <t>Modelo-Gefängnis. Barcelona, ​​1977. Manuel, ein junger Buchhalter, der wegen Unterschlagung inhaftiert ist und auf seinen Prozess wartet, sieht sich einer Haftstrafe von 6 bis 8 Jahren gegenüber, eine unverhältnismäßige Strafe für das begangene Verbrechen. Zusammen mit seinem Zellengenossen Pino verbündet er sich mit COPEL, einem Kollektiv, das für die Rechte gewöhnlicher Gefangener und Amnestie kämpft. Ein Freiheitskrieg bricht aus, der das spanische Gefängnissystem in die Knie zwingen wird. Wenn sich draußen etwas ändert, müssen sie es auch drinnen tun. Eine Geschichte über Freundschaft, Solidarität und Freiheit, inspiriert von wahren Begebenheiten.</t>
  </si>
  <si>
    <t>Rain Man</t>
  </si>
  <si>
    <t>tt0095953</t>
  </si>
  <si>
    <t>Dustin Hoffman, Tom Cruise, Valeria Golino</t>
  </si>
  <si>
    <t>Charlie Babbitt ist ein oberflächlicher, karrierefixierter Egoist. Als sein Vater, zu dem er jahrelang keinen Kontakt hatte, eines Tages stirbt, erfährt er, dass er einen älteren Bruder namens Ray hat, der drei Millionen Dollar erben soll, während Charlie lediglich des Vaters Rosen sowie einen 49er Buick abbekommt. Aber Charlie wittert eine Chance. Denn Ray lebt in einem Heim für psychisch Kranke und leidet an Autismus. Er steht unter der Obhut von Dr. Bruner, einem alten Freund des Vaters, der das Vermögen Rays nun treuhänderisch verwalten soll und der Charlie nie über Ray informieren wollte. Charlie spekuliert: Wenn er Ray mitnimmt und Bruner unter Druck setzt, notfalls auch klagt, hätte er Chancen auf die Hälfte des Sümmchens - sofern er die Vormundschaft über seinen Bruder bekommen würde, vielleicht auf das ganz Geld. Eine Reise beginnt, bei der sich die beiden unterschiedlichen Brüder Stück für Stück näher kommen...</t>
  </si>
  <si>
    <t>Raymond &amp; Ray</t>
  </si>
  <si>
    <t>tt15334032</t>
  </si>
  <si>
    <t>Ewan McGregor, Jalyn Baiden, Ethan Hawke</t>
  </si>
  <si>
    <t>Die Halbbrüder Raymond und Ray finden wieder zusammen, als der von ihnen entfremdete Vater stirbt. Sie erfahren, dass es sein letzter Wunsch war, dass beide gemeinsam sein Grab ausheben sollen. Zu welcher Art von Männern sie geworden sind, müssen sie zusammen verarbeiten und das trotz, aber insbesondere wegen ihres Vaters.</t>
  </si>
  <si>
    <t>Red Dust - die Wahrheit führt in die Freiheit</t>
  </si>
  <si>
    <t>Red Dust</t>
  </si>
  <si>
    <t>tt0388364</t>
  </si>
  <si>
    <t>Hilary Swank, Chiwetel Ejiofor, Jamie Bartlett</t>
  </si>
  <si>
    <t>Einst wuchs die US-Anwältin Sarah Barcant in Südafrika auf. Jetzt kehrt sie in ihre Heimat zurück, um Axel Mpondo zu beraten vor der Wahrheits- und Versöhnungskommission. Dort werden Fälle nicht mit dem Ziel verhandelt, Schuldige zu bestrafen, sondern um Gräben im Volk zu schließen. Mpondo, heute ein Abgeordneter des ANC, prallt hier auf seinen ehemaligen Folterknecht, den Buren-Cop Hendricks, und Sarah muss erkennen, dass die Dinge nicht so einfach liegen, wie sie aus der Ferne scheinen.</t>
  </si>
  <si>
    <t>Reise aus der Vergangenheit</t>
  </si>
  <si>
    <t>Now, Voyager</t>
  </si>
  <si>
    <t>tt0035140</t>
  </si>
  <si>
    <t>Bette Davis, Paul Henreid, Claude Rains, Gladys Cooper, Bonita Granville</t>
  </si>
  <si>
    <t>Charlotte Vale leidet unter ihrer dominanten Mutter und kann sich erst durch einen Aufenthalt in einem Sanatorium von ihr lösen. Auf einer Kreuzfahrt verliebt sie sich in Jerry, der jedoch bereits verheiratet ist. Zurück bei ihrer Mutter kommt es zu einer Auseinandersetzung, im Laufe derer Charlottes Mutter an einem Herzinfarkt stirbt. Von Schuldgefühlen geplagt, begibt sich Charlotte erneut ins Sanatorium, wo sie die Bekanntschaft von Jerrys verschüchterter Tochter macht.</t>
  </si>
  <si>
    <t>Rescue Dawn</t>
  </si>
  <si>
    <t>tt0462504</t>
  </si>
  <si>
    <t>Christian Bale, Steve Zahn, Jeremy Davies</t>
  </si>
  <si>
    <t>1965 wird der Pilot Dieter Dengler auf einer streng geheimen Bombenmission über Laos abgeschossen. Nach einem qualvollen Fußmarsch landet er schließlich in einem höllischen Gefangenenlager tief im undurchdringlichen Dschungel Vietnams. Um dem sicheren Tod zu entgehen, bereitet der furchtlose Deutsch-Amerikaner akribisch einen Fluchtplan vor und avanciert so zum Hoffnungsträger für seine Mitgefangenen. Nach dem gelungenen Ausbruch beginnt jedoch eine wahre Odysee für die Männer. Unter tragischen Umständen verliert Dieter Dengler seine Begleiter und gelangt bald an seine körperlichen und mentalen Grenzen. Nach Wochen wird er völlig ausgehungert von U.S.-Soldaten gerettet und zum gefeierten amerikanischen Kriegshelden.</t>
  </si>
  <si>
    <t>Revolver</t>
  </si>
  <si>
    <t>tt0365686</t>
  </si>
  <si>
    <t>Jason Statham, Ray Liotta, André 3000</t>
  </si>
  <si>
    <t>Die sieben Jahre Knast haben sich ausgezahlt für Jake Green. Dank versierter Zellengenossen ist er bei seiner Entlassung ein perfekter Zocker, dem es auch gleich gelingt, Gangsterboss Macha ordentlich auszunehmen. Ob das allerdings schlau war? Der finanziell äußerst lukrative Abend bringt Jake nämlich auf Machas Abschussliste. Denn der ist es keinesfalls gewohnt zu verlieren.</t>
  </si>
  <si>
    <t>Schachnovelle</t>
  </si>
  <si>
    <t>tt12058584</t>
  </si>
  <si>
    <t>Oliver Masucci, Albrecht Schuch, Birgit Minichmayr, Rolf Lassgård, Andreas Lust</t>
  </si>
  <si>
    <t>Anwalt Dr. Josef Bartok wird von den Nationalsozialisten entführt, damit diese an die großen Vermögen kommen, die Bartok verwaltet. Als Bartok schweigt, sperren die Nazis ihn ein und lassen ihn ohne Kontakt oder Ablenkung vegetieren. Der gebildete Bartok ist kurz davor, psychisch gebrochen zu werden, da kommt er in einer List an ein Buch, in dem die Züge von Schachpartien festgehalten wurden. Aus Mangel an Alternativen verinnerlicht er diese Partien.</t>
  </si>
  <si>
    <t>Schiffsmeldungen</t>
  </si>
  <si>
    <t>The Shipping News</t>
  </si>
  <si>
    <t>tt0120824</t>
  </si>
  <si>
    <t>Kevin Spacey, Julianne Moore, Cate Blanchett, Judi Dench, Pete Postlethwaite</t>
  </si>
  <si>
    <t>Quoyle ist Zeit seines Lebens Außenseiter und die Witzfigur seiner Umwelt gewesen. Auch die Ehe mit Petal, die sich mehr für andere Männer als für ihn interessiert, ist ein Reinfall. Sie betrügt ihn und gibt sich keinerlei Mühe, das zu verheimlichen. Nicht mal seine kleine Tochter Bunny traut ihm irgendwas zu. Doch nach Petals Unfalltod beginnt für Quoyle und seine Tochter Bunny auf der Insel Neufundland ein neuer Lebensabschnitt. Bei seiner Tante lernen sie den Begriff Familie als eine Grundfeste des Lebens erst kennen. Doch reichen eine neue Liebe und ein neuer Job in der rauen Natur Neufundlands, damit Quoyle schließlich zu sich selbst findet?</t>
  </si>
  <si>
    <t>Schutzlos - Schatten über Carolina</t>
  </si>
  <si>
    <t>Bastard Out of Carolina</t>
  </si>
  <si>
    <t>tt0115633</t>
  </si>
  <si>
    <t>Jennifer Jason Leigh, Ron Eldard, Glenne Headly, Lyle Lovett, Jena Malone</t>
  </si>
  <si>
    <t>Die elfjährige Anne trifft der Schlag, als ihr geliebter Stiefvater bei einem Unfall ums Leben kommt. Umso weniger Verständnis hat sie dafür, dass ihre Mutter direkt wieder heiratet. Der neue Mann entpuppt sich zu einem Albtraum für Anne. Er ist nicht nur jähzornig, sondern missbraucht das Mädchen auch. Annes Mutter sieht tatenlos zu. Sie glaubt ihrem Ehemann, der verspricht, in Zukunft besser mit ihrer Tochter umzugehen. Doch die Verwandten sehen das anders und stellen der Mutter ein Ultimatum</t>
  </si>
  <si>
    <t>Seite an Seite</t>
  </si>
  <si>
    <t>Luke, von Jackie geschieden, lebt mit seiner neuen Freundin, der Werbefotografin Isabel, zusammen. Während Jackie sich mit ihrer Rolle als alleinerziehende Mutter arrangiert hat, lehnen die Kinder, die zwölfjährige Anna und der achtjährige Ben, die "Neue" ab und machen ihr das Leben zur Hölle. Haß, Liebe, Verlustängste, Eifersucht, Streß und familäre Verpflichtungen ergeben ein komplexes Beziehungsgeflecht, an dem die Beteiligten manchmal zu ersticken drohen. Da wird bei Jackie eine tödliche Krankheit diagnostiziert...</t>
  </si>
  <si>
    <t>Shackleton - Verschollen im ewigen Eis</t>
  </si>
  <si>
    <t>Shine - Der Weg ins Licht</t>
  </si>
  <si>
    <t>Shine</t>
  </si>
  <si>
    <t>tt0117631</t>
  </si>
  <si>
    <t>Geoffrey Rush, Armin Mueller-Stahl, Justin Braine</t>
  </si>
  <si>
    <t>Erzählt wird die wahre Geschichte des australischen Pianisten David Helfgott, der sein Leben lang unter der Autorität seines Vaters leidet. Nach einem totalen psychischen und körperlichen Zusammenbruch verbringt David über zehn Jahre in Heilanstalten und Sanatorien. Erst als er der Astrologin Gilligan begegnet, bringt diese Ruhe und Stabilität in sein inneres Chaos. Durch sie wird aus dem gebrochenen Genie wieder ein Konzertpianist, der die Welt begeistert und endliche seine Vergangenheit hinter sich lassen kann.</t>
  </si>
  <si>
    <t>Sieben verdammt lange Tage</t>
  </si>
  <si>
    <t>This Is Where I Leave You</t>
  </si>
  <si>
    <t>tt1371150</t>
  </si>
  <si>
    <t>Jason Bateman, Tina Fey, Jane Fonda, Adam Driver, Rose Byrne</t>
  </si>
  <si>
    <t>Vater ist tot! Die traurige Nachricht bringt vier mittlerweile erwachsene Geschwister wieder zusammen: Judd, Wendy, Paul und Phillip. Obwohl sie alle genug mit ihrem Alltag zu kämpfen haben, nehmen sie sich eine einwöchige Auszeit und kehren an den Ort ihrer Kindheit zurück, das elterliche Haus. Ihre mitteilsame Mutter Hillary nervt und die Heimkehrer begegnen dann auch noch einer ganzen Reihe von Personen aus der Kindheit und Jugend, die peinliche Erinnerungen hervorrufen. Die zusätzlich eintreffende Verwandtschaft trägt ebenfalls nicht dazu bei, die Stimmung der Geschwister zu heben. Doch der Familienärger und die aufgerissenen Wunden zwingen Judd, Wendy, Paul und Phillip dazu, sich mit ihrer Geschichte auseinanderzusetzen. Sie fangen an, die aufgebauten Barrieren zwischen sich und den Menschen, die ihnen eigentlich am vertrautesten sind, abzubauen...</t>
  </si>
  <si>
    <t>Simon Birch</t>
  </si>
  <si>
    <t>tt0124879</t>
  </si>
  <si>
    <t>Ian Michael Smith, Joseph Mazzello, Ashley Judd</t>
  </si>
  <si>
    <t>Vom Tag seiner Geburt an war Simon Birch anders. Er war nicht größer als ein kleines Katzenbaby, und die Ärzte glaubten nicht, daß er einen Tag überleben würde. Doch er tat es. Dann behaupteten sie, er würde keine Woche leben, doch sie lagen wieder falsch. Simon wuchs zu einem Jungen heran, der unerschütterlich daran glaubte, Gott habe etwas ganz Besonderes mit ihm vor.</t>
  </si>
  <si>
    <t>Sling Blade - Auf Messers Schneide</t>
  </si>
  <si>
    <t>Sling Blade</t>
  </si>
  <si>
    <t>tt0117666</t>
  </si>
  <si>
    <t>Billy Bob Thornton, Dwight Yoakam, J.T. Walsh</t>
  </si>
  <si>
    <t>Karl Childers kommt nach 25 Jahren aus dem Gefängnis frei. Der einstige Mörder ist ein geläuterter Mann, der nach Gottes Gesetzen leben und nicht mehr töten will. Doch wie lange können die guten Vorsätze halten, wenn ein gewaltbereiter Redneck seine Familie bedroht?</t>
  </si>
  <si>
    <t>So spielt das Leben</t>
  </si>
  <si>
    <t>Wie das Leben so spielt</t>
  </si>
  <si>
    <t>tt0380063</t>
  </si>
  <si>
    <t>Ivan Desny, Constanze Engelbrecht, Ruth-Maria Kubitschek, Louise Martini</t>
  </si>
  <si>
    <t>Holly Berenson, die sich mit einem erfolgreichen Catering-Service profiliert und Eric Messer, der sich als Nachwuchs-Regisseur einen Namen macht, treffen aufeinander. Ihr erstes Date endet in einer Katastrophe – gemeinsam haben die beiden nur ihre gegenseitige Abneigung und die Vergötterung ihrer Patentochter Sophie. Doch als sie plötzlich die alleinige Verantwortung für Sophie übernehmen müssen, sehen sich Holly und Eric gezwungen, ihre Differenzen zu überwinden. Ein völlig ungleiches Paar muss gemeinsam den Alltag meistern. Beruflicher Ehrgeiz und kollidierende Termine in unterschiedlichen Freundeskreisen machen das durchaus nicht einfach. Allerdings wird beiden klar: Wenn man unter einem Dach lebt, muss man sich irgendwie zusammenraufen.</t>
  </si>
  <si>
    <t>So wie du mich willst</t>
  </si>
  <si>
    <t>Terra Willy, planète inconnue</t>
  </si>
  <si>
    <t>Animation, Komödie, Abenteuer, Familie</t>
  </si>
  <si>
    <t>tt8329148</t>
  </si>
  <si>
    <t>Timothé Vom Dorp, Édouard Baer, Marie-Eugénie Maréchal, Guillaume Lebon, Barbara Tissier</t>
  </si>
  <si>
    <t>Die attraktive Literaturdozentin Claire ist 50, alleinerziehende Mutter und steckt in einer schwierigen Beziehung mit ihrem jüngeren Liebhaber Ludo. Um ihn auszuspionieren, legt sich Claire ein falsches Facebook-Profil an und wird zu Clara, einer hübschen 24-Jährigen. Alex, Ludos bester Freund, findet Clara online und verliebt sich in sie. Auch Claire findet Interesse an dem jungen Fotografen und es entwickelt sich ein intensiver Chat-Flirt. Obwohl sich alles in der virtuellen Welt abspielt, sind die Gefühle real. Während Claire zusehends dem Sog der Parallelwelt erliegt, möchte Alex sie endlich treffen. Claire gerät immer weiter in Bedrängnis und verliert die Kontrolle über das virtuelle Spiel - bis alle gefährlich nah am Abgrund stehen.</t>
  </si>
  <si>
    <t>Solange es noch Hoffnung gibt</t>
  </si>
  <si>
    <t>...First Do No Harm</t>
  </si>
  <si>
    <t>tt0118526</t>
  </si>
  <si>
    <t>Meryl Streep, Fred Ward, Allison Janney, Seth Adkins, Margo Martindale</t>
  </si>
  <si>
    <t>Die Reimullers sind eine glückliche amerikanische Familie. Dies ändert sich, als eines Tages beim jüngsten Kind festgestellt wird, dass es an Epilepsie erkrankt ist. Mutter Lori kümmert sich hinreißend um ihren Sohn. Die Behandlung im Krankenhaus führt jedoch zu keiner Besserung. Im Gegenteil: die Schulmedizin scheint am Ende ihrer Kunst zu sein. Da beschließt die verzweifelte Lori, neue Wege einzuschlagen und eine alternative Behandlung zu versuchen. Doch dagegen stellen sich die behandelnden Ärzte quer ...</t>
  </si>
  <si>
    <t>Sorry We Missed You</t>
  </si>
  <si>
    <t>tt8359816</t>
  </si>
  <si>
    <t>Kris Hitchen, Debbie Honeywood, Rhys Mcgowan</t>
  </si>
  <si>
    <t>Ricky, Abby und ihre zwei Kinder leben in Newcastle. Sie sind eine starke, liebevolle Familie, in der jeder für den anderen einsteht. Während Ricky sich mit Gelegenheitsjobs durchschlägt, arbeitet Abby als Altenpflegerin. Egal, wie sehr die beiden sich jedoch anstrengen, wissen sie, dass sie niemals unabhängig sein oder ihr eigenes Haus haben werden. Doch dann heißt es: Jetzt oder nie! Dank der digitalen Revolution bietet sich Ricky die Gelegenheit! Abby und er setzen alles auf eine Karte. Sie verkauft ihr Auto, damit Ricky sich einen Lieferwagen leisten und als selbständiger Kurierfahrer durchstarten kann. Die Zukunft scheint verlockend. Doch der Preis für Rickys Selbstständigkeit erweist sich als wesentlich höher als gedacht. Die Familie muss enger zusammenrücken und um ihren Zusammenhalt kämpfen.</t>
  </si>
  <si>
    <t>Speak - Die Wahrheit ändert alles</t>
  </si>
  <si>
    <t>Speak</t>
  </si>
  <si>
    <t>tt0378793</t>
  </si>
  <si>
    <t>Kristen Stewart, Elizabeth Perkins, Richard Hagerman</t>
  </si>
  <si>
    <t>Melinda wird in den Sommerferien auf der Party einer Freundin vergewaltigt. Völlig kopflos ruft sie die Polizei, kann sich aus dem Schock heraus aber nicht mitteilen. Die Polizei kommt und die Party wird abgebrochen. Ihre Freunde wenden sich daraufhin nun von Melinda ab. Melinda, völlig verunsichert, schweigt seitdem und teilt sich niemandem mit. Doch als die Schule wieder anfängt, beginnen für sie erst richtig die Probleme. Unfähig das geschehene zu verarbeiten zieht sie sich immer mehr zurück und wird schnell als Sonderling abgestempelt und gemieden. Lediglich im Kunstunterricht erkennt ihr Lehrer Mr. Freemann sehr schnell ihr Talent und das mit Melinda etwas nicht stimmt. Aber er findet keinen Zugang zu ihr. Melinda richtet sich in einer vergessenen Abstellkammer der Schule ein kleines Atelier ein. Hier malt sie ihre Bilder und findet endlich wieder zu sich.</t>
  </si>
  <si>
    <t>Still Alice – Mein Leben ohne Gestern</t>
  </si>
  <si>
    <t>Still Alice</t>
  </si>
  <si>
    <t>tt3316960</t>
  </si>
  <si>
    <t>Julianne Moore, Kate Bosworth, Shane McRae, Hunter Parrish, Alec Baldwin</t>
  </si>
  <si>
    <t>Zunächst versucht Dr. Alice Howland, eine anerkannte Sprachwissenschaftlerin, noch ihre Krankheit zu verheimlichen. Gelegentliche Orientierungslosigkeit in den Straßen von Manhattan und Schwierigkeiten, einzelne Wörter zu finden, machen das Leben zwar zunehmend schwerer, doch erst als sie anfängt, auch Menschen zu verwechseln, spricht sie mit ihrer Familie. Ihr liebender Ehemann John ist genauso schockiert wie ihre drei erwachsenen Kinder Anna, Tom und Lydia, als sie erfahren, dass Alice an einer seltenen Form von Alzheimer leidet, die auch vererbbar ist. Mit der Diagnose wird das bislang so perfekt geglaubte Familien- und Alltagsleben, an dem Alice mit allen Mitteln festhalten will, auf eine äußerst harte Probe gestellt.</t>
  </si>
  <si>
    <t>Stillwater - Gegen jeden Verdacht</t>
  </si>
  <si>
    <t>Stillwater</t>
  </si>
  <si>
    <t>tt10696896</t>
  </si>
  <si>
    <t>Matt Damon, Camille Cottin, Abigail Breslin</t>
  </si>
  <si>
    <t>Bill Baker, ein amerikanisches Bohrinsel-Raubein aus Oklahoma, reist nach Marseille, um seine entfremdete Tochter Allison zu besuchen. Die sitzt wegen eines Mordes im Gefängnis, den sie angeblich nicht begangen hat. Konfrontiert mit Sprachbarrieren, kulturellen Unterschieden und einem komplizierten Rechtssystem, baut sich Bill in Frankreich ein neues Leben auf, während er es zu seiner persönlichen Mission macht, seine Tochter zu entlasten.</t>
  </si>
  <si>
    <t>Strafversetzt – Mord in Manhattan</t>
  </si>
  <si>
    <t>Exiled</t>
  </si>
  <si>
    <t>tt0164023</t>
  </si>
  <si>
    <t>Chris Noth, Dabney Coleman, Dana Eskelson, John Fiore, Dann Florek</t>
  </si>
  <si>
    <t>Der hitzköpfige New Yorker Polizist Logan wird nach einem Disput mit einem Vorgesetzten von der Mordkommission abgezogen. Der zum Streifendienst auf Staten Island degradierte Cop erhält jedoch eine neue Chance, als man die verstümmelte Leiche einer Prostituierten findet.</t>
  </si>
  <si>
    <t>Sugar-Date - Luxus hat seinen Preis</t>
  </si>
  <si>
    <t>Her Deadly Sugar Daddy</t>
  </si>
  <si>
    <t>tt11385670</t>
  </si>
  <si>
    <t>Brent Bailey, Michael Chandler, Benjamin Easterday, Wendell Kinney, Jim Poole</t>
  </si>
  <si>
    <t>Die hübsche Bridget träumt davon, Blogger zu werden, hat aber ständig Geldsorgen. Bis ihr der charmante Geschäftsmann Anthony einen Job anbietet. Bridget kann bis zu 10.000 Dollar im Monat verdienen, wenn sie die wichtigsten Klienten der Firma zu Dates begleitet und auf die älteren, einflussreichen Herren „eingeht“. Anfangs genießt sie ihren neuen Lifestyle, doch der wird zunehmend gefährlicher.</t>
  </si>
  <si>
    <t>Sully</t>
  </si>
  <si>
    <t>tt3263904</t>
  </si>
  <si>
    <t>Tom Hanks, Aaron Eckhart, Laura Linney</t>
  </si>
  <si>
    <t>Am 15. Januar 2009 wurde Chesley B. Sullenberger zum absoluten Helden in den USA, aber auch weltweit, weil „Sully“ mit seinem Airbus A320 eine Notwasserung auf dem Hudson River in New York durchführen musste. Ein Schwarm Vögel war in die Triebwerke des Fliegers geraten und hatte für deren Ausfall gesorgt, so dass die Maschine abzustürzen drohte. Alle 155 Personen überlebten die Notlandung nahezu unverletzt und trotzdem musste der Pilot bei den nachfolgenden Untersuchungen zu dem Unfall und der Notlandung um seinen guten Ruf als erfahrener Pilot fürchten, den er sich mit mehr als 20.000 Flugstunden hart erarbeitet hat.</t>
  </si>
  <si>
    <t>Tage wie dieser</t>
  </si>
  <si>
    <t>Le Huitième Jour</t>
  </si>
  <si>
    <t>tt0116581</t>
  </si>
  <si>
    <t>Daniel Auteuil, Pascal Duquenne, Miou-Miou, Henri Garcin, Isabelle Sadoyan</t>
  </si>
  <si>
    <t>Bankmanager Harry geht ehrgeizig aber abgespannt seinem Job nach, anderen in immer gleich gestalteten Seminaren das vermeintliche Geheimnis beruflichen Erfolges zu vermitteln. Darin ist er gut, aber die Arbeit hält ihn regelrecht gefangen. Seine Familie kommt ständig zu kurz und von einer aktiven, aufmerksamen Rolle als Ehemann und Vater hat er sich weit entfernt. Darum hat seine Frau Julie ihn verlassen und die beiden gemeinsamen Töchter mitgenommen. Das trifft ihn zwar hart, aber er findet keinen Weg aus der Spirale der Arbeitssucht auszubrechen. Sein Leben erscheint ihm festgefahren und einsam, er trägt sich mit Suizidgedanken.</t>
  </si>
  <si>
    <t>Tausend Morgen</t>
  </si>
  <si>
    <t>A Thousand Acres</t>
  </si>
  <si>
    <t>tt0120323</t>
  </si>
  <si>
    <t>Michelle Pfeiffer, Jessica Lange, Jason Robards, Jennifer Jason Leigh, Colin Firth</t>
  </si>
  <si>
    <t>Ein Farmer im amerikanischen Mittelwesten, der seine Töchter nach dem Tod seiner Frau allein großgezogen hat, sie aber auch sexuell mißbrauchte, überschreibt den beiden Ältesten seinen Besitz, während er die scheinbar undankbare Dritte verstößt. Als er sich bevormundet fühlt, versöhnt er sich mit der Jüngsten und versucht mit ihr gemeinsam, das Land einzuklagen. Ein von zwei ausgezeichneten Hauptdarstellerinnen getragenes Familiendrama, das sich vage an Shakespeares Tragödie "König Lear" anlehnt. Die Generationskonflikte werden durch zu viele Probleme überfrachtet, so daß der Film nur in wenigen Augenblicken unter die Oberfläche gängiger Mainstream-Unterhaltung dringt.</t>
  </si>
  <si>
    <t>Teacher</t>
  </si>
  <si>
    <t>tt7281538</t>
  </si>
  <si>
    <t>David Dastmalchian, Kevin Pollak, Curtis Edward Jackson</t>
  </si>
  <si>
    <t>Der Englischlehrer James Lewis ist nach außen ein ruhiger und freundlicher Mann. Doch in seinem Inneren brodelt es. Schlimme Mobbing-Erfahrungen aus seiner Kindheit, Alkoholismus und eine komplizierte Scheidung zerren an seinen Nerven. Als zwei seiner Schüler, der sensible Preston und die schüchterne Daniela, von ihrem Mitschüler Tim zunehmend schikaniert werden, will sich James der Sache annehmen. Doch Tim denkt gar nicht daran, sich den Spaß von seinem Lehrer nehmen zu lassen. Als Baseball-Star der Schule und Sohn aus reichem Hause genießt er quasi Narrenfreiheit und Rückendeckung von seinem skrupellosen Vater. Als die Situation immer weiter eskaliert, beginnt auch James zu härteren Maßnahmen zu greifen.</t>
  </si>
  <si>
    <t>The Blind</t>
  </si>
  <si>
    <t>tt16374352</t>
  </si>
  <si>
    <t>Aron von Andrian, Matthew Erick White, Ronan Carroll</t>
  </si>
  <si>
    <t>Im tiefen Süden der USA der 1960er Jahre kämpft ein Mann mit der Schande seiner Vergangenheit, während er sich als Ehemann und Vater mit seiner eigenen Alkoholsucht und der komplizierten Familiendynamik auseinandersetzt.</t>
  </si>
  <si>
    <t>The Fallout</t>
  </si>
  <si>
    <t>tt11847410</t>
  </si>
  <si>
    <t>Jenna Ortega, Maddie Ziegler, Niles Fitch</t>
  </si>
  <si>
    <t>Frisch motiviert durch neue Freundschaften, die sie unter tragischen Umständen geschlossen hat, beginnt die Schülerin Vada damit, sich neu zu erfinden, während sie zugleich die Beziehungen zu ihrer Familie und Freunden sowie ihre Sicht auf die Welt näher beleuchtet. Sie legt die sichere Familienroutine ab und beginnt damit, in einer Reihe spontaner Entscheidungen Risiken einzugehen, mit denen sie ihre eigenen Grenzen austestet und ganz neue Pfade einschlägt. Je mehr Zeit sie dabei mit Mia verbringt, desto näher kommen sich die beiden und Vada beginnt langsam damit, sich durch ihre gemeinsamen Erfahrungen ganz neu zu definieren. Endlich rückt der Schicksalstag in die Ferne und sie beginnt, im Hier und Jetzt zu leben.</t>
  </si>
  <si>
    <t>The Friend</t>
  </si>
  <si>
    <t>tt10354062</t>
  </si>
  <si>
    <t>Kasun Rathnasiri, Shenic Tissera</t>
  </si>
  <si>
    <t>The Gambler</t>
  </si>
  <si>
    <t>tt2039393</t>
  </si>
  <si>
    <t>Mark Wahlberg, Jessica Lange, John Goodman</t>
  </si>
  <si>
    <t>Der Literaturprofessor Jim Bennett hat ein echtes Problem. Seine Spielsucht bringt ihn immer wieder in äußerst prekäre Situationen, besonders wenn man bedenkt, wem er alles Geld schuldet. Seine reiche Mutter, die ihren Sohn längst abgeschrieben hat, ist da wohl noch das geringste Problem. Viel gefährlicher dagegen ist der Gangster Neville, der sein Geld mit Nachdruck zurückfordert und für den ein Leben nichts anderes ist als ein Pfand. Er begibt sich bald auf illegales und riskantes Terrain, um die zwielichtigen Persönlichkeiten, mit denen er sich eingelassen hat, auszutricksen. Das erregt schließlich auch die Aufmerksamkeit des Kredithais Frank, der ein fast schon väterliches Interesse an Bennetts Zukunft hegt. Doch inwieweit kann Bennett ihm wirklich trauen?</t>
  </si>
  <si>
    <t>The Iron Claw</t>
  </si>
  <si>
    <t>tt21064584</t>
  </si>
  <si>
    <t>Zac Efron, Jeremy Allen White, Harris Dickinson</t>
  </si>
  <si>
    <t>Kevin (Zac Efron), Kerry (Jeremy Allen White), Mike (Stanley Simons) und David (Harris Dickinson) von Erich waren unzertrennliche Brüder – auch innerhalb des Wrestling-Ringes, den sie Anfang der 1980er-Jahre gehörig aufmischten. Doch so stark sie im Ring auftraten, so wenig hatten sie in Wahrheit zu sagen. Denn sämtliche Strippen zog ausschließlich der Patriarch der Familie: ihr Vater Jack (Holt McCallany), genannt Fritz. Er trainierte sie auch und sorgte dafür, dass der Konkurrenzkampf unter ihnen geschürt wurde. Und so sehr sie sich auch bemühten, sie schafften es nie, aus seinem Schatten ins Rampenlicht zu treten. Und nicht alle von ihnen hielten diesem enormen Druck stand, der ihren Alltag bestimmte. Bis eine Tragödie die Familie vor die grausame Realität stellt. So kann es nicht weitergehen. Es muss sich etwas ändern oder ist es dafür vielleicht schon zu spät?</t>
  </si>
  <si>
    <t>The Nanny#s Secrets - The Watchful Eye</t>
  </si>
  <si>
    <t>The Nest - Alles zu haben ist nie genug</t>
  </si>
  <si>
    <t>The Nest</t>
  </si>
  <si>
    <t>tt8338762</t>
  </si>
  <si>
    <t>Jude Law, Carrie Coon, Oona Roche</t>
  </si>
  <si>
    <t>Rory, ein ehrgeiziger Unternehmer und ehemaliger Rohstoffmakler, überredet seine amerikanische Frau Allison und seine Kinder, die Annehmlichkeiten der amerikanischen Vorstadt zu verlassen und in den 1980er Jahren in sein Heimatland England zurückzukehren. Rory wittert eine Gelegenheit und pachtet ein jahrhundertealtes Landgut mit Grundstücken für Allisons Pferde und Plänen zum Bau eines Stalls. Bald beginnt sich das Versprechen eines lukrativen Neuanfangs im englischen Herrenhaus aufzulösen und das Paar muss sich den unwillkommenen Wahrheiten stellen, die unter der Oberfläche seiner Ehe liegen. Die unheimliche Isolation, in der sich Rorys Familie im neuen Haus befindet, tut ihr Übriges, die Mitglieder voneinander zu entfernen. Ein Kreislauf der Selbstzerstörung beginnt ...</t>
  </si>
  <si>
    <t>The One - Die einzige Überlebende</t>
  </si>
  <si>
    <t>The One</t>
  </si>
  <si>
    <t>RUS</t>
  </si>
  <si>
    <t>tt16410984</t>
  </si>
  <si>
    <t>Nadezhda Kaleganova, Maksim Ivanov-Marenin, Viktor Dobronravov</t>
  </si>
  <si>
    <t>Am 24. August 1981 befindet sich das frisch verheiratete Paar Larisa und Wolodja von ihrer Hochzeitsreise auf dem Rückflug nach Hause. 30 Minuten vor der Landung kollidiert das Flugzeug mit einem Bomber der Luftwaffe und zerbricht in einer Höhe von mehr als 5 Kilometern in Stücke. Eigentlich sollte niemand überleben … doch es geschieht ein Wunder und Larisa kommt inmitten des Flugzeugwracks wieder zu Bewusstsein. – Völlig auf sich allein gestellt, muss sie alles daran setzen, um in den endlosen Weiten der Taiga noch einmal am Leben zu bleiben.</t>
  </si>
  <si>
    <t>The Road</t>
  </si>
  <si>
    <t>tt0898367</t>
  </si>
  <si>
    <t>Viggo Mortensen, Charlize Theron, Kodi Smit-McPhee</t>
  </si>
  <si>
    <t>1944, Frankreich während des Zweiten Weltkriegs. Eine amerikanische Truppe ist in der Normandie gelandet und bewegt sich kämpfend durch das Land – den sich nach und nach zurückziehenden Deutschen dicht auf den Fersen. Herz und Kopf der Einheit ist der erfahrene und sympathische Haudegen Sergeant Palumbo. Dessen Beliebtheit und Erfahrung ist dem unfähigen Befehlshaber Captain Kelly ein Dorn im Auge. Kurzerhand setzt er Palumbo und seinen Zug auf einen gefährlichen Erkundungsauftrag an. Das Ziel: Ein angeblich bereits geräumtes Gebiet. Doch das Gegenteil ist der Fall: Die Soldaten werden dort von schwer bewaffneten deutschen Gegnern erwartet...</t>
  </si>
  <si>
    <t>The Son</t>
  </si>
  <si>
    <t>tt14458442</t>
  </si>
  <si>
    <t>Vanessa Kirby, Hugh Jackman, Laura Dern</t>
  </si>
  <si>
    <t>Nachdem sich Sonic in Green Hills niedergelassen hat, will er beweisen, dass er das Zeug zum echten Helden hat. Die Gelegenheit lässt nicht lange auf sich warten, als er von seinem Erzfeind Dr. Robotnik und dessen neuem Partner Knuckles herausgefordert und auf die ultimative Probe gestellt wird. Das Bösewicht-Duo ist auf der Suche nach einem rätselhaften Smaragd, der die Macht hat, ganze Zivilisationen zu zerstören. Wie gut, dass auch der energetischste Igel der Welt Verstärkung bekommt und fortan Kumpel Tails an seiner Seite hat. Gemeinsam begeben sie sich auf eine actiongeladene Reise rund um den Globus, um den geheimnisvollen Edelstein zu finden, bevor er in die falschen Hände gerät.</t>
  </si>
  <si>
    <t>The Trial of the Chicago 7</t>
  </si>
  <si>
    <t>tt1070874</t>
  </si>
  <si>
    <t>Eddie Redmayne, Alex Sharp, Sacha Baron Cohen</t>
  </si>
  <si>
    <t>Was als friedliche Demo geplant war, artete in eine gewaltsame Konfrontation mit der Polizei aus. Was folgte, war einer der berüchtigtsten Prozesse der Justizgeschichte.</t>
  </si>
  <si>
    <t>The Whale</t>
  </si>
  <si>
    <t>tt13833688</t>
  </si>
  <si>
    <t>Brendan Fraser, Sadie Sink, Ty Simpkins</t>
  </si>
  <si>
    <t>Der Tod seines Geliebten, für den er seine Frau und seine Tochter verlassen hat, hat Charlie schwer getroffen. Inmitten seiner Trauer hat er eine Essstörung entwickelt, die dazu führt, dass er nun 270 Kilo wiegt und sich so weit es geht von der Gesellschaft abschottet. Doch nach dem Kontakt zu einer Person sehnt sich Charlie trotzdem: dem zu seiner siebzehnjährigen Tochter Ellie.</t>
  </si>
  <si>
    <t>The Wizard of Lies</t>
  </si>
  <si>
    <t>tt1933667</t>
  </si>
  <si>
    <t>Robert De Niro, Michelle Pfeiffer, Alessandro Nivola</t>
  </si>
  <si>
    <t>New York, 2008: Der angesehene Börsenmakler, Fondsmanager und Philanthrop Bernard "Bernie" Madoff (Robert De Niro) wird verhaftet. Er soll mit seinem Investmentfonds den größten Anlagebetrug in der Geschichte der USA begangen haben. Bald wird klar, dass der Finanzjongleur nicht nur unzählige Anleger und Institutionen in den Ruin getrieben hat. Der Skandal zerstört auch Madoffs Frau Ruth (Michelle Pfeiffer) und seine Familie. - Dramatisches Biopic, in dem sich Schauspiel-Legende Robert De Niro in den Mega-Finanzbetrüger Bernie Madoff verwandelt.</t>
  </si>
  <si>
    <t>The Zone of Interest</t>
  </si>
  <si>
    <t>tt7160372</t>
  </si>
  <si>
    <t>Christian Friedel, Sandra Hüller, Johann Karthaus</t>
  </si>
  <si>
    <t>Hedwig Höß heißt ihre Mutter willkommen. Es ist deren erster Besuch in der stuckverzierten Villa, in der Hedwig zusammen mit ihren Kindern und ihrem Mann Rudolf lebt. Die Sonne scheint, der Garten ist gepflegt, die Blumen blühen, der Hund lässt sich von seiner Nase durch das Grün treiben, Gemüse und Kräuter gedeihen, die Sonnenblumen stehen übermannshoch, die Kinder planschen im Wasser. Die Familie Höß scheint in einer Bilderbuchidylle zu leben. Nur abseits der Grundstücksmauern wird klar, dass hier – am Rande des Vernichtungslagers Auschwitz – die Hölle auf Erden und SS-Obersturmbannführer Rudolf Höß der Teufel persönlich ist…_x000D_ Basiert auf dem gleichnamigen Roman von Martin Amis.</t>
  </si>
  <si>
    <t>Third Star</t>
  </si>
  <si>
    <t>tt1510906</t>
  </si>
  <si>
    <t>Tom Burke, Benedict Cumberbatch, JJ Feild</t>
  </si>
  <si>
    <t>Der 29-jährige James leidet an Krebs im Endstadium und hat höchstens noch ein paar Monate zu leben. Bevor er das Zeitliche segnet, würde er gerne noch mal jenen Strand an der Atlantikküste besuchen, mit dem er und seine besten Freunde eine Menge Erinnerungen verbinden. Selbstverständlich tun Bill, Dave und Miles ihrem Kumpel diesen letzten Gefallen und organisieren einen Road Trip, der jedoch nicht immer so wie geplant verläuft. Tatsächlich trifft man schräge Vögel, erlebt ungeahnte Abenteuer, und gewinnt neue Einsichten.</t>
  </si>
  <si>
    <t>Three Seasons</t>
  </si>
  <si>
    <t>tt0138874</t>
  </si>
  <si>
    <t>Ngoc Hiep Nguyen, Ngoc Minh, Phat Trieu Hoang</t>
  </si>
  <si>
    <t>Episodenfilm von Tony Bui über das moderne, zerrissene Vietnam. Der Film wurde auf dem Sundance Festival ausgezeichnet.</t>
  </si>
  <si>
    <t>Through my Window – Ich sehe nur dich</t>
  </si>
  <si>
    <t>A través de mi ventana</t>
  </si>
  <si>
    <t>tt14463484</t>
  </si>
  <si>
    <t>Clara Galle, Julio Peña, Guillermo Lasheras, Natalia Azahara, Hugo Arbues</t>
  </si>
  <si>
    <t>Raquels langjährige Schwärmerei für ihren Nachbarn wird zu mehr, als er trotz der Einwände seiner Familie Gefühle für sie entwickelt.</t>
  </si>
  <si>
    <t>Überleben!</t>
  </si>
  <si>
    <t>Der Preis fürs Überleben</t>
  </si>
  <si>
    <t>tt0079746</t>
  </si>
  <si>
    <t>Michel Piccoli, Martin West, Marilyn Clark</t>
  </si>
  <si>
    <t>Am Freitag, den 13. Oktober 1972, stürzt ein Flugzeug mit einem Team junger Rugby-Spieler aus Uruguay in den Anden ab. Nur einige der Passagiere sterben beim Absturz, die meisten aber überleben. Acht Tage lang warten sie darauf, gerettet zu werden. Diese Hoffnung geben sie auf, als sie im Radio hören, dass die Suche nach ihnen aufgegeben wurde. Schnell sind ihre Essens- und Trinkvorräte aufgebraucht. Um in den Temperaturen unter Null überleben zu können, treffen die Überlebenden einen unfassbaren Entschluss. In dieser verzweifelten Situation machen sich drei der Jungen, Nando Parrado, Antonio Baldi und Roberto Canessa auf den Weg, um in den Bergen Hilfe zu finden...</t>
  </si>
  <si>
    <t>Umweg nach Hause</t>
  </si>
  <si>
    <t>The Fundamentals of Caring</t>
  </si>
  <si>
    <t>tt2452386</t>
  </si>
  <si>
    <t>Paul Rudd, Craig Roberts, Selena Gómez, Jennifer Ehle, Megan Ferguson</t>
  </si>
  <si>
    <t>Der ehemalige Schriftsteller Ben muss den Tod seines Kindes verarbeiten, macht eine nervenaufreibende Scheidung durch und beschließt aus Geldsorgen, sich per Crashkurs zu einer Pflegekraft ausbilden zu lassen. Kurz darauf wird ihm mit dem erst 18 Jahre alten Trevor der erste Patient zugeteilt. Trevor leidet an Muskeldystrophie, sitzt deshalb im Rollstuhl und verbringt seinen Alltag mit starrer Routine – macht seine Immobilität aber mit einem großen Mundwerk wett. Schnell werden der junge Mann und sein neuer Betreuer ein ungleiches Team – und nachdem Trevors Mutter Elsa widerwillig zustimmte, brechen Trevor und Ben zu einem abenteuerlichen Trip auf: zu den langweiligsten Attraktionen der USA, darunter das größte (ausgestopfte) Rind der Welt. Unterwegs gabeln sie die vorlaute Ausreißerin Dot und die werdende Mutter Peaches auf.</t>
  </si>
  <si>
    <t>Unbroken</t>
  </si>
  <si>
    <t>tt1809398</t>
  </si>
  <si>
    <t>Jack O'Connell, Miyavi, Domhnall Gleeson</t>
  </si>
  <si>
    <t>Der amerikanische Langstreckenläufer Louis Zamperini nimmt als jüngstes Mitglied des US-Olympiateams 1936 an den Olympischen Spielen in Berlin teil. Zwar gewinnt er keine Medaille, liefert sich aber ein so packendes Finalrennen, dass Adolf Hitler ihn treffen will. Vier Jahre später gilt Zamperini als großer Favorit für die Olympischen Spiele in Tokyo, die aufgrund des ausbrechenden Zweiten Weltkrieges jedoch abgesagt werden. Zamperini zieht freiwillig als Bombenschütze in den Krieg. Nach einer Bruchlandung im Pazifik können sich er und zwei weitere Soldaten auf ein Floß retten. Dort kämpfen sie 47 Tage ums Überleben, ehe sie von der japanischen Navy aufgelesen und gefangengenommen werden. Auf dem Schiff müssen sie sadistische Folterungen über sich ergehen lassen…</t>
  </si>
  <si>
    <t>Und der Himmel steht still</t>
  </si>
  <si>
    <t>The Innocent</t>
  </si>
  <si>
    <t>tt0106185</t>
  </si>
  <si>
    <t>Anthony Hopkins, Isabella Rossellini, Campbell Scott, Ronald Nitschke, James Grant</t>
  </si>
  <si>
    <t>Der Nachrichtentechniker Leonard Marnham wird 1955 nach West-Berlin versetzt, um als Techniker an der Operation Gold mitzuarbeiten. In dieser Operation soll Ost-Deutschland ausspioniert werden. Es kommt immer wieder zu Auseinandersetzungen mit dem US-Offizier Bob Glass. Als Marnham auf die Berlinerin Maria trifft, verliebt er sich in sie. Es fällt ihm immer schwerer, seine Arbeit von seinem Privatleben zu trennen.</t>
  </si>
  <si>
    <t>Under Fire</t>
  </si>
  <si>
    <t>tt0086510</t>
  </si>
  <si>
    <t>Nick Nolte, Ed Harris, Gene Hackman</t>
  </si>
  <si>
    <t>Drei US-amerikanische Journalisten berichten 1979 über die Revolution in Nicaragua. Einer von ihnen sieht sich während der letzten Wochen der Somoza-Diktatur zu einer moralischen Entscheidung für die Sandinisten gezwungen und schlägt sich auf die Seite von deren Truppen.</t>
  </si>
  <si>
    <t>Unersetzlich</t>
  </si>
  <si>
    <t>Irreplaceable You</t>
  </si>
  <si>
    <t>tt6119856</t>
  </si>
  <si>
    <t>Gugu Mbatha-Raw, Michiel Huisman, Steve Coogan, Timothy Simons, Jacki Weaver</t>
  </si>
  <si>
    <t>Seit ihrem achten Lebensjahr sind Abbie und Sam Seelenverwandte und dafür bestimmt, ewig zusammen zu sein. Mittlerweile leben sie glücklich in New York, sind verlobt und planen ihre Hochzeit. Doch dann kommt eine erschütternde Nachricht: Abbie ist todkrank. Getrieben von dem Wunsch, dass sie nicht will, dass ihre große Liebe von nun an alleine sein wird, macht sie sich auf, eine neue Frau für Sam zu finden. Doch beim Umgang mit ihrer Krankheit begegnet sie so unterschiedlichen Leuten wie Myron, Kate und Mitch, die eines gemeinsam haben: Während sie ebenfalls am Sterben sind, konzentrieren sie sich auf das Leben…</t>
  </si>
  <si>
    <t>Unsung Hero</t>
  </si>
  <si>
    <t>tt23638614</t>
  </si>
  <si>
    <t>Daisy Betts, Joel David Smallbone, Kirrilee Berger</t>
  </si>
  <si>
    <t>David Smallbone zieht mit seiner Familie von Australien in die USA, um nach dem Zusammenbruch seiner erfolgreichen Musikfirma eine bessere Zukunft zu finden. Mit nichts weiter als ihren sieben Kindern, Koffern und ihrer Liebe zur Musik machen sich David und seine schwangere Frau Helen auf den Weg, um ihr Leben neu zu gestalten. Helens Glaube hält allen Widrigkeiten stand und inspiriert ihren Mann und ihre Kinder, an ihrem Glauben festzuhalten. Während ihre eigenen Träume auf Eis liegen, erkennen David und Helen die musikalischen Fähigkeiten ihrer Kinder, die später zu zwei der erfolgreichsten Künstler in der Geschichte der Inspirational Music werden: die fünffachen Grammy-Gewinner von King + Country und Rebecca St. James.</t>
  </si>
  <si>
    <t>Unter Anklage – Der Fall McMarti</t>
  </si>
  <si>
    <t>Indictment: The McMartin Trial</t>
  </si>
  <si>
    <t>tt0113421</t>
  </si>
  <si>
    <t>James Woods, Mercedes Ruehl, Lolita Davidovich, Sada Thompson, Henry Thomas</t>
  </si>
  <si>
    <t>Ray Buckey, Sohn von Peggy McMartin, die seit Jahren mit ihrer Familie eine Vorschule leitet, gerät in den Verdacht des Kindesmißbrauchs. Die Medien stürzen sich wie Geier auf die Nachricht, was die Verhaftung der gesamten McMartin-Familie zur Folge hat. Der karriereorientierte Anwalt Davis glaubt an ihre Unschuld und übernimmt die Verteidigung. Ein sechsjähriges Gerichtsverfahren beginnt, das als längstes und teuerstes in die US-Geschichte einging und mit der Freisprechung aller Beteiligten endete.</t>
  </si>
  <si>
    <t>Unter Null</t>
  </si>
  <si>
    <t>tt1895586</t>
  </si>
  <si>
    <t>Jörg Schüttauf, Anna Stieblich, Henrike von Kuick</t>
  </si>
  <si>
    <t>Clay, Blair und Julian sind Freunde und gehören zur Glitzerwelt Beverly Hills. Ihre Eltern sind mehr mit rauschenden Partys und der Vergrößerung ihres Bankkontos beschäftigt, als mit ihren Sprößlingen. Nach der High – School trennen sich ihre Wege und damit die Einstellung zum Leben. Clay versucht die Probleme der No-Future-Generation durch ein braves Studium an der Ostküste zu bekämpfen, während Blair und Julian einen anderen Weg wählen: Drogen. Als Clay die beiden wiedersieht, ist er schockiert – seine Freunde sind auf einem selbstzerstörerischen Trip ohne jede Hoffnung. Das beschließt Clay zu ändern…</t>
  </si>
  <si>
    <t>Vakuum</t>
  </si>
  <si>
    <t>Riss im Vakuum</t>
  </si>
  <si>
    <t>tt5675426</t>
  </si>
  <si>
    <t>Lotte Becker, Tristan Becker, Jonah Janello</t>
  </si>
  <si>
    <t>Die 60-jährige Meredith ist glücklich mit André verheiratet. Doch irgendwas stimmt nicht mehr zwischen den beiden. Es ist, als ob etwas zwischen ihnen stehen würde. „Ich vermisse unser altes Leben“, sagt Meredith zu ihrem Mann und ist ratlos. Von ihrem alten Leben ist kaum noch etwas übrig. Außer dem Ehepaar, hat davon kaum einer etwas mitbekommen, auch ihre Kinder nicht, die davon ausgehen, dass sich die Eltern in den Vorbereitungen für ihren Hochzeitstag befinden. Doch eines Tages findet Meredith heraus, dass André regelmäßig in ein Bordell geht, um dort die sexuelle Befriedigung zu erfahren, die er mit Meredith nicht ausleben kann. Als sie mit HIV-positiv diagnostiziert wird, ist sie schockiert, da ihr Ehemann der einzige ist, der die Krankheit an sie übertragen haben könnte...</t>
  </si>
  <si>
    <t>Väter und Töchter</t>
  </si>
  <si>
    <t>Vater und Tochter</t>
  </si>
  <si>
    <t>tt0252081</t>
  </si>
  <si>
    <t>Christian Berkel, Silke Heise, Christine Prayon</t>
  </si>
  <si>
    <t>Die kleine Katie sitzt auf dem Rücksitz, als ihr Vater Jake sich mit seiner Frau streitet – und einen Unfall baut. Vater und Tochter überleben, die Mutter nicht. Jake, ein mit dem Pulitzerpreis ausgezeichneter Autor, trägt eine Kopfverletzung davon und hat deswegen immer wieder schmerzhafte Krämpfe. Als er depressiv wird und in eine Klinik geht, kommt Katie in die Obhut ihrer Tante Elizabeth und ihres Onkels William, die sie aber alles andere als fürsorglich behandeln. Sie wollen Katie adoptieren – was Davis unter allen Umständen verhindern will und weswegen er sich mehr denn je anstrengt, seiner geliebten Tochter ein gutes Leben zu finanzieren. 25 Jahre später ist Katie eine Sozialarbeiterin unter Chefin Dr. Corman, die mit Typen auf Bartoiletten Sex und ein Problem mit Bindungen hat. Ob der angehende Autor Cameron, den Katie kennenlernt, daran etwas ändern wird?</t>
  </si>
  <si>
    <t>Verbrecherische Herzen</t>
  </si>
  <si>
    <t>Crimes of the Heart</t>
  </si>
  <si>
    <t>tt0090886</t>
  </si>
  <si>
    <t>Diane Keaton, Jessica Lange, Sissy Spacek, Sam Shepard, Tess Harper</t>
  </si>
  <si>
    <t>Schon ihre Mutter machte mit ihrem spektakulären Abgang Schlagzeilen: Sie erhängte sich zusammen mit der Katze, um im Tod weniger einsam zu sein. Auch die drei Töchter Lenny, Meg und Babe haben so ihre Macken. Babe sitzt im Gefängnis. Sie hat ihren Mann erschossen, nachdem der sie mit ihrem Liebhaber erwischt hat. Ihre Schwester Lenny hat ebenfalls so ihre Schwierigkeiten mit Männern – sie hatte noch keinen. Und Meg kehrt nach etlichen gescheiterten Karriereversuchen und vielen Männergeschichten aus Hollywood wieder nach Hause zurück. Frisch vereint gibt es für die drei Schwestern eine Menge zu erzählen. Verpfuschte Leben, verdrängte Erinnerungen und jede Menge Lebensweisheiten.</t>
  </si>
  <si>
    <t>Verrückte Zeiten</t>
  </si>
  <si>
    <t>tt1569533</t>
  </si>
  <si>
    <t>Dietrich Bartsch, Nanda Ben Chaabane, Lorenz Christian Köhler</t>
  </si>
  <si>
    <t>Beth muss wegen der hohen Schulden ihres verstorbenen Ehemannes ihr Haus verkaufen und gemeinsam mit ihren beiden Söhnen vom hübschen Vorort in die günstigere Innenstadt ziehen. Während der 17-jährige Chris nur Zorn auf die Welt verspürt, lässt sich der 9-jährige Matt seine Trauer kaum anmerken und verbirgt seine Gefühle hinter einer Maske. Beth versucht indes, in ihrem neuen Leben Fuß zu fassen.</t>
  </si>
  <si>
    <t>Vielleicht lieber morgen</t>
  </si>
  <si>
    <t>The Perks of Being a Wallflower</t>
  </si>
  <si>
    <t>tt1659337</t>
  </si>
  <si>
    <t>Logan Lerman, Emma Watson, Ezra Miller, Mae Whitman, Kate Walsh</t>
  </si>
  <si>
    <t>Charlie ist ein unbeliebter Teenager mit psychischen Problemen, der keinen rechten Anschluss an seiner Schule findet. Er wird von einigen Mitschülern gehänselt und für seine sehr spezielle Art ausgegrenzt. Dazu kommt noch, dass er einen schrecklichen Verlust verarbeiten muss: Sein einziger Freund hat Selbstmord begangen. Als er das erste Jahr an der Highschool antritt, freundet er sich mit dem Geschwisterpaar Sam und Patrick an. Die beiden älteren Jugendlichen lehren den schüchternen Jungen neuen Spaß am Leben, wecken in Charlie aber auch die Erinnerung an sein verdrängtes Kindheitstrauma. Er verliebt sich in Sam, hat jedoch große Probleme, mit seinem fehlenden Selbstbewusstsein umzugehen und weiß nicht, wie er sich dem hübschen Mädchen gegenüber verhalten soll.</t>
  </si>
  <si>
    <t>Vier Minuten</t>
  </si>
  <si>
    <t>tt0461694</t>
  </si>
  <si>
    <t>Monica Bleibtreu, Hannah Herzsprung, Sven Pippig, Richy Müller, Jasmin Tabatabai</t>
  </si>
  <si>
    <t>In einem Frauengefängnis kreuzen sich die Schicksale der über 80-jährigen Traude Krüger und der 21-jährigen Jenny. Erstere ist eine altgediente Klavierlehrerin, die Jüngere ein neuer aufsässiger Häftling. Obwohl Jenny die alte Dame vor den Kopf stößt, wo sie nur kann, fördert Traude ihr Talent nach Kräften. Für die gemeinsame Chance eines Klavierwettbewerbs müssen beide sich öffnen und dunkle Geheimnisse preisgeben.</t>
  </si>
  <si>
    <t>Vigilante - Bis zum letzten Atemzug</t>
  </si>
  <si>
    <t>Vigilante</t>
  </si>
  <si>
    <t>tt8232172</t>
  </si>
  <si>
    <t>Tchindalo Aloise, Nick Blum, Cole Gray, LeGrand Love</t>
  </si>
  <si>
    <t>In verschiedenen Selbsthilfegruppen wird heimlich die Nummer einer geheimnisvollen Frau weitergereicht: Sadie soll dort helfen können, wo hilflose Opfer häuslicher Gewalt absolut keinen Ausweg mehr sehen. Und tatsächlich kann sie etwas bewirken, jedoch auf ihre ganz eigene, zweifelhafte Art: Mit gnadenloser Härte geht sie nämlich gegen die Täter vor und stellt so sicher, dass diese ihre Lektion lernen und nie wieder handgreiflich werden. Doch Sadie hat auch ihre ganz eigene Mission, die sie bei all ihren Aufträgen nie aus den Augen verliert. Was sie jedoch nicht merkt ist, dass die Schatten der Vergangenheit ihr dicht auf den Fernsen sind ...</t>
  </si>
  <si>
    <t>Visions - Tödliches Verlangen</t>
  </si>
  <si>
    <t>Visions</t>
  </si>
  <si>
    <t>tt21950462</t>
  </si>
  <si>
    <t>Diane Kruger, Mathieu Kassovitz, Marta Nieto</t>
  </si>
  <si>
    <t>Als erfahrene Linienpilotin führt Estelle zwischen ihren Langstreckenflügen ein perfektes Leben mit Guillaume, ihrem liebevollen und beschützenden Ehemann. Eines Tages begegnet sie zufällig in einem Flughafenkorridor Ana, einer Fotografin, mit der sie vor 20 Jahren eine leidenschaftliche Affäre hatte. Estelle ahnt nicht, dass dieses Wiedersehen sie in eine Alptraumspirale ziehen und ihr Leben in surreale Bahnen lenken wird…</t>
  </si>
  <si>
    <t>tt0423510</t>
  </si>
  <si>
    <t>Kenneth Branagh, Cynthia Nixon, David Paymer</t>
  </si>
  <si>
    <t>Was soll bloß aus dir werden</t>
  </si>
  <si>
    <t>tt0258304</t>
  </si>
  <si>
    <t>Anita Lochner, Dagmar Biener, Michael Karnowsky, Peter Seum, Jörg Friedrich</t>
  </si>
  <si>
    <t>We Grown Now</t>
  </si>
  <si>
    <t>tt28639049</t>
  </si>
  <si>
    <t>Tyla Abercrumbie, Echaka Agba, Madisyn Barnes</t>
  </si>
  <si>
    <t>Im Chicago des Jahres 1992, als Michael Jordan sich als Champion etabliert, beginnt die Geschichte zweier junger Legenden, die ihr eigenes Recht haben. Die weitsichtigen und phantasievollen besten Freunde Malik (Blake Cameron James) und Eric (Gian Knight Ramirez) ziehen durch die Stadt, um dem Schulalltag und den Härten des Aufwachsens in Sozialwohnungen zu entfliehen. Ihr unzerstörbares Band wird herausgefordert, als eine Tragödie ihre Gemeinschaft erschüttert, gerade als sie das Fliegen lernen.</t>
  </si>
  <si>
    <t>We Need to Talk About Kevin</t>
  </si>
  <si>
    <t>tt1242460</t>
  </si>
  <si>
    <t>Tilda Swinton, John C. Reilly, Ezra Miller</t>
  </si>
  <si>
    <t>Vor Jahren hat Eva ihren Job als Reisejournalistin aufgegeben, um mit ihrem Mann Franklin eine Familie zu gründen. Doch Wunschkind Kevin ist alles andere als einfach, bereits als Baby verzweifelt Eva fast an ihm. Je älter er wird, desto schwieriger wird die Beziehung zwischen Mutter und Sohn. Vater Franklin verdrängt die Probleme und scheint für alles eine Erklärung zu haben. Als ihr zweites Kind, Tochter Celia, heranwächst, wird die Kluft zwischen Sohn und Mutter deutlicher. Kevin mangelt es an Empathie, das Leid anderer übt eine große Faszination für ihn aus. Wirklich Freude bereitet Kevin nur das Bogenschießen, eine Disziplin, in der er bald zum Meister avanciert. Keiner ahnt, dass die Familie in eine große Katastrophe schlittert.</t>
  </si>
  <si>
    <t>Weisser Oleander</t>
  </si>
  <si>
    <t>White Oleander</t>
  </si>
  <si>
    <t>tt0283139</t>
  </si>
  <si>
    <t>Alison Lohman, Michelle Pfeiffer, Renée Zellweger, Robin Wright, Cole Hauser</t>
  </si>
  <si>
    <t>Als die exzentrische Künstlerin Ingrid erfährt, dass ihr Lebensgefährte Barry sie verlassen will, dreht sie durch: Sie vergiftet den Geliebten mit einem tödlichen Oleander-Extrakt. Hauptleidtragende dieses Verbrechens aus Leidenschaft ist ihre Tochter Astrid, die nach der Inhaftierung der Mutter die typische Karriere eines Waisenkindes antritt: Halt- und orientierungslos wird die 15-Jährige von einer Pflegefamilie zur nächsten weitergereicht. Erst unter der liebevollen Obhut der unglücklich verheirateten Claire findet Astrid die Kraft und Reife, sich aus dem Schatten der übermächtigen Mutter zu befreien, die sogar vom Gefängnis aus mit Argusaugen über die Entwicklung ihrer Tochter wacht.</t>
  </si>
  <si>
    <t>White Boy Rick</t>
  </si>
  <si>
    <t>tt4537896</t>
  </si>
  <si>
    <t>Matthew McConaughey, Richie Merritt, Bel Powley</t>
  </si>
  <si>
    <t>Detroit in den 1980er Jahren: Auf dem Höhepunkt der Crack-Epidemie und des Kampfes gegen Drogen, wirbt die Polizei den Teenager Rick Wershe als Informant an. Im Laufe der Zeit gerät er immer tiefer in den Drogenhandel. Als der Polizei die Sache zu heiß wird und sie Wershe schließlich fallen lässt, wird dieser zu einer lebenslangen Freiheitsstrafe verurteilt.</t>
  </si>
  <si>
    <t>Wie ein wilder Stier</t>
  </si>
  <si>
    <t>Raging Bull</t>
  </si>
  <si>
    <t>tt0081398</t>
  </si>
  <si>
    <t>Robert De Niro, Cathy Moriarty, Joe Pesci, Frank Vincent, Nicholas Colasanto</t>
  </si>
  <si>
    <t>Ende der 40er Jahre schlägt sich der New Yorker Berufsboxer Jake LaMotta, wegen seiner ungezügelten Energie von Freund wie Feind "Raging Bull" genannt, zum Schwergewichtschampion und Liebling des nach einem weißen Helden gierenden Publikums hoch. Unschöne Machenschaften seines mafiösen Bekanntenkreises und die eigene charakterliche Labilität sorgen dafür, daß der Höhenflug nicht allzu lange andauert, und so schlägt Jake nach seinem letzten Auftritt im Boxring eine Karriere als mäßig erfolgreicher Nachtclub-Komiker ein.</t>
  </si>
  <si>
    <t>Wilde Alice</t>
  </si>
  <si>
    <t>Winters Bone</t>
  </si>
  <si>
    <t>The Making of 'Winter's Bone'</t>
  </si>
  <si>
    <t>Debra Granik, Jennifer Lawrence</t>
  </si>
  <si>
    <t>Verzweifelt sucht die siebzehnjährige Ree ihren Vater, der untergetaucht ist und das Haus der Familie samt Grundstück verpfändet hat. Wenn sie ihn nicht auftreiben kann, wird sie mit ihren kleinen Geschwistern und der kranken Mutter auf der Straße stehen. In den Wäldern der Ozark Mountains spielt dieser Film. In einer Welt, die aus der Zeit gefallen zu sein scheint. In heruntergekommenen Blockhäusern haben sich die Menschen notdürftig eingerichtet. Unbehauste Gestalten, die quasi von der Hand in den Mund leben. Bei ihren Nachbarn findet Ree kaum Unterstützung, als sie nach ihrem Vater sucht, überall stößt sie auf eine eiserne Wand des Schweigens.</t>
  </si>
  <si>
    <t>Wolf Like Me</t>
  </si>
  <si>
    <t>TV on the Radio: Wolf Like Me</t>
  </si>
  <si>
    <t>tt8509498</t>
  </si>
  <si>
    <t>Isla Fisher, Josh Gad, Ariel Donoghue</t>
  </si>
  <si>
    <t>Wunder</t>
  </si>
  <si>
    <t>Die Rückkehr der Wölfe: Das Wunder im Yellowstone-Nationalpark</t>
  </si>
  <si>
    <t>tt13147810</t>
  </si>
  <si>
    <t>Jo Jung, Eric Larsen, Rick McIntyre</t>
  </si>
  <si>
    <t>Immer mehr Ärzte und Chirurgen nehmen bei einer Operation die Hypnose als Ergänzung zur Anästhesie zur Hilfe. Gerade bei der Narkose und Schmerzbehandlung gewinnt Hypnose auch bei Schulmedizinern verstärkt Anerkennung. Kann sie auch bei psychischen Belastungsstörungen wie Traumata, Phobien, Sucht, Depressionen oder Burnout helfen?</t>
  </si>
  <si>
    <t>Zauberhafte Schwestern</t>
  </si>
  <si>
    <t>Practical Magic</t>
  </si>
  <si>
    <t>tt0120791</t>
  </si>
  <si>
    <t>Sandra Bullock, Nicole Kidman, Stockard Channing, Dianne Wiest, Goran Višnjić</t>
  </si>
  <si>
    <t>Sally und Gillian, Abkömmlinge eines Hexengeschlechts, wachsen im Haus ihrer beiden schrägen Tanten auf. Mit ihrem Außenseitertum haben sich die hübschen Schwestern längst abgefunden, nicht aber mit dem uralten Fluch, der auf der Familie lastet: Jeder Mann, der sich in eine der mit übernatürlichen Fähigkeiten ausgestatteten Frauen verliebt, stirbt eines frühen Todes. Schlechte Karten für den Vagabunden Jimmy Angelov, der sich an Gillian heranmacht, und den Polizisten Gary Hallet, der Angelov wegen eines Mordes sucht...</t>
  </si>
  <si>
    <t>Zeit der Trauer</t>
  </si>
  <si>
    <t>Zeit nach der Trauer</t>
  </si>
  <si>
    <t>tt0396953</t>
  </si>
  <si>
    <t>Claudia Geisler-Bading, Daniel Morgenroth, Max Hopp</t>
  </si>
  <si>
    <t>Als der Sohn Bennett bei einem Autounfall ums Leben kommt, zerbricht die Familienidylle von Allen Brewer und Grace Brewer. Während ihr Leben scheinbar an tiefer Trauer und Verzweiflung zu Grunde geht, steht plötzlich Rose vor der Tür, und behauptet von Bennett ein Kind zu erwarten...</t>
  </si>
  <si>
    <t>Zeiten des Aufruhrs</t>
  </si>
  <si>
    <t>Revolutionary Road</t>
  </si>
  <si>
    <t>tt0959337</t>
  </si>
  <si>
    <t>Leonardo DiCaprio, Kate Winslet, Kathy Bates, Michael Shannon, Kathryn Hahn</t>
  </si>
  <si>
    <t>Es ist die Suche nach einem Leben ohne Kompromisse: April und Frank Wheeler sind ein junges Paar mit großen Plänen und Ambitionen. Sie sehen sich als Individualisten, die die prüden Gesellschaftskonventionen der 50er Jahre in Frage stellen. Als April schwanger wird, beschließt das Ehepaar, sich in der ´ländlichen Umgebung von Connecticut niederzulassen. Doch schon bald erkennen die beiden, dass sie genau das Leben führen, das sie eigentlich zutiefst verachten. Frank arbeitet in einem zwar gut bezahlten, aber langweiligen Bürojob und April fristet ein Dasein als Hausfrau mit der Hoffnung auf eine Schauspielkarriere. Von einem Umzug nach Europa erhoffen sich die Wheelers, diesem Konstrukt aus Alltag und Selbsttäuschung zu entkommen, sie bemerken nicht, dass die "Zeiten des Aufruhrs" unaufhaltsam sind...</t>
  </si>
  <si>
    <t>Zeiten des Umbruchs</t>
  </si>
  <si>
    <t>Armageddon Time</t>
  </si>
  <si>
    <t>tt10343028</t>
  </si>
  <si>
    <t>Banks Repeta, Anne Hathaway, Jeremy Strong, Jaylin Webb, Anthony Hopkins</t>
  </si>
  <si>
    <t>Mitte der 1980er Jahre steht der New Yorker Stadtteil Queens unter der Herrschaft des Bauunternehmers Fred Trump, dem Vater von Donald Trump, dem späteren Präsidenten der Vereinigten Staaten. Ein Teenager besucht die Kew-Forest School, deren Vater im Schulvorstand sitzt und dessen ehemaliger Schüler Donald Trump ist.</t>
  </si>
  <si>
    <t>Zivilprozess</t>
  </si>
  <si>
    <t>A Civil Action</t>
  </si>
  <si>
    <t>tt0120633</t>
  </si>
  <si>
    <t>John Travolta, Robert Duvall, Tony Shalhoub, William H. Macy, Zeljko Ivanek</t>
  </si>
  <si>
    <t>Jan Schlichtman ist Anwalt für Körperverletzung. Er ist erfolgsorientiert und hat wenig Gerechtigkeitssinn; aus dem Unglück anderer schlägt er Kapital, deshalb ist er erfolgreich. Als sich eine Gruppe verzweifelter Eltern an seine Kanzlei wendet und um seine Hilfe bittet, lehnt er zunächst ab.</t>
  </si>
  <si>
    <t>Zurück im Sommer</t>
  </si>
  <si>
    <t>Fireflies in the Garden</t>
  </si>
  <si>
    <t>tt0961108</t>
  </si>
  <si>
    <t>Ryan Reynolds, Willem Dafoe, Emily Watson, Julia Roberts, Hayden Panettiere</t>
  </si>
  <si>
    <t>Als sich der New Yorker Schriftsteller Michael Taylor zu einem Familientreffen in die amerikanische Provinz aufmacht, wird er von Kindheitserinnerungen geplagt. Kurz vor seiner Ankunft stirbt seine Mutter Lisa bei einem Autounfall. Michaels Vater Charles saß am Steuer des Wagens. Die Tragödie stürzt die Familie, unter anderem auch Lisas jüngere Schwester Jane in eine emotionale Krise, geprägt von Verletzungen, ungestillten Sehnsüchten und dem dunklen Geheimnis eines bestimmten Sommers.</t>
  </si>
  <si>
    <t>Zwei an einem Tag</t>
  </si>
  <si>
    <t>One Day</t>
  </si>
  <si>
    <t>tt1563738</t>
  </si>
  <si>
    <t>Anne Hathaway, Jim Sturgess, Tom Mison, Jodie Whittaker, Rafe Spall</t>
  </si>
  <si>
    <t>Der 15. Juli ist das magische Datum, das die schicksalhafte Beziehung von Emma und Dexter prägt. Nicht einmal, sondern immer wieder: Alles beginnt mit einer gemeinsamen Nacht nach der Examensfeier am 15. Juli 1988. Doch die zurückhaltende Emma und der draufgängerische Dexter verfolgen unterschiedliche Lebensziele. Am nächsten Morgen trennen sich ihre Wege, um sich in den drauffolgenden Jahren immer wieder zu kreuzen. Und trotz aller räumlicher Entfernung, persönlicher Höhen und Tiefen, verlieren sich Emma und Dexter nie ganz aus den Augen, bis sie 20 Jahre nach ihrer ersten Nacht endlich erkennen, was sie immer gesucht haben...</t>
  </si>
  <si>
    <t>Agent wider Willen</t>
  </si>
  <si>
    <t>008 - Agent wider Willen</t>
  </si>
  <si>
    <t>tt0271934</t>
  </si>
  <si>
    <t>Marco Hofschneider, Stefanie Stappenbeck, Udo Schenk</t>
  </si>
  <si>
    <t>Jack Chenault arbeitet zwar für den Geheimdienst, doch sein Job beinhaltet lediglich leichte Büroarbeit. Dann erhält ausgerechnet er den Auftrag, den verrückten Forscher Valorium zu stoppen. Dieser hat ein hoch entwickeltes Gerät gestohlen, mit dem er alles auf Miniaturgröße verkleinern kann. Sein nächstes Ziel sind die Vereinigten Staaten von Amerika.</t>
  </si>
  <si>
    <t>Ein Rucksack voller Ärger</t>
  </si>
  <si>
    <t>40 Pounds of Trouble</t>
  </si>
  <si>
    <t>tt0057069</t>
  </si>
  <si>
    <t>Tony Curtis, Suzanne Pleshette, Phil Silvers, Kevin McCarthy, Claire Wilcox</t>
  </si>
  <si>
    <t>Ein junger Kasinomanager wird von einem kleinen Mädchen derart gerührt, daß er die Enttäuschung seiner ersten Ehe überwindet. Durch eine neue Heirat wird die Adoption der kleinen Waise möglich.</t>
  </si>
  <si>
    <t>Nur 48 Stunden</t>
  </si>
  <si>
    <t>48 Hrs.</t>
  </si>
  <si>
    <t>Krimi, Action, Komödie</t>
  </si>
  <si>
    <t>tt0083511</t>
  </si>
  <si>
    <t>Nick Nolte, Eddie Murphy, Annette O'Toole, Frank McRae, James Remar</t>
  </si>
  <si>
    <t>Der Schwerverbrecher Albert Ganz kann aus dem Gefängnis von San Francisco türmen. Beim Versuch, den Entflohenen wieder hinter Schloss und Riegel zu bringen, werden zwei Polizisten getötet, Jack Cates aber überlebt den Vorfall. Grund genug für den heruntergekommenen Cop, sich an die Fersen des Ganoven zu heften. Ihm ist jedes Mittel recht, wenn es dabei hilft, den Polizistenmörder wieder ins Gefängnis zu bringen. Deswegen lässt er Reggie Hammond, einen ehemaligen Komplizen des Gangsters, aus dem Knast holen und macht sich gemeinsam mit ihm auf die Jagd nach Ganz. Als Aufpasser muss Cates nun stets ein Auge auf Hammond haben, damit dieser nichts anstellt. Da der Knastbruder Hammond nur für 48 Stunden aus dem Gefängnis entlassen wurde, drängt die Zeit für das ungleiche Ermittlerduo...</t>
  </si>
  <si>
    <t>Der Fall Cicero</t>
  </si>
  <si>
    <t>5 Fingers</t>
  </si>
  <si>
    <t>Thriller, Drama</t>
  </si>
  <si>
    <t>tt0044314</t>
  </si>
  <si>
    <t>James Mason, Danielle Darrieux, Michael Rennie, Walter Hampden, Oskar Karlweis</t>
  </si>
  <si>
    <t>Während des zweiten Weltkrieges wird in der unarteiischen Türkei ein ambitionierter und sehr geschäftstüchtiger Kammerdiener des britischen Botschafters seiner Aufgabe überdrüssig. Um aus seinem Dienerstatus in ein angenehmeres Leben zu entkommen, heckt er einen teuflischen Plan aus. Er beschließt, wichtige Geheimdokumente, die sich im Besitz seines Arbeitgebers befinden, zu duplizieren, um sie mit Hilfe einer auf der Flucht befindlichen Gräfin an die Nazis zu verkaufen. Sein Ziel ist es, mit dem ergaunerten Geld und der Gräfin als Frau an seiner Seite, nach Rio de Janeiro auszuwandern...</t>
  </si>
  <si>
    <t>Scharfe Schüsse auf Jamaica</t>
  </si>
  <si>
    <t>A 001, operazione Giamaica</t>
  </si>
  <si>
    <t>D,ITA</t>
  </si>
  <si>
    <t>tt0058865</t>
  </si>
  <si>
    <t>Larry Pennell, Barbara Valentin, Linda Sini, Margitta Scherr, Roberto Camardiel</t>
  </si>
  <si>
    <t>Einst wurde der Schwerverbrecher Elmer Hayes zum Tode verurteilt. Doch es gelang ihm die Flucht, und er ließ sich in Jamaika nieder, wo er nunmehr, um sich an den USA zu rächen, mit seiner Bande einen großen Waffenschieberring aufbaute. Damit will er vor der Haustür Amerikas zahlreiche Revolutionen anzetteln, die seinem Heimatland schaden könnten. Davon hat auch Washington Wind bekommen und schickt, nachdem bereits ein vor Ort recherchierender US-Agent spurlos verschwunden ist, seinen “besten Mann”, den FBI-Agenten Ken Stewart.</t>
  </si>
  <si>
    <t>Die Gräfin von Hongkong</t>
  </si>
  <si>
    <t>A Countess from Hong Kong</t>
  </si>
  <si>
    <t>tt0061523</t>
  </si>
  <si>
    <t>Marlon Brando, Sophia Loren, Sydney Chaplin, Tippi Hedren, Patrick Cargill</t>
  </si>
  <si>
    <t>Die russische Gräfin Natascha will nicht länger als Tanzgirl in Hong Kong leben, also schmuggelt sie sich in die Luxuskabine des amerikanischen Diplomaten Odgen Mears, um so in die USA zu gelangen. Ihre Oberweite imponiert Odgen so sehr, dass er seine Frau in den Wind schießt.</t>
  </si>
  <si>
    <t>Leitfaden für Seitensprünge</t>
  </si>
  <si>
    <t>A Guide for the Married Man</t>
  </si>
  <si>
    <t>tt0061736</t>
  </si>
  <si>
    <t>Walter Matthau, Inger Stevens, Sue Ane Langdon, Jackie Russell, Robert Morse</t>
  </si>
  <si>
    <t>Die vergeblichen Versuche eines Ehemannes, unter Anleitung seines Freundes seine Frau zu betrügen.</t>
  </si>
  <si>
    <t>Der Kuß vor dem Tode</t>
  </si>
  <si>
    <t>A Kiss Before Dying</t>
  </si>
  <si>
    <t>Mystery, Thriller, Krimi</t>
  </si>
  <si>
    <t>tt0102220</t>
  </si>
  <si>
    <t>Matt Dillon, Sean Young, Max von Sydow, Diane Ladd, James Russo</t>
  </si>
  <si>
    <t>Jonathan Corliss will um jeden Preis in die 'Bessere Gesellschaft', dafür ist ihm jedes Mittel recht. Der einfachste Weg: Einheiraten. Doch die von ihm auserwählte Großindustriellen-Tochter Dory Carlsson durchkreuzt seine Pläne - und muss dafür sterben. Jonathan sieht aber nicht ein, sein Vorhaben aufzugeben und macht sich an Dorys Zwillingsschwester Ellen heran, mit Erfolg. Ellen kommt jedoch nicht über den noch immer ungeklärten Tod ihrer Schwester hinweg. Jedes mal, wenn sie glaubt, eine Spur zu haben, kommen die Informanten auf seltsame Weise ums Leben. Bis sie eines Tages Jonathans düsteres Geheimnis aufdeckt - es kommt zum Kampf um Leben und Tod...</t>
  </si>
  <si>
    <t>Eine Nacht in Casablanca</t>
  </si>
  <si>
    <t>A Night in Casablanca</t>
  </si>
  <si>
    <t>tt0038777</t>
  </si>
  <si>
    <t>Groucho Marx, Harpo Marx, Chico Marx, Charles Drake, Lois Collier</t>
  </si>
  <si>
    <t>Marokko im zweiten Weltkrieg: Groucho wird Manager des "Casablanca" - Hotels. Eine zweifelhafte Ehre, denn alle Vorbesitzer wurden ermordet. Bald findet er heraus, warum: Ein Nazi giert nach einem Schmuckstück, das im Hotel versteckt ist. Groucho, Chico und Harpo fahren ihm in die Parade...</t>
  </si>
  <si>
    <t>Zimmer mit Aussicht</t>
  </si>
  <si>
    <t>A Room with a View</t>
  </si>
  <si>
    <t>tt0091867</t>
  </si>
  <si>
    <t>Helena Bonham Carter, Julian Sands, Maggie Smith, Denholm Elliott, Daniel Day-Lewis</t>
  </si>
  <si>
    <t>In der ersten Dekade des 20. Jahrhunderts kommt Lucy Honeychurch in Begleitung ihrer prüden Tante Charlotte nach Florenz, wo sie die Bekanntschaft des adretten George Emerson macht und sich zu einer leidenschaftlichen Umarmung hinreißen lässt. Zurück im kühlen England verdrängt Lucy ihre Gefühle und widmet sich wieder ihrem trockenen Verehrer Cecil Vyse. Am Ende entscheidet sie sich jedoch gegen die Konventionen und für die Liebe.</t>
  </si>
  <si>
    <t>Ein Schuß im Dunkeln</t>
  </si>
  <si>
    <t>A Shot in the Dark</t>
  </si>
  <si>
    <t>Komödie, Mystery, Krimi</t>
  </si>
  <si>
    <t>tt0058586</t>
  </si>
  <si>
    <t>Peter Sellers, Elke Sommer, George Sanders, Herbert Lom, Graham Stark</t>
  </si>
  <si>
    <t>Als der Fahrer des Millionärs Benjamin Ballon erschossen gefunden wird, scheint der Täter schnell gefunden zu sein, denn das Hausmädchen Maria wird mit der Waffe in der Hand gefunden. Eigentlich ein klarer Fall, nicht aber für Inspektor Clouseau, der Maria – ohne Begründung – für unschuldig hält. Er ist sich sicher: Wenn er sie laufen lässt, wird sie ihn zum wahren Täter führen. Um ihr unerkannt folgen zu können, schlüpft er in alle möglichen und unmöglichen Verkleidungen und bleibt ihr auf der Spur. Trotzdem kommt es weiter zu Morden, und immer ist Maria dabei die Hauptverdächtige.</t>
  </si>
  <si>
    <t>Abschied von den Wolken</t>
  </si>
  <si>
    <t>tt0052533</t>
  </si>
  <si>
    <t>O.W. Fischer, Sonja Ziemann, Peter van Eyck, Linda Christian, Horst Frank</t>
  </si>
  <si>
    <t>Der zum Tode verurteilte und im letzten Moment begnadigte Abenteurer Peter van Houten wird mit einer Passagiermaschine aus einer karibischen „Bananenrepublik“ abgeschoben. Crew und Mitreisende begegnen ihm mit Misstrauen. Erst als die Maschine entführt und der Pilot in einem Taifun schwer verletzt wird, kann van Houten, ein ehemaliger Pilot, beweisen, was er drauf hat...</t>
  </si>
  <si>
    <t>Ada - Frau mit Vergangenheit</t>
  </si>
  <si>
    <t>Ada</t>
  </si>
  <si>
    <t>tt0054601</t>
  </si>
  <si>
    <t>Susan Hayward, Dean Martin, Wilfrid Hyde-White</t>
  </si>
  <si>
    <t>In flagranti erwischt und verhaftet- schlechte Karten für einen Politiker, vor allem wenn es sich bei seiner Begleitung auch noch um ein zweifelhaftes Mädchen handelt. Für Bo Gillis (Dean Martin), gerade im Rennen für eine Gouverneursposten, die totale Katastrophe. Doch Bos Wahlkampfleiter Sylvester (Wilfred Hyde-White) weiß noch einen Ausweg aus der Notlage und Bo heiratet die ihm bisher unbekannte Ada (Susan Hayward) einfach, weil sich das so gehört. Ausgerüstet mit einer frisierten Biographie funktioniert das tatsächlich - Gillis wird Gouverneur. Doch da er selbst nie richtig aktiv war, sondern sich auf seine Unterleute verlassen hat, ist nicht viel mehr als ein Erfüllungsgehilfe. Doch Ada weiß sehr gut, was sie will und was gut für Bo ist....</t>
  </si>
  <si>
    <t>Alfred Hitchcock</t>
  </si>
  <si>
    <t>AFI Life Achievement Award: A Tribute to Alfred Hitchcock</t>
  </si>
  <si>
    <t>1955–1962</t>
  </si>
  <si>
    <t>tt0268597</t>
  </si>
  <si>
    <t>Alfred Hitchcock, Harry Tyler, Lillian O'Malley</t>
  </si>
  <si>
    <t>Ein Paar wie Katz und Hund</t>
  </si>
  <si>
    <t>After Office Hours</t>
  </si>
  <si>
    <t>Krimi, Drama, Komödie</t>
  </si>
  <si>
    <t>tt0026043</t>
  </si>
  <si>
    <t>Clark Gable, Constance Bennett, Stuart Erwin, Billie Burke, Harvey Stephens</t>
  </si>
  <si>
    <t>Jim Branch, Chefredakteur des "News Record" legt alles daran, der hübschen Kollegin Sharon Norwood zu beweisen, dass auch ein Mann aus ihren feinen Kreisen ein Mörder sein kann...</t>
  </si>
  <si>
    <t>Miss Marple</t>
  </si>
  <si>
    <t>Agatha Christie's Miss Marple: 4:50 from Paddington</t>
  </si>
  <si>
    <t>1984–1992</t>
  </si>
  <si>
    <t>Crime, Mystery</t>
  </si>
  <si>
    <t>tt0092497</t>
  </si>
  <si>
    <t>Joan Hickson, Kevin Whately, Joan Sims</t>
  </si>
  <si>
    <t>Miss Marple besucht das Pfarrhaus in ihrem Örtchen St. Mary Mead und isst mit dem Vikar, seiner Frau, einem Maler und einem Diakon zu Abend. Aus Spaß beraten sie, wie man den unbeliebten Colonel Protheroe umbringen könne, doch aus Spaß wird Ernst, als der Mann am nächsten Tag tatsächlich tot aufgefunden wird. Inspektor Slack übernimmt den Fall und glaubt an eine schnelle Lösung, doch die Sache ist weit komplizierter als erwartet, denn der Kreis der Verdächtigen wird größer und größer. Miss Marple schaltet sich ein, doch Slack ist alles andere als begeistert von die alte Dame.</t>
  </si>
  <si>
    <t>Ein Schuss und 50 Tote</t>
  </si>
  <si>
    <t>Alias Jesse James</t>
  </si>
  <si>
    <t>Komödie, Western</t>
  </si>
  <si>
    <t>tt0052545</t>
  </si>
  <si>
    <t>Bob Hope, Rhonda Fleming, Wendell Corey, Gloria Talbott, Jim Davis</t>
  </si>
  <si>
    <t>Milford Farnsworth ist ein unbeholfener Versicherungsagent. Unwissentlich verkauft er eine Lebensversicherung von hunderttausend Dollar an den Revolverhelden Jesse James. Als die Versicherungsgesellschaft davon erfährt, schickt sie Farnsworth in den Westen, um das Leben von Jesse James zu schützen und damit auch die Gesellschaft vor dem Ruin zu bewahren.</t>
  </si>
  <si>
    <t>Alles über Eva</t>
  </si>
  <si>
    <t>All About Eve</t>
  </si>
  <si>
    <t>tt0042192</t>
  </si>
  <si>
    <t>Bette Davis, Anne Baxter, George Sanders, Celeste Holm, Gary Merrill</t>
  </si>
  <si>
    <t>Die junge Eve Harrington ist eine begeisterte Verehrerin der Theaterschauspielerin Margo Channing  Immer wieder sieht sie sich ihren Star in der Aufführung des Stückes „Gereift in Holz“ an. Mit hartnäckiger Beharrlichkeit gelingt es ihr schließlich, Margo kennenzulernen und das Vertrauen der Schauspielerin zu gewinnen. Fortan hält sich Eve immer im Umfeld Margos auf, um ihren Star mit Tatkraft zu unterstützen. Als Margo merkt, dass ihre junge Verehrerin nicht nur uneigennützige Ziele verfolgt, ist es bereits zu spät, um Eve wieder los zu werden. Denn Eve ist eine Meisterin der Intrige …</t>
  </si>
  <si>
    <t>Ein Schmetterling flog auf</t>
  </si>
  <si>
    <t>All the Way Home</t>
  </si>
  <si>
    <t>tt0056818</t>
  </si>
  <si>
    <t>Jean Simmons, Robert Preston, Pat Hingle, Aline MacMahon, Thomas Chalmers</t>
  </si>
  <si>
    <t>Am Ende des Weges</t>
  </si>
  <si>
    <t>Short, Drama</t>
  </si>
  <si>
    <t>tt2204818</t>
  </si>
  <si>
    <t>Sebastian Brummer, Otti Victoria Engelhardt, Thomas Goersch</t>
  </si>
  <si>
    <t>Als die alternde Mini Dwyer erfährt, daß sie unheilbar krank ist, beschließt sie gemeinsam mit ihrem Mann Teddy zu einem von ihnen festgesetzten Termin freiwillig aus dem Leben zu scheiden. Ihre noch von ihrer Mutter stammenden wertvollen Puppen gibt sie nacheinander in gute Hände ab, während ihre angsterfüllte Tochter Ruda verzweifelt versucht, ihre Eltern von diesem Entschluß abzubringen...</t>
  </si>
  <si>
    <t>Die große Liebe meines Lebens</t>
  </si>
  <si>
    <t>Urlaub in Hollywood</t>
  </si>
  <si>
    <t>Anchors Aweigh</t>
  </si>
  <si>
    <t>tt0037514</t>
  </si>
  <si>
    <t>Frank Sinatra, Kathryn Grayson, Gene Kelly, José Iturbi, Dean Stockwell</t>
  </si>
  <si>
    <t>Die Matrosen Joe und Clarence erhalten nach langer Zeit auf See vier Tage Landurlaub in Hollywood. Joe, der größte Casanova, will seinem schüchternen Freund ein Mädchen beschaffen. Es dauert nicht lange, da begegnen die Matrosen der temperamentvollen Susan, die von einer Karriere als Sängerin träumt. Da sich beide in das schöne Mädchen verlieben, bleiben amüsante Verwicklungen nicht aus.</t>
  </si>
  <si>
    <t>Ein Unbekannter rechnet ab - Zehn kleine Negerlein - Agatha Christie</t>
  </si>
  <si>
    <t>And Then There Were None</t>
  </si>
  <si>
    <t>tt0072263</t>
  </si>
  <si>
    <t>Oliver Reed, Elke Sommer, Richard Attenborough, Stéphane Audran, Gert Fröbe</t>
  </si>
  <si>
    <t>Auf Einladung eines Unbekannten reisen zehn Personen, die einander nicht kennen, in ein einsam gelegenes Hotel. Dort erfahren sie, dass ihr Gastgeber, der sich “Mr. Owen” nennt, jeden von ihnen eines Mordes beschuldigt und die Absicht hat, dies mit dem Tode zu bestrafen. Tatsächlich fällt in den kommenden Stunden ein Gast nach dem anderen einer tödlichen Falle zum Opfer. Verzweifelt versuchen die Überlebenden, den geheimnisvollen Killer zu finden und aus dem Hotel zu fliehen – ohne Erfolg. Es scheint, als könne der diabolische “Mr. Owen” jeden Schritt seines nächstens Opfers genau voraussehen.</t>
  </si>
  <si>
    <t>Und wieder 48 Stunden</t>
  </si>
  <si>
    <t>Another 48 Hrs.</t>
  </si>
  <si>
    <t>Thriller, Action, Komödie, Krimi</t>
  </si>
  <si>
    <t>tt0099044</t>
  </si>
  <si>
    <t>Eddie Murphy, Nick Nolte, Brion James, Kevin Tighe, Ed O'Ross</t>
  </si>
  <si>
    <t>Bei den Ermittlungen gegen den berüchtigten Drogenhändler "The Iceman" stößt Cop Jack Cates auf einen Mordauftrag gegenüber Reggie Hammond, der zur Zeit noch im Knast sitzt. Zusammen mit Cates hatte er vor Jahren einen Gangster zur Strecke gebracht. Da Hammond am nächsten Tag aus dem Gefängnis entlassen wird, taucht Cates bei ihm auf, um ihn zu einer erneuten Zusammenarbeit zu überreden. Gemeinsam mit Hammond will Cates "The Iceman" das Handwerk legen. Für Hammond könnte das von großem Nutzen sein, schließlich ist sein eigenes Leben bedroht. Wegen einer Streitigkeit hat der Ex-Gefangene aber zunächst keine Lust zur Kooperation. Als sich die Bedrohung gegen ihn in einer handfesten Schießerei manifestiert, dämmert es Hammond, dass das Angebot von Cates vielleicht doch nicht so schlecht war...</t>
  </si>
  <si>
    <t>Eine Dachkammer für zwei</t>
  </si>
  <si>
    <t>Apartment for Peggy</t>
  </si>
  <si>
    <t>tt0040104</t>
  </si>
  <si>
    <t>Jeanne Crain, William Holden, Edmund Gwenn, Gene Lockhart, Griff Barnett</t>
  </si>
  <si>
    <t>Ein emeritierter, verwitweter Professor in einer kleinen Universitätsstadt hat keine Freude mehr am Leben, bis er eine mit einem Studenten verheiratete, quirlige junge Frau trifft, die ein Baby erwartet.</t>
  </si>
  <si>
    <t>Fahrstuhl zum Schafott</t>
  </si>
  <si>
    <t>Ascenseur pour l'échafaud</t>
  </si>
  <si>
    <t>tt0051378</t>
  </si>
  <si>
    <t>Jeanne Moreau, Maurice Ronet, Georges Poujouly, Yori Bertin, Jean Wall</t>
  </si>
  <si>
    <t>Der ehemalige Fremdenlegionär Julien ermordet den Mann seiner Geliebten Florence in dessen Büro und lässt die Tat wie Selbstmord aussehen. Als ihm einfällt, dass er etwas vergessen hat, will er noch einmal zurück, bleibt aber im Fahrstuhl des Gebäudes stecken, weil der Strom für die Nacht abgestellt wird. Während er versucht, sich zu befreien, läuft die verzweifelte Florence auf der Suche nach ihrem Geliebten durch die Straßen von Paris.</t>
  </si>
  <si>
    <t>Die tolle Tante</t>
  </si>
  <si>
    <t>Auntie Mame</t>
  </si>
  <si>
    <t>tt0051383</t>
  </si>
  <si>
    <t>Rosalind Russell, Forrest Tucker, Coral Browne, Fred Clark, Roger Smith</t>
  </si>
  <si>
    <t>Mame Dennis lebt ein extravagantes Leben und muss sich nicht viele Sorgen machen, da sie auf einem sehr weichen Finanzpolster sitzt. Doch dann passieren Dinge, die ihr Leben aus den Fugen geraten lassen. Ihr Bruder stirbt und sie muss sich fortan um ihren Neffen Patrick kümmern. Der lebt sich gut bei seiner Tante und deren Freunden ein. Doch Patricks Vater hat seinen Nachlassverwalter damit beauftragt, dafür zu sorgen, dass Patrick auch Anstand und Disziplin lernt. Dann kommt auch noch ein großer Börsencrash, durch den Mame ihr ganzes Geld verliert. Von nun an muss sie sich also um ihren Neffen kümmern und dafür sorgen, dass Geld ins Haus kommt. Doch irgendwie endet immer alles im Chaos...</t>
  </si>
  <si>
    <t>Ausgestoßen</t>
  </si>
  <si>
    <t>tt1431015</t>
  </si>
  <si>
    <t>Hesham Ahmed, Veton Asani, Markus Lal, Mehmet Kaya</t>
  </si>
  <si>
    <t>Seit einiger Zeit hart Johnny McQueen sich bei Kathleen und ihrer Mutter versteckt, weil er zusammen mit seiner Gang von hier aus einen Überfall starten will. Der geplante Überfall geht jedoch schief, und Johnny wird verletzt und er muß sich nun in den Hinterhöfen Belfasts verstecken - wo die Behörden nun Jagd auf ihn machen: Aber auch Kathleen ist auf der Suche nach ihm, und könnte seine einzige Rettunng aus dieser Falle sein...</t>
  </si>
  <si>
    <t>Avanti, Avanti!</t>
  </si>
  <si>
    <t>Avanti!</t>
  </si>
  <si>
    <t>Italy</t>
  </si>
  <si>
    <t>Comedy, Romance</t>
  </si>
  <si>
    <t>tt0068153</t>
  </si>
  <si>
    <t>Jack Lemmon, Juliet Mills, Clive Revill</t>
  </si>
  <si>
    <t>Ischia, die Insel der Romantik und des süßen Nichtstuns, das Paradies der Liebenden kurz: die Hölle für einen verklemmten Moralapostel wie Wendell D. Armbruster. Der Bostoner Geschäftsmann reist nur aus einem einzigen, traurigen Grund auf die Ferieninsel: Er will die Leiche seines Vaters heimholen, der hier bei einem Autounfall ums Leben gekommen ist. Doch der geschockte Junior muss erfahren, dass sein alter Herr das Zeitliche nicht alleine gesegnet hat, sondern gemeinsam mit einer Geliebten, die er Jahr für Jahr auf der Insel getroffen hat. Nun begegnet Wendell deren lebensfroher Tochter Pamela . Ihre Warmherzigkeit, zusammen mit Italiens Sonne, bringen seinen puritanischen Eispanzer allmählich zum Schmelzen. Doch vor das Glück der Beiden haben die Götter Ischias noch einen erpresserischen Zimmerkellner gesetzt…</t>
  </si>
  <si>
    <t>Junggeselle im Paradies</t>
  </si>
  <si>
    <t>Bachelor in Paradise</t>
  </si>
  <si>
    <t>tt0054652</t>
  </si>
  <si>
    <t>Bob Hope, Lana Turner, Janis Paige, Jim Hutton, Paula Prentiss</t>
  </si>
  <si>
    <t>Horrende Steuerschulden quälen Schriftsteller Adam Niles. Er muss dringend einen Bestseller landen. Für seine Recherchen nistet sich Niles unter dem Pseudonym North im blitzblanken, langweiligen kalifornischen Nest "Paradise Village" ein ­ sehr zum Entzücken der dortigen Damenwelt.</t>
  </si>
  <si>
    <t>Todfreunde – Bad Influence</t>
  </si>
  <si>
    <t>Bad Influence</t>
  </si>
  <si>
    <t>tt0099091</t>
  </si>
  <si>
    <t>James Spader, Rob Lowe, Lisa Zane, Marcia Cross, Rosalyn Landor</t>
  </si>
  <si>
    <t>Der Marketingexperte Michael macht zufällig die Bekanntschaft des geheimnisvollen, selbstsicheren Alex. Michael ist umgehend fasziniert von Alex, repräsentiert dieser doch die ihm fremde Welt der Nacht, Drogen und Obsessionen. Alex versteht es perfekt, Michael zu manipulieren. Er reißt den einstmals biederen Yuppie in einen Strudel der Amoral, der in der Ermordung der Geliebten Michaels gipfelt, die Alex Michael in die Schuhe schiebt. Michael versucht sich endgültig von Alex' verheerendem Einfluß zu befreien, indem er ihm nach Hause folgt, um belastendes Beweismaterial zu vernichten. Alex ertappt ihn. Im entstehenden Handgemenge tötet Michael Alex...</t>
  </si>
  <si>
    <t>Kapitän Seekrank</t>
  </si>
  <si>
    <t>Barnacle Bill</t>
  </si>
  <si>
    <t>tt0050168</t>
  </si>
  <si>
    <t>Alec Guinness, Harry Locke, Frederick Piper, Fred Griffiths, Gerald Case</t>
  </si>
  <si>
    <t>Der seekranke Nachkomme einer stolzen britischen Seefahrer-Familie spielt Kommandant auf einer Landungsbrücke.</t>
  </si>
  <si>
    <t>Bellissima</t>
  </si>
  <si>
    <t>tt0043332</t>
  </si>
  <si>
    <t>Anna Magnani, Walter Chiari, Tina Apicella</t>
  </si>
  <si>
    <t>Maddalena lebt in bescheidenen kleinbürgerlichen Verhältnissen. Ihr Traum: Sie möchte aus ihrer Tochter einen Filmstar machen. Als sie mitbekommt, dass ein Regisseur auf der Suche nach einem kleinen Mädchen für seinen neusten Film ist, wittert sie die große Chance...</t>
  </si>
  <si>
    <t>Anruf genügt - komme ins Haus</t>
  </si>
  <si>
    <t>Bells Are Ringing</t>
  </si>
  <si>
    <t>tt0053645</t>
  </si>
  <si>
    <t>Judy Holliday, Dean Martin, Fred Clark, Eddie Foy Jr., Jean Stapleton</t>
  </si>
  <si>
    <t>Für die jungen Damen des Telefon-Auftragsdienstes "Susaphon" gilt die strikte Regel: kein privater Kontakt mit den Klienten! Die attraktive Ella Peterson (Judy Holliday) will den Grundsatz nur zu gerne brechen: Einer ihrer Kunden, der Broadway-Autor Jeffrey Moss (Dean Martin), steckt so tief in der Krise, dass telefonische Ratschläge nicht mehr auszureichen scheinen.</t>
  </si>
  <si>
    <t>Berlin-Express</t>
  </si>
  <si>
    <t>Berlin Express</t>
  </si>
  <si>
    <t>Crime, Drama, Film-Noir</t>
  </si>
  <si>
    <t>tt0040155</t>
  </si>
  <si>
    <t>Merle Oberon, Robert Ryan, Charles Korvin</t>
  </si>
  <si>
    <t>1946: Im Schnellzug Paris-Berlin wird der aus den USA zurückgehrte Kunstsammler und einstige Widerstandskämpfer Bernhardt entführt. Die US-Polizei entdeckt, dass Altnazis die politische Souveränität Deutschlands wiederherstellen wollen…</t>
  </si>
  <si>
    <t>Geächtet, gefürchtet, geliebt – Billy the Kid</t>
  </si>
  <si>
    <t>Johnny Mack Brown, Wallace Beery, Kay Johnson, Karl Dane, Wyndham Standing</t>
  </si>
  <si>
    <t>Schwarzer Regen</t>
  </si>
  <si>
    <t>Black Rain</t>
  </si>
  <si>
    <t>tt0096933</t>
  </si>
  <si>
    <t>Michael Douglas, Andy García, Ken Takakura, Kate Capshaw, 松田優作</t>
  </si>
  <si>
    <t>Nick Conklin, ein hartgesottener New Yorker Cop, soll mit seinem Partner Charlie den Yakuza-Killer Sato in Osaka den japanischen Behörden übergeben. Doch die beiden werden in eine Falle gelockt - Sato kann entkommen. Da Nick und Charlie bei den Ermittlungen ihrer japanischen Kollegen nur als Beobachter zugelassen sind, ermittelt Nick auf eigene Faust. Als er entdeckt, dass Sato in einen Falschgeld-Deal zweier Yakuza-Banden verstrickt ist, wird Charlie von Sato brutal ermordet...</t>
  </si>
  <si>
    <t>Blaubarts achte Frau</t>
  </si>
  <si>
    <t>Bluebeard's 8th Wife</t>
  </si>
  <si>
    <t>tt0029929</t>
  </si>
  <si>
    <t>Claudette Colbert, Gary Cooper, Edward Everett Horton, David Niven, Elizabeth Patterson</t>
  </si>
  <si>
    <t>Nicole de Loiselle, Tochter eines verarmten französischen Aristokraten, lernt den amerikanischen Millionär Brandon kennen, der schon bald um ihre Hand anhält. Kurz vor der Hochzeit erfährt sie, dass er bereits sieben Mal geschieden ist und sie einen Ehevertrag unterschreiben soll. Obwohl ihr das keineswegs gefällt, lässt sie sich darauf ein - und beschließt, Brandon eine Lektion zu erteilen. Schon bald muss Brandon erkennen, dass er Nicole unterschätzt hat.</t>
  </si>
  <si>
    <t>Sexy! - Männer gehören an die Leine</t>
  </si>
  <si>
    <t>Boys' Night Out</t>
  </si>
  <si>
    <t>tt0055809</t>
  </si>
  <si>
    <t>Kim Novak, James Garner, Tony Randall, Howard Duff, Janet Blair</t>
  </si>
  <si>
    <t>Der Junggeselle Fred Williams und seine drei verheirateten Freunde George, Doug und Howard suchen nach mehr als eine gewöhnliche Ehe, Kinder und TV-Abende. Insgeheim besorgen sie sich ein Apartment in New York mit einer wunderschönen jungen Frau, Kathy, für romantische Treffen. Doch was Kathy den vier Helden nicht erzählt hat, ist dass sie Soziologie studiert und eine Studie über das Sexualleben von amerikanischen Männern durchführt.</t>
  </si>
  <si>
    <t>Frühstück bei Tiffany</t>
  </si>
  <si>
    <t>Breakfast at Tiffany's</t>
  </si>
  <si>
    <t>tt0054698</t>
  </si>
  <si>
    <t>Audrey Hepburn, George Peppard, Patricia Neal, Buddy Ebsen, Martin Balsam</t>
  </si>
  <si>
    <t>Holly Golightly verbirgt ihre Vergangenheit gekonnt vor anderen, zuweilen auch vor sich selbst und widmet sich lieber den schönen Dingen des Lebens. Sie schwelgt in luxuriösem Ambiente als wenn sie ihr jetziges Dasein bereits mit der Muttermilch eingesogen hätte. Auf den Feiern der New Yorker High Society gelingt es ihr auf wunderbare Weise, die Leichtigkeit eines Partygirls auszustrahlen. Insgeheim sucht sie einen reichen Ehemann. Doch ausgerechnet der mittellose Schriftsteller Paul Varjak gewinnt langsam ihr Herz. Sie erteilt ihm aber eine Abfuhr und willigt stattdessen ein, den wohlhabenden Großgrundbesitzer José da Silva Pereira zu ehelichen. Doch dann taucht ihr Ex-Ehemann auf und Paul erfährt, dass Hollys Name eigentlich Lula Mae Barnes ist.</t>
  </si>
  <si>
    <t>Brennendes Geheimnis</t>
  </si>
  <si>
    <t>tt0075486</t>
  </si>
  <si>
    <t>Christiane Hörbiger, Walther Reyer, Thomas Ohrner</t>
  </si>
  <si>
    <t>Der zwölfjährige Edgar freundet sich bei einem Kururlaub mit dem faszinierenden Baron an</t>
  </si>
  <si>
    <t>Na, na, Fräulein Mutti</t>
  </si>
  <si>
    <t>Bundle of Joy</t>
  </si>
  <si>
    <t>tt0049034</t>
  </si>
  <si>
    <t>Eddie Fisher, Debbie Reynolds, Adolphe Menjou, Tommy Noonan, Nita Talbot</t>
  </si>
  <si>
    <t>Polly Parish ist Verkäuferin in einem großen Kaufhaus. Nachdem sie gefeuert wurde, findet sie ein ausgesetztes Baby und wird versehentlich für die Mutter gehalten. Der gutmeinende Eddie Fisher, Sohn von Pollys ehemaligen Chef, will sich um die vermeintliche Mutter und ihr Baby kümmern.</t>
  </si>
  <si>
    <t>Verschollen in New York</t>
  </si>
  <si>
    <t>Bureau of Missing Persons</t>
  </si>
  <si>
    <t>Komödie, Krimi, Drama</t>
  </si>
  <si>
    <t>tt0023856</t>
  </si>
  <si>
    <t>Bette Davis, Lewis Stone, Pat O'Brien, Glenda Farrell, Allen Jenkins</t>
  </si>
  <si>
    <t>Ein New Yorker Polizeidetektiv, der vom Raubdezernat zum Amt für vermißte Personen versetzt wurde und den Job nicht ernst nimmt, gerät durch eine attraktive Frau, die ihren vermißten Mann suchen läßt, in einen verworrenen Mordfall.</t>
  </si>
  <si>
    <t>Die Kaktusblüte</t>
  </si>
  <si>
    <t>Cactus Flower</t>
  </si>
  <si>
    <t>tt0064117</t>
  </si>
  <si>
    <t>Walter Matthau, Ingrid Bergman, Goldie Hawn, Jack Weston, Rick Lenz</t>
  </si>
  <si>
    <t>Julian Winston ist ein leichtlebiger Zahnarzt, dessen ausgeklügelter Lebensplan durch unvorhergesehene Ereignisse ins Wanken gerät. Er versucht, seine blonde Angebete, Toni, an der Nase herumzuführen, indem er ihr vorschwindelt, er sei verheiratet und habe Kinder. Als er erfährt, dass Toni seinetwegen Selbstmord begehen wollte, verspricht er, sie zu heiraten. Toni möchte aber nicht als Ehezerstörerin angesehen werden und besteht darauf, erst seine Frau zu sprechen. In seiner Not bittet Winston, seine seriöse und ernsthafte Sprechstundenhilfe Stephanie seine Frau zu spielen. Der Auftakt zu einer Serie der komischen Ereignisse...</t>
  </si>
  <si>
    <t>Kap der Angst</t>
  </si>
  <si>
    <t>Cape Fear</t>
  </si>
  <si>
    <t>tt0101540</t>
  </si>
  <si>
    <t>Robert De Niro, Nick Nolte, Jessica Lange, Juliette Lewis, Joe Don Baker</t>
  </si>
  <si>
    <t>Max Cady ist ein Psychopath reinsten Wassers, der bei seiner Entlassung aus dem Gefängnis an nichts anderes denkt als an Rache. Sein Ziel ist sein ehemaliger Verteidiger Sam Bowden, den er verdächtigt, Informationen zu seiner Entlastung dem Gericht nicht vorgelegt zu haben. So beginnt Cady, die Familie zu terrorisieren, immer am Rand der Legalität, aber sie nie überschreitend. Auch an die 15-jährige Tochter macht er sich heran. Als er einen auf ihn angesetzten Privatdetektiv umbringt, ist das Maß voll. Bowden und seine Familie fliehen, doch Cady läßt sich nicht abschütteln …</t>
  </si>
  <si>
    <t>Casino</t>
  </si>
  <si>
    <t>US,FR</t>
  </si>
  <si>
    <t>tt0112641</t>
  </si>
  <si>
    <t>Robert De Niro, Sharon Stone, Joe Pesci</t>
  </si>
  <si>
    <t>Sam „Ace“ Rothstein sorgt dafür, dass in den Casinos von Las Vegas alles gut läuft. Das heißt: die Politiker müssen geschmiert werden, die Spieler dürfen nicht zu viel gewinnen, und die eigenen Kassen werden immer wieder um einige Millionen erleichtert. Tatkräftige Unterstützung erhält der Manager dabei von dem Schläger Nicky Santoro. Als „Ace“ sich in die attraktive Prostituierte Ginger McKenna verliebt, beginnen die Dinge außer Kontrolle zu geraten. Denn Ginger ist nicht nur drogen-, sondern auch extrem geltungssüchtig.</t>
  </si>
  <si>
    <t>Grund zur Aufregung</t>
  </si>
  <si>
    <t>Cause for Alarm!</t>
  </si>
  <si>
    <t>tt0043390</t>
  </si>
  <si>
    <t>Loretta Young, Barry Sullivan, Bruce Cowling, Margalo Gillmore, Brad Morrow</t>
  </si>
  <si>
    <t>Ellen Jones erlebt den schrecklichsten Tag ihres Lebens. Ihr geistig umnachteter Ehemann George ist davon überzeugt, dass sie ihn mit seinem besten Freund Dr. Graham betrügt. Seine infame Rache: Er will Selbstmord begehen und seinen Tod als Mordkomplott Ellens erscheinen lassen. Als der schwer herzkranke George kurz darauf tatsächlich an einem Infarkt stirbt, beginnen furchtbare Stunden für die junge Witwe. Ellen versucht verzweifelt zu verhindern, dass der Brief an seinen Adressaten gelangt. Ein verzweifelter Wettlauf gegen die Zeit beginnt.</t>
  </si>
  <si>
    <t>Abenteuer im Gelben Meer</t>
  </si>
  <si>
    <t>China Seas</t>
  </si>
  <si>
    <t>tt0026205</t>
  </si>
  <si>
    <t>Clark Gable, Jean Harlow, Wallace Beery</t>
  </si>
  <si>
    <t>Kapitän Alan Gaskell erwartet eine abenteuerliche Reise, als er von Hongkong aus in See sticht. Schon im Hafen haben chinesische Piraten versucht, sich an Bord zu schmuggeln, denn es hat sich herumgesprochen, dass Gaskell eine Ladung Gold nach Singapur befördern soll. Es ist damit zu rechnen, dass auch unterwegs Seeräuber auf Gaskell lauern. An Bord ist eine sehr gemischte Gesellschaft. Nicht zuletzt machen zwei hübsche Frauen dem Kapitän zu schaffen: die burschikose "China Doll" und die feine Lady Sybil Barclay. Nach einem schweren Taifun passiert das, was Kapitän Gaskell gefürchtet hat: Malaiische Piraten bringen sein Schiff auf und einer der Passagiere entpuppt sich als Komplize der Seeräuber ...</t>
  </si>
  <si>
    <t>Der dreizehnte Gast</t>
  </si>
  <si>
    <t>Circle of Danger</t>
  </si>
  <si>
    <t>tt0043409</t>
  </si>
  <si>
    <t>Ray Milland, Patricia Roc, Marius Goring, Hugh Sinclair, Naunton Wayne</t>
  </si>
  <si>
    <t>Clay Douglas’ jüngerer Bruder ist im Zweiten Weltkrieg als Soldat der britischen Streitkräfte ums Leben gekommen, die näheren Umstände seines Todes sind jedoch nicht bekannt. Also fährt Clay selber von Amerika nach England, um herauszufinden, wie sein Bruder starb. Bei seinen Erkundigungen stößt er auf massiven Widerstand. Dann erfährt er jedoch die erschütternde Wahrheit...</t>
  </si>
  <si>
    <t>Citizen Kane</t>
  </si>
  <si>
    <t>tt0033467</t>
  </si>
  <si>
    <t>Orson Welles, Joseph Cotten, Dorothy Comingore</t>
  </si>
  <si>
    <t>»Rosebud« - das ist das letzte Wort, das Charles Foster Kane im Sterbebett auf seinem Schloss Xanadu haucht. "Citizen Kane" schildert die Geschichte des Zeitungsmagnaten, der die öffentliche Meinung Amerikas über Jahrzehnte beherrschte. Sein geschäftliches Leben begann mit viel Enthusiasmus und dem Bekenntnis zur Wahrheit und Unbestechlichkeit. Dann kam der Erfolg, mit ihm Ehrgeiz und schließlich, als er diesen nicht befriedigt sah, die Loslösung von seinen Prinzipien hin zur Korruption durch Macht. Der Reporter Jerry Thompson versucht, mehr über diesen geheimnisvollen Mann zu erfahren...</t>
  </si>
  <si>
    <t>Alle Mörder sind schon da</t>
  </si>
  <si>
    <t>Clue</t>
  </si>
  <si>
    <t>Komödie, Thriller, Krimi, Mystery</t>
  </si>
  <si>
    <t>tt0088930</t>
  </si>
  <si>
    <t>Tim Curry, Eileen Brennan, Madeline Kahn, Christopher Lloyd, Michael McKean</t>
  </si>
  <si>
    <t>Das weltberühmte Brettspiel Cluedo stand Pate für diese mörderische Komödie. Hat Colonel Mustard den Mord im Arbeitszimmer mit dem Revolver begangen? War es Miss Scarlet im Billard-Zimmer mit einem Strick oder gar Wadsworth, der Butler?</t>
  </si>
  <si>
    <t>Komm, bleib bei mir</t>
  </si>
  <si>
    <t>Come Live with Me</t>
  </si>
  <si>
    <t>tt0033477</t>
  </si>
  <si>
    <t>James Stewart, Hedy Lamarr, Ian Hunter, Verree Teasdale, Donald Meek</t>
  </si>
  <si>
    <t>Auf der Flucht vor den Nazis ist die junge Österreicherin Johnny Jones in die USA gekommen. Um nicht ausgewiesen zu werden, ehelicht sie pro forma den ihr gänzlich unbekannten mittellosen Schriftsteller Bill Smith. Liebe ist dabei nicht vorgesehen. Doch das ist für den junge Mann schwerer einzuhalten, als er eigentlich gedacht hat...</t>
  </si>
  <si>
    <t>Mord im Fahrpreis inbegriffen</t>
  </si>
  <si>
    <t>Compartiment tueurs</t>
  </si>
  <si>
    <t>Krimi, Thriller, Mystery</t>
  </si>
  <si>
    <t>tt0059050</t>
  </si>
  <si>
    <t>Yves Montand, Pierre Mondy, Jean-Louis Trintignant, Jacques Perrin, Catherine Allégret</t>
  </si>
  <si>
    <t>Nach dem Mord an einer jungen Frau im Schlafwagenabteil sucht Inspektor Grazziani Zeugen. Kurz nach seinem Anruf bei der Polizei stirbt ein Zeuge. Später werden auch andere Mitreisende ermordet. In Gefahr sind das junge Paar Daniel und Bambi, die ebenfalls ermitteln. Letzten Endes findet sich der Mörder in den Reihen der Polizei.</t>
  </si>
  <si>
    <t>Cop Land</t>
  </si>
  <si>
    <t>tt0118887</t>
  </si>
  <si>
    <t>Sylvester Stallone, Harvey Keitel, Ray Liotta</t>
  </si>
  <si>
    <t>Das 1280-Einwohner-Örtchen Garrison hat eine besondere Bewandtnis. Die Einwohner sind ausnahmslos Cops aus New York und ihre Familien, die hier ihre wohlverdiente Ruhe ausleben. Doch in Cop Land ist nicht alles so sauber, wie es auf den ersten Blick erscheint – der Ort wird durch die Mafia finanziert. Als der junge Polizist Murray Babitch zwei unbewaffnete Schwarze erschießt, kommt mit dem Internal-Affairs-Agenten Moe Tilden Unruhe in den Ort. Er muß sich mit dem halbtauben Verlierertyp und Sheriff von Garrison Freddy Heflin auseinandersetzen. Dieser sieht zum ersten Mal die Gelegenheit, aus der Rolle des Losers herauszuspringen, verspürt aber gleichzeitig Loyalität zu seinen Mitbewohnern unter der Führung von Ray Donlan.</t>
  </si>
  <si>
    <t>Schrei der Großstadt</t>
  </si>
  <si>
    <t>Cry of the City</t>
  </si>
  <si>
    <t>tt0040257</t>
  </si>
  <si>
    <t>Victor Mature, Richard Conte, Fred Clark, Shelley Winters, Betty Garde</t>
  </si>
  <si>
    <t>Martin Rome ist ein notorischer Krimineller. Nach einer Schießerei mit einem Polizisten liegt er verwundet im Krankenhaus, der Gesetzeshüter ist tot. Am Krankenbett wird er von den beiden Cops Candella und Collins aufgesucht. Candella und Rome kennen einander seit Kindestagen, schließlich sind sie beide Kinder italienischer Einwanderer in New York City. Doch während Candella den Weg der Rechtschaffenheit gewählt hat, ist Rome auf der schiefen Bahn zu Hause. Ebenfalls im Krankenhaus hält sich der Anwalt Nilesauf, der sich allerdings gar nicht mit dem Polizistenmord befasst, sondern Rome erstaunlich nachdrücklich einen Raubüberfall anzulasten und ein Geständnis zu erzwingen versucht. Bald steckt Lieutenant Candella knietief in einem Sumpf aus Intrigen, Habgier und Bereitschaft zum Äußersten, zwischen den hohen Wänden der Großstadt…</t>
  </si>
  <si>
    <t>In brutalen Händen</t>
  </si>
  <si>
    <t>Cry Terror!</t>
  </si>
  <si>
    <t>tt0051501</t>
  </si>
  <si>
    <t>James Mason, Inger Stevens, Rod Steiger, Neville Brand, Angie Dickinson</t>
  </si>
  <si>
    <t>US-amerikanischer Thriller aus dem Jahr 1958. Raffinierte Erpresser einer Luftfahrtgesellschaft entführen eine Familie und bedrohen Vater, Mutter und Kind mit dem Tode, um die polizeilichen Gegenmaßnahmen zu behindern. Doch die junge Mutter, die gegen die Zeit ankämpft und sich einem Killer ausgeliefert sieht, weiß sich zu wehren.</t>
  </si>
  <si>
    <t>Damenwahl</t>
  </si>
  <si>
    <t>tt0045667</t>
  </si>
  <si>
    <t>Georg Thomalla, Grethe Weiser, Willy Fritsch</t>
  </si>
  <si>
    <t>Damenwahl ist eine deutsche Filmkomödie von E. W. Emo aus dem Jahr 1953.</t>
  </si>
  <si>
    <t>Die Tollkühnen</t>
  </si>
  <si>
    <t>Daring Game</t>
  </si>
  <si>
    <t>tt0062862</t>
  </si>
  <si>
    <t>Lloyd Bridges, Nico Minardos, Michael Ansara, Joan Blackman, Marie Gomez</t>
  </si>
  <si>
    <t>Das große Wagnis</t>
  </si>
  <si>
    <t>tt0466813</t>
  </si>
  <si>
    <t>Hedda Vernon</t>
  </si>
  <si>
    <t>Der irische Seemann Vic Brennan überredet seine Dubliner Familie, ein LKW-Speditionsunternehmen in der abgelegenen afrikanischen Stadt Jebanda zu finanzieren. Die einzige Bedingung ist, dass sein Cousin Samuel, ein schüchterner Bankangestellter, Vic und seine korsische Braut Marie nach Afrika begleitet und das Familienvermögen beschützt.</t>
  </si>
  <si>
    <t>Das hab ich von Papa gelernt</t>
  </si>
  <si>
    <t>tt0057994</t>
  </si>
  <si>
    <t>Willy Fritsch, Thomas Fritsch, Gertraud Jesserer, Peter Vogel, Paul Hörbiger</t>
  </si>
  <si>
    <t>Clemens Andermann, einst ein gefeierter Bühnen- und Filmstar, heute ein ebenso erfolgreicher Industrieller, ist felsenfest davon überzeugt, dass sein Sohn Andreas im idyllischen Universitätsstädtchen Freylangen Chemie studiert. Doch er irrt gründlich. In Wirklichkeit hat der Sprössling heimlich bei Theaterdirektor Löwe als Romeo angeheuert. Den möchte er auch nur allzu gern bei seiner Bühnen-Julia, dem reizenden Gaststar Monika Holl, spielen. Da schlägt das Telegramm, das den Besuch seines Vaters ankündigt, wie eine Bombe ein. Zusammen mit Freund Oskar versucht Andreas, den Schwindel aufrechtzuerhalten und spielt seinen Doppelgänger – ein Unternehmen, das zunächst in ein völliges Chaos und schließlich ins Happy End mündet.</t>
  </si>
  <si>
    <t>Das Leben ist schön</t>
  </si>
  <si>
    <t>AT</t>
  </si>
  <si>
    <t>tt5229232</t>
  </si>
  <si>
    <t>Ben Krischke, Esther Csapo, Matthias Euba</t>
  </si>
  <si>
    <t>Die Geschichte eines italienischen Buchhändlers jüdischer Abstammung, der in seiner eigenen Märchenwelt lebt. Doch seine kreative Vorstellungskraft wird vor eine bittere Herausforderung gestellt, als er mit seiner ganzen Familie während des Holocaust in ein Konzentrationslager deportiert wird. Kurzerhand erklärt er seinem kleinen Sohn, dass alles nur ein Spiel sei.</t>
  </si>
  <si>
    <t>Der Fremde</t>
  </si>
  <si>
    <t>Das Mädchen aus der Fremde</t>
  </si>
  <si>
    <t>tt0793470</t>
  </si>
  <si>
    <t>Günther Grabbert, Harry Hindemith, Günther Simon</t>
  </si>
  <si>
    <t>Im Glauben an die chinesische Schicksalsgöttin Kwan Yin arrangiert die junge, attraktive Crystal Shackleford ein Treffen mit zwei völlig fremden Menschen, dem Treuhänder Jerôme Arbutny und dem trunksüchtigen kleinen Gauner Johnny West. Crystal bringt die beiden Männer dazu, gemeinsam eine Pferdewette abzuschließen und sich auf der Rückseite des Wettscheins vertraglich zu verpflichten, den möglichen Gewinn zu teilen. Durch diesen Bund werden die Karten des Schicksals neu gemischt, die Ereignisse nehmen ihren Lauf. Gekränkt darüber, dass sie ihren Mann David nicht halten kann, zerstört Crystal durch Intrigen seine berufliche Zukunft, und auch Davids Beziehung zu seiner Geliebten Janet. Johnny West kommt unterdessen durch die Falschaussage seines Komplizen Betram Fallon in die Todeszelle. Auch der Treuhänder Arbutny steht bald mit dem Rücken zur Wand.</t>
  </si>
  <si>
    <t>Das Nervenbündel</t>
  </si>
  <si>
    <t>Animation, Short</t>
  </si>
  <si>
    <t>tt1003501</t>
  </si>
  <si>
    <t>Jack Lemmon, Anne Bancroft, Gene Saks, Elizabeth Wilson, Florence Stanley</t>
  </si>
  <si>
    <t>Mel und Edna - eine Ehepaar der Mittelschicht, mittleren Alters und mittelmäßig glücklich – leben in einem Apartment in Manhattan. Der andauernde Lärm der Nachbarn, die über-hilfreichen Verwandten und über-pünktliche Busfahrer rauben Mel den letzten Nerv. Als er dann auch noch seinen Job verliert und ausgeraubt wird, verliert er fast den Verstand.</t>
  </si>
  <si>
    <t>Das schwache Geschlecht</t>
  </si>
  <si>
    <t>Das schwache Geschlecht muss stärker werden - Weibergeschichten</t>
  </si>
  <si>
    <t>tt2051853</t>
  </si>
  <si>
    <t>June Allyson, Joan Collins, Dolores Gray, Ann Sheridan, Ann Miller</t>
  </si>
  <si>
    <t>Kay ist tief bestürzt, als sie kurz vor ihrem 10. Hochzeitstag den neuesten Klatsch aufschnappt: Ganz New York weiss bereits, dass ihr Mann, der berühmte Broadway-Produzent Steve, eine Affäre mit einem jungen Revuegirl namens Crystal hat._x000D_ Obwohl Steve die Affäre beenden will, erweckt die berechnende Crystal den Eindruck, als treffe sie sich immer noch mit ihm. Enttäuscht reicht Kay in Reno die Scheidung ein. Die Stadt ist ein Dorado für geschiedene Frauen.</t>
  </si>
  <si>
    <t>Bei mir nicht</t>
  </si>
  <si>
    <t>Das Stacheltier - Bei mir nicht</t>
  </si>
  <si>
    <t>tt1510704</t>
  </si>
  <si>
    <t>Albert Garbe</t>
  </si>
  <si>
    <t>Broadwayproduzent Russ Ward (Clark Gable) ist seit Jahren im Geschäft, doch seine neueste Produktion ist schwer vom Pech verfolgt, weswegen ihm auch nichts anderes übrig bleibt, als seine Exfrau Kathryn (Lilli Palmer), seinen Chefautor Jeremiah (Lee J. Cobb) und seinen Manager Atwood (Charles Lane) auf Distanz zu halten, während die Presse schon an ihm nagt. Tatsächlich scheint die Show ein Flop zu werden, doch dann gesteht ihm seine treue Sekretärin Ellie (Carroll Baker) ihre Liebe - was ihn auf die Idee bringt, das Thema des Films zu wechseln: von "Alter Mann liebt junge Frau" auf umgekehrt. Jetzt geht es aufwärts mit der Produktion, doch noch nicht mit den Herzensangelegenheiten...</t>
  </si>
  <si>
    <t>In Freundschaft verbunden</t>
  </si>
  <si>
    <t>DDR-Magazin 1977/03 - In fester Freundschaft verbunden/Deutsch-Sowjetische Freundschaft</t>
  </si>
  <si>
    <t>tt17641268</t>
  </si>
  <si>
    <t>Erich Honecker</t>
  </si>
  <si>
    <t>Die ambitionierte Schriftstellerin Kit Marlowe hat mit ihrem ersten Buch großen Erfolg. Ihre Freundin Millie findet Kits Buch düster und kompliziert. Sie kündigt an, Liebesromane zu schreiben, die dem Publikumsgeschmack eher entsprechen. Als sie mit ihren naiven Kitschromanen tatsächlich großen kommerziellen Erfolg hat, bricht zwischen den Freundinnen eine unterschwellige Konkurrenz aus, die dank Kits Umsicht und Großherzigkeit nie zum offenen Streit eskaliert. Selbst als Millies Mann Preston nach neun Jahren Ehe genug von seiner oberflächlich, eitel und egoistisch gewordenen Frau hat und sich Kit zuwendet, verzichtet diese, um ihre Freundschaft zu Millie nicht zu gefährden. Nach Kriegsausbruch verliebt Kit sich in den gutaussehenden Offizier Rudd Kendall. Doch da sie zehn Jahre älter ist als er, zögert sie ihre Antwort auf seinen Heiratsantrag so lange hinaus, bis er sich in Deirdre Drake verliebt, die inzwischen erwachsene Tochter ihrer besten Freundin.</t>
  </si>
  <si>
    <t>Todesstille</t>
  </si>
  <si>
    <t>Dead Calm</t>
  </si>
  <si>
    <t>Psychothriller</t>
  </si>
  <si>
    <t>tt0097162</t>
  </si>
  <si>
    <t>Nicole Kidman, Sam Neill, Billy Zane, George Shevtsov, Rod Mullinar</t>
  </si>
  <si>
    <t>Der Marineoffizier John Ingram und seine Frau Rae haben sich nach dem Unfalltod ihres Sohnes auf ihre Yacht zurückgezogen, um das Trauma des Verlustes zu verarbeiten. Der angeblich schiffbrüchige Hughie kann das Schiff in seine Gewalt bringen. Er quält und vergewaltigt Rae, während John auf dem sinkenden Wrack des mörderischen Irren um sein Leben kämpft. Rae kann ihren Peiniger ausschalten und rettet den Ehemann in letzter Sekunde vor dem Ertrinken.</t>
  </si>
  <si>
    <t>Der amerikanische Freund</t>
  </si>
  <si>
    <t>D,FRA</t>
  </si>
  <si>
    <t>tt0075675</t>
  </si>
  <si>
    <t>Dennis Hopper, Bruno Ganz, Lisa Kreuzer, Gérard Blain, Nicholas Ray</t>
  </si>
  <si>
    <t>Der Bilderrahmer und Restaurateur Jonathan Zimmerman leidet an einer gefährlichen Blutkrankheit. Der skrupellose amerikanische Kunsthändler Tom Riple erfährt davon und aus einer Laune heraus erzählt er dem Ganoven Minot  von Jonathan. Der bietet dem todkranken Mann an, für ihn einen Mordauftrag durchzuführen. Dafür soll er hoch bezahlt werden, um so seiner Frau und seinem Kind etwas hinterlassen zu können.</t>
  </si>
  <si>
    <t>Der falsche Mann</t>
  </si>
  <si>
    <t>tt1838502</t>
  </si>
  <si>
    <t>Patricia Aulitzky, Marcus Ballin, Aurel Baldur Bereuter</t>
  </si>
  <si>
    <t>Manny Balestrero ist Musiker im New Yorker „Stork Club“. Er und seine Frau Rose stecken in finanziellen Schwierigkeiten. Doch echte Schwierigkeiten gibt es, als Manny eines Tages verhaftet wird. Zeugen behaupten, dass er zahlreiche Überfälle begangen haben soll. Alle Indizien sprechen gegen ihn. Seine Frau bringt Geld für die Kaution auf und Balestro versucht verzweifelt, Zeugen für ein Alibi aufzutreiben. Aber von den drei Männern, mit denen er zur Tatzeit Karten gespielt hat, sind zwei tot – und der dritte ist unauffindbar. Die Situation wird gefährlich für Balestro …</t>
  </si>
  <si>
    <t>Alles für die Katz</t>
  </si>
  <si>
    <t>Der Komödienstadel: Alles für die Katz'</t>
  </si>
  <si>
    <t>tt0139824</t>
  </si>
  <si>
    <t>Marianne Lindner, Ursula Herion, Erni Singerl</t>
  </si>
  <si>
    <t>Siamkater DC, normalerweise mehr an Mäusen und ähnlichem Getier interessiert, bringt eines Tages eine Damenarmbanduhr mit nach Hause. Es stellt sich heraus, daß diese Uhr auf die Spur einer von Bankräubern gekidnappten Frau verweist. Familie Randall informiert den jungen FBI-Mann Zeke Kelso. Der leidet zwar unter einer Katzenallergie, kann den Fall aber nur in Zusammenarbeit mit Kater DC lösen</t>
  </si>
  <si>
    <t>Der Prinz und die Tänzerin</t>
  </si>
  <si>
    <t>tt0017288</t>
  </si>
  <si>
    <t>Hans Albers, Lucy Doraine, Adolphe Engers</t>
  </si>
  <si>
    <t>Großherzog Karl von Karpathien kommt 1911 zur Krönungsfeier von Georg I. nach London. Er bewundert während einer Bühnenshow das amerikanische Revuegirl Elsie Marina und lädt sie für ein flüchtiges Abenteuer zum Abendessen ein. Doch die schlagfertige Elsie wehrt seine Annäherungsversuche ab, schläft beschwipst ein. Am nächsten Morgen wird ihr klar, dass sie sich in Karl, der sie los sein will, verliebt hat. Elsie lernt die Königinmutter kennen, wird ihre Zofe für die Krönungsfeier, gewinnt doch noch Karls Herz und verspricht, auf ihn zu warten.</t>
  </si>
  <si>
    <t>Der Schakal</t>
  </si>
  <si>
    <t>Der rote Schakal</t>
  </si>
  <si>
    <t>tt0120038</t>
  </si>
  <si>
    <t>August Zirner, Hans Diehl, Felix von Manteuffel</t>
  </si>
  <si>
    <t>Fort in den kapitalistischen Westen, das ist der Traum von DDR-Physiker Werner Leiser in den 70ern. Seine einzige Chance sieht er in einer Karriere als Stasi-Spion</t>
  </si>
  <si>
    <t>Der Schlüssel zum Himmelstor</t>
  </si>
  <si>
    <t>Sameera Asir, Ilse Bendin, Husam Chadat, Ruha Koshan</t>
  </si>
  <si>
    <t>Tod in Hollywood</t>
  </si>
  <si>
    <t>Der Tod in Hollywood</t>
  </si>
  <si>
    <t>tt2308621</t>
  </si>
  <si>
    <t>Robert Morse, Jonathan Winters, Anjanette Comer, Rod Steiger, Dana Andrews</t>
  </si>
  <si>
    <t>Ein junger Engländer kommt nach Los Angeles und lernt dort das Totengeschäft und das Bestattungswesen kennen. Er wird schließlich selbst Angestellter eines großen Beerdigungsinstituts in Hollywood, das, als sich die traditionelle Bestattungsform geschäftlich nicht mehr lohnt, die Toten durch Raketen in den Weltraum schießen läßt.</t>
  </si>
  <si>
    <t>Der Zauberberg</t>
  </si>
  <si>
    <t>tt0063836</t>
  </si>
  <si>
    <t>Joana Maria Gorvin, Charles Regnier, Curt Bois, Michael Degen</t>
  </si>
  <si>
    <t>Während seines siebenjährigen freiwilligen Aufenthaltes in der abgeschlossenen Welt eines Sanatoriums im Hochgebirge trifft der junge Held Hans Castorp auf weltentrückte Figuren, die ihn mit Politik, Philosophie, aber auch Liebe, Krankheit und Tod konfrontieren. Verfilmung des gleichnamigen Romans von Thomas Mann.</t>
  </si>
  <si>
    <t>Münchhausen</t>
  </si>
  <si>
    <t>Die Abenteuer des Freiherrn von Münchhausen</t>
  </si>
  <si>
    <t>tt0149802</t>
  </si>
  <si>
    <t>Richard Münch, Ella Büchi, Helmut Peine, Nora Minor</t>
  </si>
  <si>
    <t>Seltsam ist die verblüffende Ähnlichkeit des Barons von Münchhausen mit seinem Urahn, dessen Antlitz von einem 200 Jahre alten Ölgemälde herunterlächelt. Als Münchhausen eines seiner berühmten Feste feiert, gesteht ihm die blutjunge, romantisch veranlagte Sophie von Riedesel ihre Liebe. Diese Offenbarung nimmt Münchhausen zum Anlass, am nächsten Tag eine wunderliche, absurde, abenteuerliche und überaus spannende Lebensbeichte abzulegen. Es ist sowohl seine Geschichte als auch die des Mannes, der da von dem Gemälde herunterlächelt. Während Münchhausens Erzählfluss vermischen sich Vergangenheit und Gegenwart, Illusion und Realität zu einem rauschhaften Erlebnis. Da ist kaum eine Persönlichkeit, die Münchhausen nicht kennen gelernt, kein Abenteuer, das er nicht durchlebt hätte. Ob er nun die russische Kaiserin Katharina verführt, Potemkin im Zweikampf besiegt oder gegen die Türken ins Feld zieht - Münchhausens Leben gleicht einem einzigen großen Ritt auf der Kanonenkugel.</t>
  </si>
  <si>
    <t>Die Buddenbrooks</t>
  </si>
  <si>
    <t>tt0013901</t>
  </si>
  <si>
    <t>Peter Esser, Mady Christians, Alfred Abel</t>
  </si>
  <si>
    <t>Ein Film von Gerhard Lamprecht</t>
  </si>
  <si>
    <t>Die Glasmenagerie</t>
  </si>
  <si>
    <t>tt1085418</t>
  </si>
  <si>
    <t>Maria Wimmer, Gertraud Jesserer, Gerd Böckmann</t>
  </si>
  <si>
    <t>In den 1930er Jahren in St. Louis lebt die Familie Wingfield in ärmlichen Verhältnissen. Amanda Wingfield (Gertrude Lawrence) lebt gemeinsam mit ihrer gehbehinderten Tochter Laura (Jane Wyman) und ihrem Sohn Tom (Arthur Kennedy). Der Vater der Familie hat sich schon vor vielen Jahren aus dem Staub gemacht. Während Amanda sich immer noch in ihre Vergangenheit zurückwünscht, in der sie zur Südstaatenaristokratie gehörte, ist der junge Tom von Rolle als Vater und Ernährer der Familie überfordert und wünscht sich eine bessere Zukunft. Auch Laura flüchtet immer mehr vor ihrem Leben und träumt von einer Zukunft voller Liebe und Glück. Ihr Traum könnte Realität werden, als sie den hübschen Jim (Kirk Douglas) kennenlernt…</t>
  </si>
  <si>
    <t>Die heiße Spur</t>
  </si>
  <si>
    <t>Die heiße Spur zur heißen Spur</t>
  </si>
  <si>
    <t>tt2548242</t>
  </si>
  <si>
    <t>Thomas Brezina, Alex Schmelzer, Joe Pechhacker</t>
  </si>
  <si>
    <t>L.A.: Privatdetektiv Harry Moseby hat Probleme. Vermisste Personen und die Überwachung untreuer Ehepartner sind ein ziemlicher Abstieg nach seiner glorreichen Karriere als Profi-Footballer. Seine Frau hat eine Affäre – und gibt sich nicht einmal die Mühe, sie zu verheimlichen. Während Harry versucht, damit klarzukommen, übernimmt er den Fall einer jugendlichen Ausreißerin, der ihm leicht zwei Nummern zu groß sein könnte.</t>
  </si>
  <si>
    <t>Die Polizistin</t>
  </si>
  <si>
    <t>tt0246859</t>
  </si>
  <si>
    <t>Gabriela Maria Schmeide, Axel Prahl, Paul Grubba</t>
  </si>
  <si>
    <t>Eine junge Kommissarin (Miou-Miou) wird wegen allzu forscher Ermittlungsmethoden in die Provinz versetzt, wo sie verbrecherischen Praktiken in der höheren Gesellschaft auf die Spur kommt: Kinder von Arbeitern werden für pornografische Fotos missbraucht.</t>
  </si>
  <si>
    <t>Die Rote</t>
  </si>
  <si>
    <t>Die rote Hand</t>
  </si>
  <si>
    <t>DE,SE</t>
  </si>
  <si>
    <t>tt0063524</t>
  </si>
  <si>
    <t>Linn Reusse, Jakob Knoblauch, Nora Quest</t>
  </si>
  <si>
    <t>Franziska Lukas lebt in Deutschland in bürgerlichem Milieu und empfindet ihre Ehe mit Herbert Lukas als äußerst langweilig. Auch eine Liebesaffäre zu einem anderen Mann ändert nur wenig an dem Zustand der Langeweile. Zwar fehlt es ihr an nichts, doch geht sie auf die 40 zu und möchte ihrem Leben noch eine andere Wendung geben. Das aktuelle Leben scheint ihr absehbar. Sie bricht aus und geht nach Venedig. Dort sucht sie sich Arbeit und beginnt in einem Hotel als Zimmermädchen zu arbeiten. Die Veränderung und neue Bekanntschaften lassen ihr Leben nun aufregender erscheinen. Erotische und kriminelle Abenteuer erwarten sie nun. Sie lernt einen ehemaligen britischen Offizier kennen, der sich an einem deutschen Nazi rächen will. Franziska muss erkennen, dass dieser Mann sie nur für seine Pläne benutzt. Als ihr dies klar wird, flieht sie auch aus dieser Lebenssituation.</t>
  </si>
  <si>
    <t>Die Vergessenen</t>
  </si>
  <si>
    <t>Die vergessenen Kinder von Köln</t>
  </si>
  <si>
    <t>tt0283411</t>
  </si>
  <si>
    <t>Eine Gruppe jugendlicher Straftäter führt ein gewalttätiges Leben in den berüchtigten Slums von Mexiko-Stadt; unter ihnen der junge Pedro, dessen Moral von den anderen nach und nach korrumpiert und zerstört wird.</t>
  </si>
  <si>
    <t>Die Verlorenen</t>
  </si>
  <si>
    <t>tt32623698</t>
  </si>
  <si>
    <t>Karoline Eichhorn, Andreas Pietschmann, David Selvas</t>
  </si>
  <si>
    <t>Dr. Stewart McIver hat als neuer Chefarzt einer psychiatrischen Klinik Probleme mit dem früheren Anstaltschef und der selbstherrlichen Verwaltungsleiterin. Auch um seine Ehe steht es schlecht, darum sucht er Trost bei einer attraktiven Kollegin. Die Spannungen spitzen sich bald so sehr zu, dass auch die Patienten in den Machtkampf hineingezogen werden. Das treibt einen jungen Künstler fast in den Selbstmord…</t>
  </si>
  <si>
    <t>Die Zitadelle</t>
  </si>
  <si>
    <t>Die Warschauer Zitadelle</t>
  </si>
  <si>
    <t>tt0162950</t>
  </si>
  <si>
    <t>András Fricsay Kali Son, Antonia Reininghaus, Armando Brancia</t>
  </si>
  <si>
    <t>Scheidung auf amerikanisch</t>
  </si>
  <si>
    <t>Divorce American Style</t>
  </si>
  <si>
    <t>tt0061581</t>
  </si>
  <si>
    <t>Dick Van Dyke, Debbie Reynolds, Jason Robards, Jean Simmons, Van Johnson</t>
  </si>
  <si>
    <t>Scheidung auf italienisch</t>
  </si>
  <si>
    <t>Divorzio all'italiana</t>
  </si>
  <si>
    <t>tt0055913</t>
  </si>
  <si>
    <t>Marcello Mastroianni, Daniela Rocca, Stefania Sandrelli, Leopoldo Trieste, Odoardo Spadaro</t>
  </si>
  <si>
    <t>"Bis dass der Tod euch scheidet" - der sizilianische Baron Fefe Cefalù nimmt das wörtlich. Er hat sich in seine junge Cousine Angela verliebt - das Leben mit Ehefrau Rosalia ist ihm zuwider. Doch an eine Scheidung ist im katholischen Italien der 60er Jahre nicht zu denken. In seinen Träumen ersinnt Fefe immer neue Pläne, wie er seine ungeliebte Frau loswerden könnte. Als er erfährt, dass die sizilianische Rechtsprechung Milde walten lässt, wenn ein Mord aus "verletzter Ehre" geschieht, schmiedet er einen Plan: Er sucht einen Liebhaber für seine Frau, um ihr eine Affäre andichten zu können ...</t>
  </si>
  <si>
    <t>Ist ja irre</t>
  </si>
  <si>
    <t>Don't Lose Your Head</t>
  </si>
  <si>
    <t>tt0060330</t>
  </si>
  <si>
    <t>Sid James, Kenneth Williams, Jim Dale, Charles Hawtrey, Peter Butterworth</t>
  </si>
  <si>
    <t>1789 - Es herrscht heiteres Köpferollen während der französischen Revolution. Robespierre entledigt sich mit Hilfe von Madame Guillotine der Aristokratie. Diesen blutigen Job erledigt jedoch der Chef der Geheimpolizei, Bürger Camembert und sein tolpatschiger Gehilfe Bidet. Alles "rollt" wunderbar, als plötzlich der mysteriöse "Schwarze Fingernagel" und sein Gehilfe auftauchen und die Deliquenten direkt vom Schafott wegstiehlt. Hinter den beiden Störenfrieden stecken die vom englischem Adelsleben gelangweilten Sir Rodney Ffing und Lord Darcy Pue. Verärgert setzt Robespierre seine Handlanger Camembert und Bidet auf die Ergreifung der englischen Rächer an. Diese haben aber Mühe, die Identität des maskierungswütigen Sir Rodney aufzudecken, geschweige denn seiner Habhaft zu werden. Der hat nämlich seine helle Freude daran, die beiden französischen Revolutionäre an der Nase herumzuführen ...</t>
  </si>
  <si>
    <t>Der schwarze Kreis</t>
  </si>
  <si>
    <t>Drei Geschichten mit Lilli Palmer: Der Morgenrock/Der schwarze Kreis/Das Zwiegespräch</t>
  </si>
  <si>
    <t>tt2155281</t>
  </si>
  <si>
    <t>Lilli Palmer, Peter Pasetti, Walter Reyer, Hanne Wieder</t>
  </si>
  <si>
    <t>Die Bar-Besitzerin Edith Phillips tötet ihre wohlhabende Zwillingsschwester Margaret und nimmt deren Identität an, nachdem diese zwanzig Jahre zuvor Ediths ehemalige Flamme geheiratet hatte. Die Frage ist jedoch, ob sie Margarets Dienerschaft und die Behörden mit ihrem mörderischen Spielchen an der Nase herumführen und ihren gestohlenen Reichtum lange halten kann - oder ob ihr der Hund ihrer Schwester womöglich in die Quere kommt und sie auffliegen lässt...</t>
  </si>
  <si>
    <t>Ein Hundeleben</t>
  </si>
  <si>
    <t>tt2385067</t>
  </si>
  <si>
    <t>Jeff Richards, Jarma Lewis, Edmund Gwenn, Dean Jagger, Willard Sage</t>
  </si>
  <si>
    <t>Der streunende Bullterrier Wildfire wird von dem Spieler Patch McGil zum Kampfhund dressiert. Als Wildfire dabei fast stirbt, landet er wieder auf der Straße. Der gutmütige Tierpfleger Jeremiah Nolan rettet ihn und bringt ihn zum Gestüt des verbitterten Mr. Wyndham. Dessen liebevolle Tochter Dorothy führt Wildfire in die feine Welt der Rassehundeschauen ein. Doch dann reißt McGil ihn erneut an sich.</t>
  </si>
  <si>
    <t>Einmal eine Dame sein</t>
  </si>
  <si>
    <t>Einmal eine grosse Dame sein</t>
  </si>
  <si>
    <t>tt0050351</t>
  </si>
  <si>
    <t>Dietmar Schönherr, Grethe Weiser, Erich Winn</t>
  </si>
  <si>
    <t>Die 17-jährige Patti Robinson verliebt sich in den Sommerferien in den charmanten Kubaner Gomez Armendez. Um den Märchenprinzen zu gewinnen, muss sie nicht nur ihre reifere Freundin Valerie ausstechen, sondern auch den überfürsorglichen Eltern schonend beibringen, dass sie nicht mehr ihr kleines Mädchen ist. Ebenso aufgeregt wie schüchtern folgt Patti Gomez bei seinem Boots-Ausflug, doch das erste Rendezvous endet mit einem peinlichen Missgeschick.</t>
  </si>
  <si>
    <t>Einmaleins der Ehe</t>
  </si>
  <si>
    <t>tt0041330</t>
  </si>
  <si>
    <t>Irene von Meyendorff, Hans Söhnker, Grethe Weiser, Viktor Staal</t>
  </si>
  <si>
    <t>Chaos im Camp</t>
  </si>
  <si>
    <t>Ernest Goes to Camp</t>
  </si>
  <si>
    <t>Komödie, Familie</t>
  </si>
  <si>
    <t>tt0092974</t>
  </si>
  <si>
    <t>Jim Varney, Victoria Racimo, John Vernon, Lyle Alzado, Gailard Sartain</t>
  </si>
  <si>
    <t>Eine Gruppe schwieriger Jugendlicher wird in ein Camp, das auf Indianergebiet liegt, in die Ferien geschickt, wo der chaotische Aufseher sie im Auge behalten soll – was ihm allerdings kaum gelingt. Als ein habgieriger Geschäftsmann sich das Land aneigen will um hier Bodenschätze abzubauen, verbünden sich die Jugendlichen mit den Indianern um ihm die Stirn zu bieten.</t>
  </si>
  <si>
    <t>Ohne Liebe geht es nicht</t>
  </si>
  <si>
    <t>Es geht nicht ohne Liebe</t>
  </si>
  <si>
    <t>tt1356903</t>
  </si>
  <si>
    <t>Christel Bodenstein, Wilhelm Koch-Hooge, Ezard Haußmann</t>
  </si>
  <si>
    <t>Es geht nicht ohne Liebe ist ein deutscher Fernsehfilm von Rudi Kurz aus dem Jahr 1963</t>
  </si>
  <si>
    <t>Und immer lockt das Weib</t>
  </si>
  <si>
    <t>Et Dieu… créa la femme</t>
  </si>
  <si>
    <t>tt0049189</t>
  </si>
  <si>
    <t>Brigitte Bardot, Jean-Louis Trintignant, Curd Jürgens, Jane Marken, Jean Tissier</t>
  </si>
  <si>
    <t>Ein junges, aufreizendes Mädchen, das in St. Tropez bei Adoptiveltern aufwächst und nicht nur einen Mann durcheinander bringt.</t>
  </si>
  <si>
    <t>Gefährliche Liebe</t>
  </si>
  <si>
    <t>Fahrt in die Hölle - Eine gefährliche Liebe</t>
  </si>
  <si>
    <t>tt0260017</t>
  </si>
  <si>
    <t>Sabine Postel, Walter Kreye, Deborah Kaufmann</t>
  </si>
  <si>
    <t>Fame – Der Weg zum Ruhm</t>
  </si>
  <si>
    <t>Fame</t>
  </si>
  <si>
    <t>tt0080716</t>
  </si>
  <si>
    <t>Irene Cara, Barry Miller, Maureen Teefy, Paul McCrane, Lee Curreri</t>
  </si>
  <si>
    <t>An der New Yorker Hochschule für darstellende Künste finden Aufnahmeprüfungen statt. Unter denjenigen, die aufgenommen werden, sind die freche Sängerin Coco, der sensible homosexuelle Schauspieler Montgomery, die schüchterne Doris und der Tänzer Leroy. Sie alle entstammen der Unterschicht und träumen davon, dass ihnen die anstehenden vier Jahre Studium den "Weg zum Ruhm" ebnen werden, während sie selbst noch von Alltagsproblemen geplagt werden.</t>
  </si>
  <si>
    <t>Fanfan, der Husar</t>
  </si>
  <si>
    <t>Fanfan la Tulipe</t>
  </si>
  <si>
    <t>FRA,ITA</t>
  </si>
  <si>
    <t>Liebesfilm, Abenteuer, Komödie, Kriegsfilm</t>
  </si>
  <si>
    <t>tt0044602</t>
  </si>
  <si>
    <t>Gérard Philipe, Gina Lollobrigida, Marcel Herrand, Olivier Hussenot, Noël Roquevert</t>
  </si>
  <si>
    <t>Frankreich zur Zeit Ludwig XV.: Der Schürzenjäger und Draufgänger Fanfan lässt sich zur Armee anwerben, um der Heirat zu entgehen. Die schöne Zigeunerin Adeline weissagt ihm Ruhm, Ehre und die Hand der Königstochter. Kurz darauf rettet Fanfan Madam Pompadour und Prinzessin Henriette vor Wegelagerern. Um Henriette wiederzusehen, schleicht er sich nachts in das Schloss des Königs. Er wird festgenommen und zum Tode verurteilt. Wird Adelines Weissagung noch in Erfüllung gehen?</t>
  </si>
  <si>
    <t>Fanny</t>
  </si>
  <si>
    <t>tt0054866</t>
  </si>
  <si>
    <t>Leslie Caron, Maurice Chevalier, Charles Boyer</t>
  </si>
  <si>
    <t>Der beinahe 19jährige Marius fühlt sich selbst wie gefangen in Marseille, da sein Vater, Besitzer eines Cafés, sein Leben bereits fest geplant hat. Doch es zieht den Jungen hinaus auf die See. Am Abend, bevor er eine fünfjährige Reise antreten will, eröffnet ihm Fanny, ein Mädchen, das mit ihm aufwuchs, dass sie ihn liebt. Und Marius bemerkt, dass er Fanny liebt. Er muss sich nun entscheiden, ob er ein aufregendes Leben auf See verbringen möchte, oder ein ruhiges mit der Liebe seines Lebens an seiner Seite.</t>
  </si>
  <si>
    <t>In der Gewalt des Kindermörders</t>
  </si>
  <si>
    <t>Fatevi vivi, la polizia non interverrà</t>
  </si>
  <si>
    <t>Drama, Action, Thriller</t>
  </si>
  <si>
    <t>tt0195699</t>
  </si>
  <si>
    <t>Henry Silva, Rada Rassimov, Philippe Leroy, Gabriele Ferzetti, Fausta Avelli</t>
  </si>
  <si>
    <t>Auf dem Weg zur Schule wird die Tochter eines Großunternehmers von drei Gangstern entführt. Augenzeugen gibt es ebenfalls drei: Eine Nutte, einen Barbesitzer und eine Nonne. Der Vater des Mädchens möchte dessen Leben auf keinen Fall gefährden und willigt in die Zahlung von 500 Millionen Lira Lösegeld ein. Kommissar Caprile sind durch die Familie und den Staatsanwalt die Hände gebunden. Da die Mafia sich durch Caprile und dessen Ermittlungen in ihren Drogenschmuggel-Aktivitäten belästigt fühlt, ergreift Mafiaboss Salvatore, der sich mit dem Kommissar seit Jahre eine persönliche Fehde liefert, kurzerhand zur Selbstjustiz und treibt die Befreiung des Mädchens voran.</t>
  </si>
  <si>
    <t>Fähre nach Hongkong</t>
  </si>
  <si>
    <t>Ferry to Hong Kong</t>
  </si>
  <si>
    <t>tt0052799</t>
  </si>
  <si>
    <t>Curd Jürgens, Orson Welles, Sylvia Syms, Jeremy Spenser, Noel Purcell</t>
  </si>
  <si>
    <t>Der Deutsche Mark Conrad treibt sich in einer Bar in Hongkong herum und verwickelt sich in eine Schlägerei. Daraufhin wird er ausgewiesen und muss mit einer Fähre nach Macao fahren. Der Kapitän, Captain Hart, nimmt ihn nur widerwillig auf, da Conrads äußeres Erscheinungsbild nicht seinen Wünschen entspricht. Obwohl Hart ihn unter Deck verbannt, freundet Conrad sich spontan mit einer Gruppe chinesischer Kinder sowie mit dem Maschinisten Joe Skinner an. In Macao wird ihm trotz gültigen Visums die Einreise verweigert, er muss wieder zurück nach Hongkong fahren. Nachdem er auch dort nicht mehr an Land gehen darf, ist er dazu verbannt, für unbestimmte Zeit auf der Fähre zu pendeln. Der Kapitän ist darüber erbost und fordert Conrad zu einem entscheidenden Kartenspiel auf. Conrad gewinnt, weil Hart versucht hat zu betrügen, und so darf er an Deck bleiben.</t>
  </si>
  <si>
    <t>Die Straße der Erfolgreichen</t>
  </si>
  <si>
    <t>Flamingo Road</t>
  </si>
  <si>
    <t>tt0041373</t>
  </si>
  <si>
    <t>Joan Crawford, Zachary Scott, Sydney Greenstreet, David Brian, Gladys George</t>
  </si>
  <si>
    <t>Boldon, eine nette Stadt in den Südstaaten, hat wie jede ihre “Straße der Erfolgreichen”: die Flamingo Road. Hier leben die Bewohner in säulengeschmückten Villen. Das honorige Image ist allerdings teuer erkauft. Denn Sheriff Titus Semple führt ein autokratisches Regime in Boldon – und nimmt sogar Einfluss auf die Politik des Bundesstaates. Für die kommenden Wahlen hat er große Pläne: Sein Gehilfe Fielding Carlisle, ein zielloser, lenkbarer junger Mann aus guter Familie, soll als Semples Strohmann in den Senat einziehen. Bei den Wahlmännern setzt der Sheriff seinen Kandidaten mühelos durch.</t>
  </si>
  <si>
    <t>Bei mir liegst Du richtig</t>
  </si>
  <si>
    <t>For Pete's Sake</t>
  </si>
  <si>
    <t>tt0071514</t>
  </si>
  <si>
    <t>Barbra Streisand, Michael Sarrazin, Estelle Parsons, Molly Picon, William Redfield</t>
  </si>
  <si>
    <t>Henrietta leiht sich bei einem Kredithai $3000. Ihrem Mann Pete sagt sie jedoch, dass sie das Geld von einem reichen Onkel habe. Natürlich kann sie Geld und Zinsen nicht zurückzahlen. Also versucht sie mit den unmöglichsten Ideen an Geld zu kommen. Und schon bald beginnt eine verrückte Hatz: Die Polizei jagt die Kredithaie, die Kredithaie jagen Henrietta, Henrietta jagt dem Geld nach und ein Gag jagt den nächsten.</t>
  </si>
  <si>
    <t>Auf ewig und drei Tage</t>
  </si>
  <si>
    <t>Forever and a Day</t>
  </si>
  <si>
    <t>tt0035897</t>
  </si>
  <si>
    <t>Kent Smith, Reginald Gardiner, Victor McLaglen, Billy Bevan, Arthur Treacher</t>
  </si>
  <si>
    <t>tt0068611</t>
  </si>
  <si>
    <t>Jon Finch, Barry Foster, Barbara Leigh-Hunt</t>
  </si>
  <si>
    <t>In London versetzt ein Triebverbrecher, bekannt als "der Krawattenmörder", die Polizei in Alarmbereitschaft. Durch Indizien gerät Richard Blaney in Verdacht der allerdings völlig unschuldig ist. Da die Polizei ihm allerdings nicht zu glauben scheint, macht sich Blaney auf eigene Faust auf die Jagd nach dem Mörder...</t>
  </si>
  <si>
    <t>Gehetzt</t>
  </si>
  <si>
    <t>Gehetzt - Der Tod im Sucher</t>
  </si>
  <si>
    <t>tt0194696</t>
  </si>
  <si>
    <t>Hannes Jaenicke, Minh-Khai Phan-Thi, Francis Fulton-Smith</t>
  </si>
  <si>
    <t>Der verurteilte Gangster Eddy Taylor träumt von einem ruhigen Leben mit seiner geliebten Joan. Als er aus dem Gefängnis entlassen wird, scheint sein Traum zunächst in Erfüllung zu gehen. Die beiden heiraten und alles scheint sich zum Guten zu wenden. Doch schon nach kurzer Zeit wird Eddy erneut von seiner Vergangenheit eingeholt. Man verdächtigt ihn, an einem blutigen Bankraub beteiligt gewesen zu sein. Ihm droht die Todesstrafe...</t>
  </si>
  <si>
    <t>Der Fall Gideon</t>
  </si>
  <si>
    <t>Gideon's Trumpet</t>
  </si>
  <si>
    <t>SAT1</t>
  </si>
  <si>
    <t>tt0080789</t>
  </si>
  <si>
    <t>Henry Fonda, José Ferrer, John Houseman, Fay Wray, Dean Jagger</t>
  </si>
  <si>
    <t>Florida, 1961. Wegen eines Bagatelldelikts kommt der Handwerker Clarence Earl Gideon (Henry Fonda) vor Gericht. Weil er sich keinen Anwalt leisten kann ­ und das Gericht auf einen Pflichtverteidiger verzichtet ­ wandert Gideon für fünf Jahre ins Gefängnis. Dort arbeitet er sich in die juristische Literatur ein, verfasst ein Bittgesuch und erstreitet das in der Verfassung verankerte Grundrecht auf einen Anwalt.</t>
  </si>
  <si>
    <t>April entdeckt Hawaii</t>
  </si>
  <si>
    <t>Gidget Goes Hawaiian</t>
  </si>
  <si>
    <t>tt0054923</t>
  </si>
  <si>
    <t>Deborah Walley, James Darren, Michael Callan, Carl Reiner, Peggy Cass</t>
  </si>
  <si>
    <t>April entdeckt Rom</t>
  </si>
  <si>
    <t>Gidget Goes to Rome</t>
  </si>
  <si>
    <t>tt0057100</t>
  </si>
  <si>
    <t>James Darren, Cindy Carol, Jessie Royce Landis, Cesare Danova, Danielle De Metz</t>
  </si>
  <si>
    <t>Eine Gruppe junger Amerikaner - im Mittelpunkt das Mädchen April - verbringt unter Aufsicht von Tante Albertina einen unbeschwerten Urlaub in Rom. Dort verliebt April sich in einen italienischen Journalisten.</t>
  </si>
  <si>
    <t>Giganten</t>
  </si>
  <si>
    <t>tt35768027</t>
  </si>
  <si>
    <t>Willy Andresen, Erik Bye</t>
  </si>
  <si>
    <t>Als der texanische Großgrundbesitzer und Rancher aus Leidenschaft Bick Benedict auf einer Farm in Maryland eintrifft, um einen Hengst zu kaufen, trifft es ihn wie ein Schlag. Die schöne Tochter seines Geschäftspartners, Leslie, erobert sein Herz im Sturm. Doch sie ist kein dummes Frauchen. Sie sagt ihre Meinung, vertritt ihren Standpunkt, auch wenn das Bick anfangs mehr als nur irritiert. Die beiden heiraten und kehren zusammen auf Benedicts Ranch zurück, wo sich die Geschichte ihrer Familien und die Rivalität mit dem Cowboy Jett Rink durch einen überraschenden Ölfund mit tragischem Ausgang schicksalshaft fortsetzt.</t>
  </si>
  <si>
    <t>Eine Chance für Suzy</t>
  </si>
  <si>
    <t>Give a Girl a Break</t>
  </si>
  <si>
    <t>tt0045822</t>
  </si>
  <si>
    <t>Marge Champion, Gower Champion, Debbie Reynolds, Dolly Sharp, Bob Fosse</t>
  </si>
  <si>
    <t>Der Weg zum Glück</t>
  </si>
  <si>
    <t>Going My Way</t>
  </si>
  <si>
    <t>Drama, Komödie, Musik</t>
  </si>
  <si>
    <t>tt0036872</t>
  </si>
  <si>
    <t>Bing Crosby, Barry Fitzgerald, Frank McHugh, James Brown, Gene Lockhart</t>
  </si>
  <si>
    <t>Kaplan Chuck O’Malley ist ein aufgeschlossener, junger Pfarrer in einer katholischen Kirche in einem herunter gekommenen Vorort der US-amerikanischen Großstadt New York. Er arbeitet an der Seite des mürrischen Pfarrer Fitzgibbon, der wenig von den neumodischen Ideen des jungen Pfarrers hält. Beide kämpfen seit Jahren gegen Jugendbanden und haben unterschiedliche Vorstellungen vom Umgang mit den jungen Rabauken. Eines Tages brennt das Kirchengebäude ab und sie benötigen Geld für einen Wiederaufbau. Daraufhin gründet O’Malley einen Kirchenchor, um einerseits Geld für eine neue Kirche zu sammeln und andererseits eine Beschäftigung für die Jugendlichen zu schaffen. Im Laufe der Zeit kommen sich auch die beiden verfeindeten Pfarrer näher und es entwickelt sich eine enge Freundschaft zwischen ihnen.</t>
  </si>
  <si>
    <t>Haie und kleine Fische</t>
  </si>
  <si>
    <t>War, Drama</t>
  </si>
  <si>
    <t>tt0050478</t>
  </si>
  <si>
    <t>Hansjörg Felmy, Sabine Bethmann, Mady Rahl</t>
  </si>
  <si>
    <t>Der Film spielt in Deutschland während des Zweiten Weltkrieges. 1940 nimmt das Minensuchboot Albatros vier „frische“ Seekadetten an Bord, die zuvor als Freunde zusammen auf einem Heringsfänger gearbeitet haben: Hans Teichmann, Gerd Heyne, Emil Stollenberg und Vögele. Schon am nächsten Tag laufen sie aus. Die Mannschaft gerät in schwere Kämpfe. Vögele stirbt. Teichmann rettet dem schwer verwundeten Flottillenchef Wegener, in dessen Frau Edith er unglücklich verliebt ist, das Leben. Der erblindete Wegener ist aber nun vollständig auf die Hilfe seiner Frau angewiesen. Desillusioniert über seine aussichtslose Liebe meldet Teichmann sich zum U-Boot-Einsatz, nachdem er im Lazarett gesundet ist.</t>
  </si>
  <si>
    <t>Der Unglücksrabe</t>
  </si>
  <si>
    <t>Hans Huckebein, der Unglücksrabe</t>
  </si>
  <si>
    <t>tt10237980</t>
  </si>
  <si>
    <t>US-Gaunerkomödie von und mit Woody Allen aus dem Jahr 1969. Virgil  hat nur Pech. Der Verbrecher bekommt so gar nichts auf die Reihe - Fluchtversuche scheitern, Banküberfälle auch und Taschendiebstahl sieht auch anders aus. Aber er trifft die Louise und möchte mit einem großen Coup ihre gemeinsame Zukunft sichern.</t>
  </si>
  <si>
    <t>Hart am Wind</t>
  </si>
  <si>
    <t>tt0231698</t>
  </si>
  <si>
    <t>Carin Abicht, Ulrich Anschütz, Uwe Baumgart</t>
  </si>
  <si>
    <t>Nur der verbissene Ehrgeiz eines Kapitäns bringt ein kaum noch seetüchtiges Schiff trotz murrender Mannschaft nach Honolulu, wo es versenkt wird.</t>
  </si>
  <si>
    <t>Hausbesuche</t>
  </si>
  <si>
    <t>tt4497054</t>
  </si>
  <si>
    <t>Luise Heyer, Pia Zima</t>
  </si>
  <si>
    <t>Als der Chirurg Charley Nichols aus einem dreimonatigen Hawaii-Urlaub zurückkehrt, den er nach dem Tod seiner Ehefrau machte, erkennen ihn seine Kollegen nicht wieder. Charley hat sich im Urlaub einen Vollbart wachsen lassen und beschlossen, sein Liebesleben ab sofort richtig zu genießen.  Fortan lässt er keine Gelegenheit für eine zwanglose Affäre aus. Als die attraktive Ann Atkinson nach einem Unfall in das Krankenhaus eingeliefert wird, verhilft Charley ihr durch sein Eingreifen zu rascher Wiedergenesung, obwohl sie eigentlich nicht seine Patientin ist.  Bei den Aufnahmen zu einer Fernsehshow über den Beruf des Mediziners treffen sich Charley und Ann zufällig wieder. Die beiden fühlen sich trotz mancher Differenzen zueinander hingezogen und es dauert nicht lange, bis Charley sein Glück bei Ann versucht.</t>
  </si>
  <si>
    <t>Ein Mann namens Hennessy</t>
  </si>
  <si>
    <t>Hennessy</t>
  </si>
  <si>
    <t>Thriller, Drama, Action</t>
  </si>
  <si>
    <t>tt0073103</t>
  </si>
  <si>
    <t>Rod Steiger, Lee Remick, Richard Johnson, Trevor Howard, Peter Egan</t>
  </si>
  <si>
    <t>Rod Steiger als J. Hennessy, genannt "The Professional" liebt seine Familie über alles. In einem Kugelhagel werden Frau und Kind getötet. In grenzenlosem Hass entschließt sich J. Hennessy, das Londoner Parlament in die Luft zu sprengen. Verfolgt von Scotland Yard und führenden Köpfen der IRA hinterlässt er eine grausame Blutspur. Wird es dem "Professional" gelingen, seinen Plan durchzuführen?</t>
  </si>
  <si>
    <t>Himmel ohne Sterne</t>
  </si>
  <si>
    <t>tt0048169</t>
  </si>
  <si>
    <t>Eva Kotthaus, Erik Schumann, Rainer Stang, Erich Ponto, Lucie Höflich</t>
  </si>
  <si>
    <t>Die junge Anna Kaminski lebt unmittelbar an der Zonengrenze in Thüringen. Ihr Sohn, dessen Vater im Krieg gefallen ist, lebt bei den Großeltern in Bayern, nur wenige Kilometer entfernt im Westen. Da sie ihn aber immer wieder sehen will, stiehlt sie sich heimlich über die Grenze. Bei einem ihrer Gänge trifft sie auf den bayerischen Grenzpolizisten Carl Altmann. Der Westdeutsche hilft Anna, ihren Sohn illegal in den Osten zu holen und beide verlieben sich ineinander. Die einzige Möglichkeit sich zu treffen, ist aber zwischen den Grenzen in einem verlassenen Bahnhof. Schließlich will Anna mit ihrem Sohn endgültig in den Westsektor fliehen, aber die Grenzen werden immer dichter...</t>
  </si>
  <si>
    <t>Ein Satansweib</t>
  </si>
  <si>
    <t>His Kind of Woman</t>
  </si>
  <si>
    <t>Krimi, Komödie, Thriller</t>
  </si>
  <si>
    <t>tt0043643</t>
  </si>
  <si>
    <t>Robert Mitchum, Jane Russell, Vincent Price, Tim Holt, Charles McGraw</t>
  </si>
  <si>
    <t>Für 50.000 Dollar lässt sich Berufsspieler Dan Milner auf einen gefährlichen Deal ein: Ein Gangster bittet ihn, nach Mexiko zu reisen und dort weitere Instruktionen abzuwarten. Bald kommt Milner dahinter, dass es der Verbrecher auf seine Identität und auf sein Leben abgesehen hat.</t>
  </si>
  <si>
    <t>Weißer Herrscher über Tonga</t>
  </si>
  <si>
    <t>His Majesty O'Keefe</t>
  </si>
  <si>
    <t>Action, Abenteuer, Drama, Liebesfilm</t>
  </si>
  <si>
    <t>tt0045876</t>
  </si>
  <si>
    <t>Burt Lancaster, Joan Rice, André Morell, Abraham Sofaer, Archie Savage</t>
  </si>
  <si>
    <t>Kapitän O'Keefe (Burt Lancaster) beutet Eingeborene einer Südseeinsel aus, bis er geläutert an ihrer Seite kämpft und sich in Dalabo (Joan Rice) verliebt…</t>
  </si>
  <si>
    <t>Und Ewig Siegt Die Liebe</t>
  </si>
  <si>
    <t>History Is Made at Night</t>
  </si>
  <si>
    <t>tt0029002</t>
  </si>
  <si>
    <t>Charles Boyer, Jean Arthur, Leo Carrillo, Colin Clive, Ivan Lebedeff</t>
  </si>
  <si>
    <t>Der Herr im Haus bin ich</t>
  </si>
  <si>
    <t>Hobson's Choice</t>
  </si>
  <si>
    <t>tt0047094</t>
  </si>
  <si>
    <t>Charles Laughton, John Mills, Brenda De Banzie, Daphne Anderson, Prunella Scales</t>
  </si>
  <si>
    <t>Im London des ausklingenden 19. Jahrhunderts tyrannisiert der Witwer Henry Hobson seine drei Töchter. Um die Mitgift zu sparen, verbietet er ihnen kurzerhand die Heirat; und während seine älteste, Maggie, das Schuhgeschäft in Gang hält, gibt Henry allabendlich im Pub seine Lebensweisheiten zum Besten. Aber da hat er die Rechnung ohne Maggie gemacht. Die angelt sich seinen talentierten Gesellen Mossop, eröffnet mit ihm einen eigenen Laden und macht Daddy kräftig Konkurrenz. Mit ein paar Tricks gelingt es ihr schließlich sogar, den grantigen Hobson doch noch zu ihrem Partner zu machen.</t>
  </si>
  <si>
    <t>Ferien für Verliebte</t>
  </si>
  <si>
    <t>Holiday for Lovers</t>
  </si>
  <si>
    <t>tt0052897</t>
  </si>
  <si>
    <t>Clifton Webb, Jane Wyman, Jill St. John, Carol Lynley, Paul Henreid</t>
  </si>
  <si>
    <t>An einem Montag wie jeder andere</t>
  </si>
  <si>
    <t>Home at Seven</t>
  </si>
  <si>
    <t>tt0044718</t>
  </si>
  <si>
    <t>Ralph Richardson, Margaret Leighton, Campbell Singer, Jack Hawkins, Michael Shepley</t>
  </si>
  <si>
    <t>Der Bankangestellte David Preston hat das Gedächtnis verloren: Er kann sich an die vergangenen 24 Stunden nicht erinnern. Ausgerechnet in dieser Zeit ist die Kasse seines Clubs geraubt und ein Angestellter ermordet worden. Preston gerät unter Verdacht.</t>
  </si>
  <si>
    <t>Mörderisch</t>
  </si>
  <si>
    <t>Homicidal</t>
  </si>
  <si>
    <t>TH,US</t>
  </si>
  <si>
    <t>tt0054988</t>
  </si>
  <si>
    <t>Hukle Berry, Maya Blond, Sharon Da Vale, Conny Dachs</t>
  </si>
  <si>
    <t>Emily, eine attraktive junge Frau, checkt im Hotel Ventura ein und richtet eine merkwürdige Bitte an den Hotelpagen: Er solle sie in derselben Nacht noch heiraten, um anschließend die Ehe wieder zu annullieren. Er stimmt zu - verzaubert von Emilys Schönheit. Nach der Zeremonie jedoch ersticht Emily den Friedensrichter und verschwindet. Die Polizei stellt fest, dass sie die Ehe-Urkunde mit dem Namen von Miriam Webster unterschrieben hat, die die Halbschwester eines zukünftigen Millionenerben ist.</t>
  </si>
  <si>
    <t>Sie tanzte nur einen Sommer</t>
  </si>
  <si>
    <t>Hon dansade en sommar</t>
  </si>
  <si>
    <t>SWE</t>
  </si>
  <si>
    <t>tt0043652</t>
  </si>
  <si>
    <t>Ulla Jacobsson, Edvin Adolphson, Irma Christenson, Folke Sundquist, John Elfström</t>
  </si>
  <si>
    <t>Göran (Edvin Adolphson) zieht es nach seinem bestandenem Abitur aufs Land. Bevor sein Studium beginnt, möchte er seinem Onkel Persson bei der Ernte auf dem Hof helfen. Schon bald lernt er die Bauerstochter Kerstin (Ulla Jacobsson) kennen und beide entwickeln Gefühle füreinander. Angeregt vom schwedischen Sommer geben sie ihren Gefühlen nach und beginnen eine Liebesbeziehung. Göran ist plötzlich sehr angetan vom Landleben, der schwedischen Landschaft inklusive sommerlichem Nacktbaden.  Doch ihre Beziehung wird vom örtlichen Pfarrer nicht geduldet, und auch Kerstins strenge Eltern stimmen der jugendlichen Liebe nicht zu. Das junge Paar sieht sich mit einem Wertewechsel in der schwedischen Gesellschaft konfrontiert und wird auf eine harte Probe gestellt.</t>
  </si>
  <si>
    <t>Agentenpoker</t>
  </si>
  <si>
    <t>Hopscotch</t>
  </si>
  <si>
    <t>tt0080889</t>
  </si>
  <si>
    <t>Walter Matthau, Glenda Jackson, Sam Waterston</t>
  </si>
  <si>
    <t>CIA-Agent Miles Kendig ist ein alter Fuchs in seinem Job. Er versteht seinen Beruf und so sprengt er beispielsweise auf dem Münchner Oktoberfest ganz einfach einen sowjetischen Spionagering. Aber anstatt ihn dafür zu befördern, serviert ihn sein cholerischer Chef endgültig ab. Verärgert gibt Kendig seinen Job auf, um in Salzburg seine Geliebte Isobel zu besuchen. Da wird er von dem Sowjetagenten Yaskov dazu überredet, seine Autobiographie zu schreiben. Mit Freude tut er das auch und schickt jedes fertige Kapitel an seinen Exchef, aber auch an den KGB. Klar, dass bald zwei CIA-Agenten dazu abkommandiert werden, den Abtrünnigen zu finden. Sie haben aber mit der List und Schläue Kendigs nicht gerechnet und so beginnt ein Katz-und-Maus-Spiel, das rund um den Erdball führt ...</t>
  </si>
  <si>
    <t>Das Millionending</t>
  </si>
  <si>
    <t>Hot Millions</t>
  </si>
  <si>
    <t>tt0063094</t>
  </si>
  <si>
    <t>Helmut Wildt, Horst Bollmann, Gerhard Hartig</t>
  </si>
  <si>
    <t>Der Schwindler Marcus Pendleton ist gerade aus dem Knast raus, als er einsehen muß, daß die moderne Welt zunehmend computierisiert wird. Um daraus Kapital zu schlagen, überredet er den Programmierer einer Versicherung, einen längeren Urlaub zu nehmen und fädelt in dessen Identität einen großen Coup ein, doch die Liebe funkt ihm dazwischen, als er die Sekretärin Patty kennen- und liebenlernt...</t>
  </si>
  <si>
    <t>Hotel der toten Gäste</t>
  </si>
  <si>
    <t>tt0059284</t>
  </si>
  <si>
    <t>Joachim Fuchsberger, Karin Dor, Frank Latimore</t>
  </si>
  <si>
    <t>Der Londoner Kriminalreporter Barney Blair hat in seinem Büro eine Verabredung mit Janosch Kovac, dem Hoteldetektiven des Hotels Atlanta in San Remo. Der Informant will Blair brisantes Hintergrundmaterial verkaufen doch soweit kommt es nicht mehr da der Mann vorher erstochen wird. Um nun selbst in dem Fall zu ermitteln, begibt sich Blair zu dem Hotel wo gerade die Film und Musikfestspiele stattfinden und wittert bald eine große Story. Tatsächlich wird kurz darauf die nicht sonderlich beliebte Musikproduzentin Ruth Cornell ermordet. Jeder der Gäste hätte ein Motiv, und keiner ein Alibi. Gemeinsam mit Reporterkollegin Gilly und einem Kriminalinspektor wird in dem höchst mysteriösen Fall ermittelt und jeder, egal ob Musikagent oder Hoteldiener, könnte der Täter sein…</t>
  </si>
  <si>
    <t>Wiegenlied für eine Leiche</t>
  </si>
  <si>
    <t>Hush... Hush, Sweet Charlotte</t>
  </si>
  <si>
    <t>Horror, Mystery, Thriller</t>
  </si>
  <si>
    <t>tt0058213</t>
  </si>
  <si>
    <t>Bette Davis, Olivia de Havilland, Joseph Cotten, Agnes Moorehead, Cecil Kellaway</t>
  </si>
  <si>
    <t>Die reiche alte Dame Charlotte Hollis ist in ihrem Wohnort nicht sehr beliebt. Die meisten halten sie für eine Mörderin. Sie soll vor 40 Jahren ihren verheirateten Geliebten John Mayhew brutal getötet haben.  Nur die Haushälterin Velma kümmert sich um Charlotte, ansonsten ist das große Anwesen leer und wirkt unheimlich. Unter den Kindern des Dorfes gilt es als Mutprobe, sich hinein zu schleichen. Schließlich soll das Herrenhaus einer Brücke weichen. Charlotte zeigt sich widerspenstig und ruft ihre Cousine Miriam Deering zu Hilfe. Plötzlich hört die alte Dame, wie ihr Lieblingslied auf dem Klavier gespielt wird, das einst ihr Geliebter für sie gesungen hat. "Hush...Hush, Sweet Charlotte", klingt es durch die leeren Gänge, obwohl niemand anderes im Haus ist...</t>
  </si>
  <si>
    <t>Fotograf aus Liebe</t>
  </si>
  <si>
    <t>I Love Melvin</t>
  </si>
  <si>
    <t>tt0045899</t>
  </si>
  <si>
    <t>Donald O'Connor, Debbie Reynolds, Una Merkel, Richard Anderson, Allyn Joslyn</t>
  </si>
  <si>
    <t>Der Fotograf Melvin Hoover stößt versehentlich mit einer jungen Schauspielerin, Judy LeRoy, im Park zusammen. Sie fangen an zu plaudern und Melvin schlägt ihr vor eine Fotostrecke von ihr zu machen. Sein Boss ist davon aber nicht gerade begeistert…</t>
  </si>
  <si>
    <t>Diebe haben’s schwer</t>
  </si>
  <si>
    <t>I soliti ignoti</t>
  </si>
  <si>
    <t>tt0052216</t>
  </si>
  <si>
    <t>Vittorio Gassman, Renato Salvatori, Memmo Carotenuto, Rossana Rory, Carla Gravina</t>
  </si>
  <si>
    <t>Der ungeschickte Kleinganove Cosimo kommt wegen Autodiebstahls ins Gefängnis. Dort erfährt er von einem großen Coup, bei dem ohne Risiko viel Geld zu holen sei. Mit Hilfe seiner alten Komplizen entwickelt er einen Plan, um aus dem Gefängnis zu kommen. Gegen Bezahlung soll der nicht vorbestrafte Boxer Peppe die Schuld für den Autodiebstahl auf sich nehmen und die Haftstrafe an Cosimos Stelle antreten. Aber Peppe wird verhaftet, ohne dass Cosimo freikommt. Er gibt vor, für drei Jahre einsitzen zu müssen, und Cosimo vertraut ihm den Plan an. Doch Peppe erhielt nur ein Jahr - auf Bewährung.</t>
  </si>
  <si>
    <t>Eisstation Zebra</t>
  </si>
  <si>
    <t>Ice Station Zebra</t>
  </si>
  <si>
    <t>tt0063121</t>
  </si>
  <si>
    <t>Rock Hudson, Ernest Borgnine, Patrick McGoohan, Jim Brown, Tony Bill</t>
  </si>
  <si>
    <t>Das amerikanische Atom-U-Boot Tigerfish arbeitet sich Richtung Nordpol vor. Sein Auftrag: Die Rettung der in Lebensgefahr schwebenden Mannschaft auf dem meteorologischen Aussenposten Eisstation Zebra. Neben Commander Ferraday und seiner Crew befinden sich etliche unerwartete Passagiere mit Geheimauftraegen an Bord…</t>
  </si>
  <si>
    <t>Ich war Jack Mortimer</t>
  </si>
  <si>
    <t>tt0026517</t>
  </si>
  <si>
    <t>Anton Walbrook, Eugen Klöpfer, Sybille Schmitz</t>
  </si>
  <si>
    <t>...gefrühstückt wird zu Hause</t>
  </si>
  <si>
    <t>If a Man Answers</t>
  </si>
  <si>
    <t>tt0056093</t>
  </si>
  <si>
    <t>Sandra Dee, Bobby Darin, Micheline Presle</t>
  </si>
  <si>
    <t>Das wohlhabende Partygirl Chantal Stacy trifft und heiratet den Fotograf Eugene Wright und versucht, ihn mit Training zu einem "perfekten Ehemann" zu erziehen.</t>
  </si>
  <si>
    <t>Ihr erstes Rendezvous</t>
  </si>
  <si>
    <t>Romance</t>
  </si>
  <si>
    <t>tt0048197</t>
  </si>
  <si>
    <t>Nicole Heesters, Paul Dahlke, Adrian Hoven</t>
  </si>
  <si>
    <t>Die 17-jährige Christa ist bisher nicht besonders vom Glück verwöhnt worden. Aufgewachsen im Waisenhaus, träumt die Pubertierende von einem Mann, der sie liebt. Auf eine Zeitungsannonce hin beginnt sie, mit einem Unbekannten einen Schriftverkehr zu führen. Mit Hilfe ihrer Freundin Erika, die das Waisenhaus verlassen durfte, um eine Lehrstelle anzutreten, soll sie jetzt ihren umschwärmten Briefpartner endlich persönlich kennen lernen.</t>
  </si>
  <si>
    <t>Der falsche General</t>
  </si>
  <si>
    <t>Il generale Della Rovere</t>
  </si>
  <si>
    <t>tt0053856</t>
  </si>
  <si>
    <t>Vittorio De Sica, Hannes Messemer, Vittorio Caprioli, Nando Angelini, Herbert Fischer</t>
  </si>
  <si>
    <t>Genua ist im Kriegswinter 1943/44 von den Deutschen besetzt; inhaftierte Partisanen erwartet der Abtransport in den Tod. Da taucht der Lebenskünstler Bardone auf, um zwischen der SS und den Verwandten der Häftlinge zu vermitteln * gegen "kleine Aufmerksamkeiten", von denen nur er selbst profitiert. Als die SS sein Spiel durchschaut, will sie ihn zum Spitzel gegen die Widerstandskämpfer machen * als falscher General. Doch da erwacht der Heldenmut des Hochstaplers…</t>
  </si>
  <si>
    <t>Verliebt in scharfe Kurven</t>
  </si>
  <si>
    <t>Il sorpasso</t>
  </si>
  <si>
    <t>Drama, Komödie, Abenteuer</t>
  </si>
  <si>
    <t>tt0056512</t>
  </si>
  <si>
    <t>Vittorio Gassman, Jean-Louis Trintignant, Catherine Spaak, Claudio Gora, Luciana Angiolillo</t>
  </si>
  <si>
    <t>Der großspurige Hallodri Bruno (Vittorio Gassman) überredet den scheuen Studenten Robert (Jean-Louis Trintignant), in sein Sportcoupé zu steigen. Zwei Tage dauert die Tour von Rom nach Livorno, auf der das Leben seine Sonnenseite zeigt und sich die gegensätzlichen Charaktere näher kommen. Doch so kurvenreich die Küstenstraße ist, so schicksalhaft endet auch der Spaß… Regisseur Dino Risi („Der Duft der Frauen“) drehte mit „Il sorpasso“ einen Klassiker des Roadmovies. Unter der unterhaltsamen Oberfläche einer Komödie entwarf er ein meisterhaftes Charakterdrama und nahm den Auto-Fetischismus und die Wirtschaftswundermentalität seiner Landsleute aufs Korn.</t>
  </si>
  <si>
    <t>Kaltblütig</t>
  </si>
  <si>
    <t>In Cold Blood</t>
  </si>
  <si>
    <t>Krimi, Drama, Thriller, Historie</t>
  </si>
  <si>
    <t>tt0061809</t>
  </si>
  <si>
    <t>Robert Blake, Scott Wilson, John Forsythe, Paul Stewart, Gerald S. O'Loughlin</t>
  </si>
  <si>
    <t>Perry Smith und Dick Hickok beschließen, die Farm der Clutters zu überfallen, weil sie sich dort ein größeres Barvermögen versprechen. Der Überfall gelingt, doch es ist kein Geld da. Um nicht identifiziert zu werden, bringen sie die gesamte Familie um. Nach einer detaillierten Suche werden sie gefaßt und es kommt zum Prozeß und zur der Suche nach Gründen...</t>
  </si>
  <si>
    <t>Begierde an schattigen Tagen</t>
  </si>
  <si>
    <t>In the Cool of the Day</t>
  </si>
  <si>
    <t>tt0057178</t>
  </si>
  <si>
    <t>Peter Finch, Jane Fonda, Angela Lansbury, Arthur Hill, Constance Cummings</t>
  </si>
  <si>
    <t>Verleger Murray Logan (Peter Finch) will mit seiner Frau Sibyl in Griechenland urlauben. Er hofft damit seine Ehe zu retten, die seit dem Tod des Sohns schwer angeschlagen ist. Murrays Geschäftsfreund Sam und dessen sensible Frau Christine sollen mitkommen. Als Sam von der Reise zurücktritt, entwickelt sich eine kurze, aber heftige Affäre zwischen Murray und Christine…</t>
  </si>
  <si>
    <t>In der Hitze der Nacht</t>
  </si>
  <si>
    <t>In the Heat of the Night</t>
  </si>
  <si>
    <t>Adult</t>
  </si>
  <si>
    <t>tt0061811</t>
  </si>
  <si>
    <t>Conny Dachs, Goldy Finger, Richard Langin, David Perry</t>
  </si>
  <si>
    <t>Der schwarze Polizist aus Philadelphia, Virgil Tibbs, wird auf der Durchreise in einer Südstaaten-Kleinstadt selbst für den Mörder eines weißen Industriellen gehalten. Als sich seine Unschuld herausstellt, beginnt er, an der Klärung des Falles mitzuarbeiten – in unfreiwilliger Zusammenarbeit mit dem engstirnigen, rassistischen Sheriff, der die Ermittlungen eher behindert als voranbringt. In einer Atmosphäre aus Hass und Vorurteilen nehmen die Beiden den Kampf mit der Zeit zur Aufklärung der schrecklichen Wahrheit auf.</t>
  </si>
  <si>
    <t>Casanova Junior</t>
  </si>
  <si>
    <t>In the Mood</t>
  </si>
  <si>
    <t>tt0093253</t>
  </si>
  <si>
    <t>Patrick Dempsey, Beverly D'Angelo, Talia Balsam, Michael Constantine, Kathleen Freeman</t>
  </si>
  <si>
    <t>In dem prüden Amerika der vierziger Jahre ist Sonny alles andere als ein ganz normaler Teenager. Mit 14 Jahren brennt er mit seinem großen Schwarm, der 21-jährigen Judy durch und heiratet sie kurzentschlossen. Aber die Ehe hält nur einen Tag. Nicht daß Sonny sie gleich in der Hochzeitsnacht enttäuscht hätte, nein er ist ein phantastischer Liebhaber, nur leider viel zu jung. Moral und Gesetz stehen gegen diese Liebe, die beiden werden verhaftet. Judy bekommt drei Jahre mit Bewährung wegen Kindesentführung und Sonny wird zum Held - in allen Zeitungen erscheinen sensationelle Berichte. Kaum ist Gras über seine erste Affaire gewachsen, fängt Sonny schon die nächste an. Er kann´s einfach nicht lassen. Diesmal kommt er nicht so einfach davon.</t>
  </si>
  <si>
    <t>Ich will mein Leben leben</t>
  </si>
  <si>
    <t>In This Our Life</t>
  </si>
  <si>
    <t>tt0034890</t>
  </si>
  <si>
    <t>Bette Davis, Olivia de Havilland, George Brent, Dennis Morgan, Charles Coburn</t>
  </si>
  <si>
    <t>Kurz vor der Hochzeit mit Craig brennt Stanley Timberlake mit Peter, dem Mann ihrer Schwester Roy, durch. Nach seiner Scheidung heiratet sie ihn, doch die Spannungen zwischen ihnen treiben Peter in den Selbstmord. Stanley kehrt nach Hause zurück und muss erfahren, dass Roy inzwischen mit Craig verlobt ist. Sie versucht, Craig zurück zu gewinnen. Als sie einen Autounfall verursacht, bei dem ein Kind ums Leben kommt, behauptet sie, der Schwarze Parry habe ihren Wagen gefahren. Vergeblich versuchen Roy und Craig sie dazu zu bewegen, die Wahrheit zu sagen...</t>
  </si>
  <si>
    <t>Jennifer 8</t>
  </si>
  <si>
    <t>tt0104549</t>
  </si>
  <si>
    <t>Andy Garcia, Uma Thurman, Lance Henriksen</t>
  </si>
  <si>
    <t>Sie sind Frauen, sie sind blind, und sie wurden Opfer eines brutalen Serienmörders. Ihr gemeinsamer Deckname in den Akten der Polizei: Jennifer. Der Ermittler John Berlin hofft, endlich den Durchbruch in diesem Fall geschafft zu haben – in Helena, einem blinden jungen Mädchen, hat er eine Zeugin gefunden! Aber wer schenkt der Aussage einer blinden Zeugin Glauben? Wer traut Berlin noch, als er im Laufe der Untersuchungen selbst in Verdacht gerät? Wer verhindert, dass die verletzliche Helena die nächste Jennifer wird?</t>
  </si>
  <si>
    <t>PH</t>
  </si>
  <si>
    <t>Action, Sport</t>
  </si>
  <si>
    <t>Tony Ferrer, Bernard Belleza, Vilma Valera</t>
  </si>
  <si>
    <t>Papa braucht eine Braut</t>
  </si>
  <si>
    <t>Kathleen</t>
  </si>
  <si>
    <t>tt0033780</t>
  </si>
  <si>
    <t>Shirley Temple, Herbert Marshall, Laraine Day, Gail Patrick, Felix Bressart</t>
  </si>
  <si>
    <t>Armes reiches Mädchen: Die zwölfjährige Kathleen fühlt sich einsam und unverstanden. Ihre Mutter starb bei ihrer Geburt; und ihr Vater, ein erfolgreicher Geschäftsmann, lässt sich nur selten zu Hause blicken. Ein weiteres Problem stellt die Gouvernante Mrs. Farrell dar, die Kathleen wie eine Gefangene hält. Als Vater auch noch seine neue Freundin Lorraine vorstellt, bricht für Kathleen die Welt endgültig zusammen: Papas Neue passt ihr überhaupt nicht. Umso glücklicher ist die Kleine, als ihre Gouvernante durch die Psychologin Dr. Kent abgelöst wird: eine verständnisvolle, gutherzige und obendrein auch noch verdammt hübsche junge Frau. Für Kathleen ist jetzt alles klar: Dr. Kent muss Papas neue Frau werden.</t>
  </si>
  <si>
    <t>Keine Leiche ohne Lily</t>
  </si>
  <si>
    <t>Comedy, Crime</t>
  </si>
  <si>
    <t>tt0271026</t>
  </si>
  <si>
    <t>Grethe Weiser, Heinz Engelmann, Gert Günther Hoffmann</t>
  </si>
  <si>
    <t>Eine deutsche TV-Komödie-Theateraufführung</t>
  </si>
  <si>
    <t>Küss mich, Dummkopf</t>
  </si>
  <si>
    <t>Kiss Me, Stupid</t>
  </si>
  <si>
    <t>tt0058265</t>
  </si>
  <si>
    <t>Dean Martin, Kim Novak, Ray Walston, Felicia Farr, Cliff Osmond</t>
  </si>
  <si>
    <t>Dino ist ein großer Sänger und Star in den USA. Er spielt nur vor ausverkauftem Haus und die Frauen liegen ihm zu Füßen. Als er sich gerade auf dem Weg nach einer Show von Las Vegas nach Hollywood befindet, macht er in einem kleinen verschlafenen Städtchen in Nevada halt. Hier wird er von den beiden Hobby-Musikern Orville und Barney erkannt. Die beiden wittern ihre große Chance auf den eigenen Durchbruch und wollen Dino über Nacht in ihrer Stadt behalten. Dazu legen sie sein Auto lahm und setzen Orvilles Ehefrau Polly  auf Dino an, damit diese den Schürzenjäger um den Finger wickelt. Dann wollen sie Dino überzeugen, dass er mit ihren geschriebenen Songs auftritt, damit sie endlich zu ihrem Ruhm kommen. Doch natürlich verläuft nicht alles nach Plan...</t>
  </si>
  <si>
    <t>Die 317. Sektion</t>
  </si>
  <si>
    <t>La 317ème Section</t>
  </si>
  <si>
    <t>Kriegsfilm, Historie, Drama</t>
  </si>
  <si>
    <t>tt0058863</t>
  </si>
  <si>
    <t>Jacques Perrin, Bruno Cremer, Pierre Fabre, Manuel Zarzo, Boramy Tioulong</t>
  </si>
  <si>
    <t>1954, Laos – noch acht Tage vor der französischen Niederlage im Indochina-Krieg: Eine Gruppe Soldaten, vier Franzosen und 41 Laoten, sollen sich von ihrem Außenposten an der nördlichen Landesgrenze zurück ins Landesinnere durch den undurchdringlichen Dschungel kämpfen.  1954 tobt in Laos bereits seit acht Jahren der Indochina-Krieg zwischen der Kolonialmacht Frankreich und den kommunistischen Viet Minh. Am nördlichen Grenzposten erreicht die 317. Sektion – eine Gruppe aus vier französischen Soldaten und 41 laotischen Kämpfern – der Befehl, sich ins Landesinnere nach Dien Bien Phu zurückzuziehen. Dort versammeln sich die imperialistischen Streitkräfte für ein letztes Kräftemessen gegen den kommunistischen Gegner im Norden. Doch bis Dien Bien Phu sind es über 150 Kilometer undurchdringlicher Dschungel, tropische Hitze, verseuchtes Wasser, Fieberwahn und immer wieder Guerillaangriffe aus dem Hinterhalt.</t>
  </si>
  <si>
    <t>Louis de Funes</t>
  </si>
  <si>
    <t>La folle aventure de Louis de Funès</t>
  </si>
  <si>
    <t>tt12600988</t>
  </si>
  <si>
    <t>Isabelle Nanty, Bourvil, Colette Brosset</t>
  </si>
  <si>
    <t>Für viele ist Louis de Funès mit seinen Figuren identisch: Der Dirigent aus "Drei Bruchpiloten in Paris", der flüchtige Industrielle aus "Die Abenteuer des Rabbi Jacob", der spanische Grandseigneur aus "Die dummen Streiche der Reichen". Sie sind so vertraut, dass man glaubt, denjenigen, der sie verkörpert, auswendig zu kennen. Aber wer war Louis de Funès wirklich? Der Film, der ausschließlich aus Archivmaterial besteht, bietet eine Begegnung mit dem intimen Louis de Funès. Anhand von unveröffentlichten persönlichen Dokumenten, Familienfilmen, handschriftlichen Notizen und Interviews, die er im Laufe seiner Karriere gegeben hat, enthüllt sich der beliebteste Komiker der Franzosen nach und nach. Seine Stimme vermischt sich mit der der Erzählerin Isabelle Nanty, die den Film durch ihren zeitgenössischen Blick auf den Komiker bereichert.</t>
  </si>
  <si>
    <t>Das Haus unter den Bäumen</t>
  </si>
  <si>
    <t>La Maison sous les arbres</t>
  </si>
  <si>
    <t>Mystery, Drama</t>
  </si>
  <si>
    <t>tt0067382</t>
  </si>
  <si>
    <t>Faye Dunaway, Frank Langella, Barbara Parkins, Karen Blanguernon, Raymond Gérôme</t>
  </si>
  <si>
    <t>Die in Paris lebende Jill (Faye Dunaway) ist mit Philippe (Frank Langella) verheiratet und hat zwei Kinder mit ihm. Die Idylle beginnt zu bröckeln, als die attraktive Frau nach und nach ihr Gedächtnis zu verlieren scheint. Parallel dazu wird ihr Mann, der als Forscher in der Mathematik tätig ist, von Unbekannten bedroht. Als ob dies noch nicht genug wäre, verschwinden eines Tages auch noch ihre Kinder spurlos. Wer will die Familie an die Grenze des Wahnsinns treiben? Und warum?</t>
  </si>
  <si>
    <t>Das Reismädchen</t>
  </si>
  <si>
    <t>La risaia</t>
  </si>
  <si>
    <t>tt0049678</t>
  </si>
  <si>
    <t>Elsa Martinelli, Folco Lulli, Michel Auclair, Rik Battaglia, Vivi Gioi</t>
  </si>
  <si>
    <t>Ein Gutsbesitzer opfert sich für die Arbeiterin, in der er sein uneheliches Kind wiedererkennt.</t>
  </si>
  <si>
    <t>Die Straße nach Salina</t>
  </si>
  <si>
    <t>La Route de Salina</t>
  </si>
  <si>
    <t>ITA,FRA</t>
  </si>
  <si>
    <t>tt0067681</t>
  </si>
  <si>
    <t>Mimsy Farmer, Robert Walker Jr., Rita Hayworth, Ed Begley, Sophie Hardy</t>
  </si>
  <si>
    <t>Der Reisende Jonas (Robert Walker Jr.) steigt in einem Rasthaus nahe der Straße nach Salina ab. Die Inhaberin (Rita Hayworth) und ihre Tochter erkennen in ihm ihren vermissten Sohn und Bruder Rocky. Jonas versucht nun, das Rätsel um Rocky zu lösen...</t>
  </si>
  <si>
    <t>La Strada - Das Lied der Straße</t>
  </si>
  <si>
    <t>La strada</t>
  </si>
  <si>
    <t>tt0047528</t>
  </si>
  <si>
    <t>Giulietta Masina, Anthony Quinn, Richard Basehart, Aldo Silvani, Marcella Rovere</t>
  </si>
  <si>
    <t>Für ein paar Groschen kauft sich der grobschlächtige Gaukler Zampano eine neue Assistentin, das naive Mädchen Gelsomina. Obwohl Gelsomina von Zampano verachtet und mißhandelt wird, fühlt sie sich an ihn gebunden und hält unbeirrbar zu ihm. Eines Tages tötet er den verrückten Seiltänzer Matto, der für Gelsomina ein echter Freund war. Diese Tat bringt eine entscheidende Wende für ihrer beider Leben.</t>
  </si>
  <si>
    <t>Der Zeuge hinter der Wand</t>
  </si>
  <si>
    <t>La tua presenza nuda!</t>
  </si>
  <si>
    <t>ESP,GBR,ITA</t>
  </si>
  <si>
    <t>Horror, Drama, Thriller</t>
  </si>
  <si>
    <t>tt0067489</t>
  </si>
  <si>
    <t>Mark Lester, Britt Ekland, Hardy Krüger, Lilli Palmer, Harry Andrews</t>
  </si>
  <si>
    <t>Die Ehefrau des erfolgreichen Autors Paul Bezant stirbt unter ungeklärten Umständen in der eigenen Badewanne. Die Polizei tut es als Unfall ab. Mit der attraktiven Elise zieht in die wunderschöne, aber abgelegene Villa eine neue Frau an der Seite des Schriftstellers ein. Doch die beschauliche Idylle wird langsam zu einem Alptraum. Schließlich stellt sich die Frage, ob das Unglück, bei dem Pauls erste Ehefrau ums Leben kam, nicht in Wirklichkeit ein Mord war ...</t>
  </si>
  <si>
    <t>An einem Freitag in Las Vegas</t>
  </si>
  <si>
    <t>Las Vegas: 500 millones</t>
  </si>
  <si>
    <t>Drama, Krimi</t>
  </si>
  <si>
    <t>tt0063684</t>
  </si>
  <si>
    <t>Gary Lockwood, Elke Sommer, Lee J. Cobb, Jean Servais, Georges Géret</t>
  </si>
  <si>
    <t>Toni will einen Geldtransporter von Fuhrunternehmer Skorsky knacken. Dessen sexy Sekretärin Anne liefert ihm die Route durch die Wüste, wo Toni den Wagen verschwinden lässt. Die Polizei sucht vergebens...</t>
  </si>
  <si>
    <t>Die rote Herberge</t>
  </si>
  <si>
    <t>L'Auberge rouge</t>
  </si>
  <si>
    <t>tt0043303</t>
  </si>
  <si>
    <t>Fernandel, Françoise Rosay, Marie-Claire Olivia, Jean-Roger Caussimon, Nane Germon</t>
  </si>
  <si>
    <t>In einer stürmischen Winternacht in den Bergen der Ardèche erreichen ein Mönch und sein Novize glücklich eine abgelegene Herberge. Zunächst scheint dort alles sehr warm und herzlich zuzugehen und die illustre Herbergsgemeinschaft findet sich alsbald um den großen Tisch zu einem warmen Mahl ein. Doch noch bevor der Mönch seine Suppe richtig genießen kann, wird er in ein Nebenzimmer abberufen, denn die Herbergsmutter Marie Martin möchte ihre Beichte ablegen.  Was der Mönch hierbei erfährt, lässt ihm das Blut in den Adern gefrieren: Marie und ihr Mann Pierre haben über die Jahre Hunderte Herbergsgäste ins Jenseits befördert, kein Gast hat die Unterkunft je lebend verlassen. „Alle oder keiner“, so lautet Pierres Motto. Der Mönch bekommt es mit der Angst zu tun und würde gerne die übrigen Reisenden warnen, doch das Schweigegelübde verbietet es ihm, irgendetwas davon preiszugeben, was ihm die Gastwirtin anvertraut hat.</t>
  </si>
  <si>
    <t>Herzlich willkommen im Kittchen</t>
  </si>
  <si>
    <t>Law and Disorder</t>
  </si>
  <si>
    <t>tt0051847</t>
  </si>
  <si>
    <t>Michael Redgrave, Robert Morley, Lionel Jeffries, Ronald Squire, Elizabeth Sellars</t>
  </si>
  <si>
    <t>Stürmische Jugend</t>
  </si>
  <si>
    <t>Le Diable au corps</t>
  </si>
  <si>
    <t>tt0038476</t>
  </si>
  <si>
    <t>Micheline Presle, Gérard Philipe, Denise Grey, Jean Debucourt, Pierre Palau</t>
  </si>
  <si>
    <t>Eine Liebesgeschichte in den Wirren des Ersten Weltkrieges: Marthe Grangier arbeitet als Krankenschwester in einem Militärkrankenhaus. Sie ist mit Jacques verlobt, der als Soldat an der Front kämpft. Als sie François begegnet, einem 17-jährigen Schüler, zu jung, um in den Krieg zu ziehen, nimmt sie ihn zum Geliebten. Auch François ist von der um ein paar Jahre älteren Frau fasziniert, und sie beginnen eine leidenschaftliche Affäre. Diese wird zwar gelegentlich durch den Heimaturlaub ihres Verlobten unterbrochen, aber nur, um dann umso leidenschaftlicher weiterzugehen. Als Jacques endgültig nach Hause kommt, heiraten die beiden. Dann wird Marthe von François schwanger und die Katastrophe nimmt ihren Lauf ...</t>
  </si>
  <si>
    <t>Der eiskalte Engel</t>
  </si>
  <si>
    <t>Le Samouraï</t>
  </si>
  <si>
    <t>tt0062229</t>
  </si>
  <si>
    <t>Alain Delon, François Périer, Nathalie Delon, Cathy Rosier, Michel Boisrond</t>
  </si>
  <si>
    <t>Nach dem Mord an einem Jazzclubbesitzer wird der Auftragskiller Jef Costello bei einer Razzia von der Polizei festgenommen. Doch die Hauptzeugin des Mordes, die den Täter eindeutig erkannt hat, deckt Costello. Der wird freigelassen, aber weiterhin beschattet. Durch die ungewollte Nähe zur Polizei stellt er eine Gefahr für den Auftraggeber des Mordes dar, der nun Costello selbst ans Leben will. Nach und nach zieht sich das Netz um den schweigsamen Killer immer weiter zu. Melvilles „Eiskalter Engel“ gilt als einer der Klassiker des französischen Kriminalfilms. Der Film, der zwischen Nouvelle Vague und Film Noir angesiedelt werden kann, bezieht sich auf den Roman „The Ronin“ von Joan McLeod.</t>
  </si>
  <si>
    <t>In Liebe eine 1</t>
  </si>
  <si>
    <t>L'eclisse</t>
  </si>
  <si>
    <t>tt0056736</t>
  </si>
  <si>
    <t>Alain Delon, Monica Vitti, Francisco Rabal, Lilla Brignone, Rossana Rory</t>
  </si>
  <si>
    <t>Ein grundsolider Familienvater, Vorsitzender des Erziehungsausschusses seiner Heimatstadt, will nichts anderes, als seine halbwüchsige Tochter vor der bösen Welt bewahren. Als die Tochter aufs College kommt, macht er sich derartige Sorgen, dass er sie von der Schule nehmen und nach Europa bringen will. Genau das muss er vor dem Erziehungsausschuss erklären. Töchterchen entwickelt sich derweil zur Bohemien.</t>
  </si>
  <si>
    <t>Arsène Lupin, der Millionendieb</t>
  </si>
  <si>
    <t>Les Aventures d'Arsène Lupin</t>
  </si>
  <si>
    <t>IT, FR</t>
  </si>
  <si>
    <t>Krimi, Komödie, Mystery</t>
  </si>
  <si>
    <t>tt0050152</t>
  </si>
  <si>
    <t>Robert Lamoureux, Liselotte Pulver, O.E. Hasse, Daniel Ceccaldi, Georges Chamarat</t>
  </si>
  <si>
    <t>Arsène Lupin entwendet zwei Gemälde alter Meister, stiehlt Edelsteine, ruft den Polizeipräfekten an, um der Verhaftung zu entgehen und räumt schließlich den Tresor von Kaiser Wilhelm II. im Elsass aus, bevor er in dessen Dienste tritt.</t>
  </si>
  <si>
    <t>Frühstück mit dem Killer</t>
  </si>
  <si>
    <t>Les Étrangers</t>
  </si>
  <si>
    <t>tt0064351</t>
  </si>
  <si>
    <t>Michel Constantin, Senta Berger, Julián Mateos, Hans Meyer, Alberto Fernández</t>
  </si>
  <si>
    <t>Drei Gangster überfallen eine Bank in einer verschlafenen US-Kleinstadt, in der Rohdiamanten einer Minengesellschaft aufbewahrt werden. Der skrupellose Kaine geht dabei besonders brutal vor und erschießt vier Menschen. Als seine zwei Komplizen getötet werden, gelingt ihm die Flucht in die Berge, wo er die Beute in einer stillgelegten Mine verstecken kann, bevor er vollkommen entkräftet zusammenbricht. Am nächsten Morgen wird er von Chamoun aufgelesen, der sich mit seiner schönen Frau May in einer Berghütte vor Killern der Mafia versteckt hält. Chamoun gewährt Kaine Unterschlupf und versteckt ihn vor Sheriff Blade der unbedingt das Kopfgeld, das auf den Bankräuber ausgesetzt ist, kassieren will. Im Gegenzug verlangt Chamoun allerdings die Hälfte der Beute, damit er sich mit May nach Europa absetzen kann...</t>
  </si>
  <si>
    <t>Einer bleibt auf der Strecke</t>
  </si>
  <si>
    <t>Les Grandes Gueules</t>
  </si>
  <si>
    <t>Abenteuer, Komödie, Drama</t>
  </si>
  <si>
    <t>tt0059241</t>
  </si>
  <si>
    <t>Lino Ventura, Bourvil, Marie Dubois, Jean-Claude Rolland, Jess Hahn</t>
  </si>
  <si>
    <t>Hector Valentin übernimmt das veraltete Sägewerk seines verstorbenen Vaters. Auf Anraten seiner Mitarbeiter Laurent und Mick stellt er Strafgefangene als Arbeitskräfte ein. Als Hectors Betrieb zu florieren beginnt, wird der Inhaber eines modernen Werks auf die kleine Firma aufmerksam und versucht, durch Sabotage den Konkurrenten auszuschalten. Laurent und Mick verfolgen dabei einen eigenen Plan.</t>
  </si>
  <si>
    <t>Sie küßten und sie schlugen ihn</t>
  </si>
  <si>
    <t>Les Quatre Cents Coups</t>
  </si>
  <si>
    <t>tt0053198</t>
  </si>
  <si>
    <t>Jean-Pierre Léaud, Claire Maurier, Albert Rémy, Georges Flamant, Patrick Auffay</t>
  </si>
  <si>
    <t>Der dreizehn Jahre alte Antoine hat keinen leichten Stand: Seine eiskalte Mutter und der Stiefvater kümmern sich nicht um ihn, und auch sein Lehrer nimmt ihn nicht sonderlich ernst. Als er seine Mutter auf der Straße mit ihrem Geliebten sieht, behauptet er in der Schule, sie sei tot. Für die Lüge kassiert Antoine zu Hause eine Ohrfeige. Er reißt aus. Bei dem Versuch, Geld aus dem Büro des Vaters zu stehlen, wird er ertappt und in ein Heim gesteckt. Wieder flüchtet Antoine. Er will um jeden Preis ans Meer, das er noch nie zuvorgesehen hat...</t>
  </si>
  <si>
    <t>Verleumdung</t>
  </si>
  <si>
    <t>Les Risques du métier</t>
  </si>
  <si>
    <t>PIDAX</t>
  </si>
  <si>
    <t>tt0062204</t>
  </si>
  <si>
    <t>Jacques Brel, Emmanuelle Riva, René Dary, Nadine Alari, Christine Fabréga</t>
  </si>
  <si>
    <t>Ein Kleinstadtlehrer wird von Schülerinnen bezichtigt, sich ihnen unsittlich genähert zu haben, und kann nur mit Mühe seine Unschuld beweisen.</t>
  </si>
  <si>
    <t>Verhandlungssache</t>
  </si>
  <si>
    <t>Liebe ist Verhandlungssache</t>
  </si>
  <si>
    <t>tt1405507</t>
  </si>
  <si>
    <t>Aglaia Szyszkowitz, Heikko Deutschmann, Nadja Tiller</t>
  </si>
  <si>
    <t>Lieutenant Danny Roman ist in Chicago der beste Vermittler zwischen Geiselnehmer und Polizei. Gerade hat er wieder einen Fall erfolgreich abgeschlossen, da wird sein Partner Nathan erschossen, kurz nachdem dieser Danny in einen Fall von Korruption und Betrug eingeweiht hat. Es gibt nämlich Individuen in den eigenen Reihen, die sich aus dem Invaliditäts-Fond bedienen. Danny wird beschuldigt, Nathans Mörder zu sein und anscheinend will ihm niemand zuhören, offensichtlich will man ihm den Mord in die Schuhe schieben. Nathan sieht in der Eile und Panik keine andere Möglichkeit, er nimmt sich vier Geiseln, unter anderem den Leiter der Dienstaufsicht Terence Niebaum und dessen Sekretärin. Als Führer der Verhandlung fordert er den auswärtigen Spezialisten Chris Sabian an, denn er weiß, daß nur ein Außenstehender Licht in die Sache bringen kann und er nur einem Fremden trauen kann. Die zwei beginnen zu verhandeln …</t>
  </si>
  <si>
    <t>Ein reizender Fratz</t>
  </si>
  <si>
    <t>Little Miss Marker</t>
  </si>
  <si>
    <t>tt0081063</t>
  </si>
  <si>
    <t>Walter Matthau, Julie Andrews, Tony Curtis, Bob Newhart, Lee Grant</t>
  </si>
  <si>
    <t>Amerika zur Zeit der Großen Depression in den 1930er Jahren: Die Geschäfte des notorisch missmutigen Buchmachers Sorrowful Jones laufen mehr schlecht als recht. Seit neuestem muss er sich außerdem noch um ein sechsjähriges Mädchen kümmern, das einer seiner Kunden als "Wettpfand" bei ihm zurückgelassen hat. Jones verrichtet seine ungewollten Vaterpflichten zunächst widerwillig, schließt die aufgeweckte Kleine aber schon bald in sein Herz. Nach und nach entdeckt Jones so nicht nur seine lange verschüttete gute Seite, sondern findet schließlich auch die Frau fürs Leben...</t>
  </si>
  <si>
    <t>Heirate nie in Monte Carlo</t>
  </si>
  <si>
    <t>Loser Takes All</t>
  </si>
  <si>
    <t>tt0049451</t>
  </si>
  <si>
    <t>Glynis Johns, Rossano Brazzi, Robert Morley, Tony Britton, Felix Aylmer</t>
  </si>
  <si>
    <t>Heiraten will gelernt sein</t>
  </si>
  <si>
    <t>Love and Kisses</t>
  </si>
  <si>
    <t>LO,US</t>
  </si>
  <si>
    <t>tt0059408</t>
  </si>
  <si>
    <t>Ricky Nelson, Kristin Harmon, Jack Kelly, Madelyn Himes, Sheilah Wells</t>
  </si>
  <si>
    <t>Robin Crusoe, der Amazonenhäuptling</t>
  </si>
  <si>
    <t>Lt. Robin Crusoe U.S.N.</t>
  </si>
  <si>
    <t>Abenteuer, Komödie, Familie</t>
  </si>
  <si>
    <t>tt0060640</t>
  </si>
  <si>
    <t>Dick Van Dyke, Nancy Kwan, Akim Tamiroff, Arthur Malet, Tyler McVey</t>
  </si>
  <si>
    <t>Navy-Pilot Robin Crusoe muß unverrichteter Dinge auf einem Übungsflug im Pazifik plötzlich aus seiner Maschine aussteigen und landet im Ozean. Nach einigen Überlebensproblemen strandet er auf einer anscheinend einsamen Insel, wo er sich mittels Gegenständen aus einem gestrandeten U-Boot notgedrungen so häuslich wie möglich einrichtet. Ein Schimpanse wird ein treuer Begleiter und eines Tages steht plötzlich das hübsche Insulanermädchen Mittwoch vor seiner Hütte. Mittwoch soll bald heiraten und wurde solange von ihrem Stamm samt Bräutigam isoliert. Als Robins Aufenthalt bei Mittwoch jedoch beim Stamm bekannt wird, wird der Junggeselle bald gejagt...</t>
  </si>
  <si>
    <t>Versuch's doch mal mit meiner Frau</t>
  </si>
  <si>
    <t>Luv</t>
  </si>
  <si>
    <t>tt0061927</t>
  </si>
  <si>
    <t>Jack Lemmon, Peter Falk, Elaine May, Nina Wayne, Eddie Mayehoff</t>
  </si>
  <si>
    <t>Ein in Liebe und Beruf erfolgloser junger Mann wird von einem Freund von seinen Selbstmordgedanken abgebracht. Als Gegenleistung heiratet er dessen zunächst scheidungsunwillige Frau, damit der Lebensretter seine Geliebte heiraten kann.</t>
  </si>
  <si>
    <t>Macao</t>
  </si>
  <si>
    <t>tt0044863</t>
  </si>
  <si>
    <t>Robert Mitchum, Jane Russell, William Bendix</t>
  </si>
  <si>
    <t>Der Ex-Matrose Nick, die Barsängerin Julie und der Geschäftsmann Trumble treffen gemeinsam mit der Fähre in Macao vor der Küste Chinas ein. Dort wurde der Unterweltboss Halloran vom korrupten Polizisten Sebastian bereits über die bevorstehende Ankunft eines amerikanischen Undercovercops informiert, der es auf ihn abgesehen hat. Der Verdacht fällt auf Nick, der sich bemüht, einen Job in Hallorans Casino zu bekommen. Dort findet auch Julie ein Engagement als Sängerin, sehr zum Missfallen von Hallorans Freundin Margie.</t>
  </si>
  <si>
    <t>Madame Curie</t>
  </si>
  <si>
    <t>Biography, Drama, Romance</t>
  </si>
  <si>
    <t>tt0036126</t>
  </si>
  <si>
    <t>Greer Garson, Walter Pidgeon, Henry Travers</t>
  </si>
  <si>
    <t>In einer Zeit, in der Frauen nur als Zierde, Mütter oder Arbeitstiere gelten, will die junge Marie Sklodowska mehr erreichen. Sie bricht mit den Konventionen und studiert an der Sorbonne in Paris Physik und Mathematik. Gemeinsam mit Pierre Curie, der später ihr Ehemann wird, gelingt ihr eine der größten Wissenschaftsentdeckungen des 20. Jahrhunderts.</t>
  </si>
  <si>
    <t>Beeil dich zu leben</t>
  </si>
  <si>
    <t>Make Haste to Live</t>
  </si>
  <si>
    <t>tt0047205</t>
  </si>
  <si>
    <t>Dorothy McGuire, Stephen McNally, Mary Murphy, Edgar Buchanan, John Howard</t>
  </si>
  <si>
    <t>Eine Frau sieht sich den Rachegelüsten ihres Mannes ausgesetzt, den sie aus Enttäuschung über seine Gangstervergangenheit unschuldig ins Zuchthaus brachte.</t>
  </si>
  <si>
    <t>Kein Platz für Eltern</t>
  </si>
  <si>
    <t>Make Way for Tomorrow</t>
  </si>
  <si>
    <t>tt0029192</t>
  </si>
  <si>
    <t>Victor Moore, Beulah Bondi, Fay Bainter, Thomas Mitchell, Porter Hall</t>
  </si>
  <si>
    <t>Ein altes Ehepaar muss sich aufgrund des Verlustes des eigenen Heimes trennen, um bei ihren Kindern zu leben, die inzwischen selbst eigenen Familien haben. Doch die beiden erweisen sich eher als störend für den Familienalltag. Leo McCareys gilt als unterschätzes Meisterwerk .Kein Platz für Eltern (OT: Make Way for Tomorrow), von dem Orson Welles einmal bemerkte, dass es selbst Steine zum Weinen bringen könnte.</t>
  </si>
  <si>
    <t>Mein Freund Harvey</t>
  </si>
  <si>
    <t>tt0300188</t>
  </si>
  <si>
    <t>Heinz Rühmann, Susi Nicoletti, Charles Regnier</t>
  </si>
  <si>
    <t>Elwood P. Dowd ist ein gutmütiger und freundlicher Zeitgenosse. Zusammen mit einem riesigen imaginären Kaninchen, das nur er sehen kann, geht er durchs Leben. Doch Elwoods Krankheit passt seiner Schwester so gar nicht und sie beschließt kurzerhand, ihn in ein Sanatorium einliefern zu lassen. Ausgezeichnet mit dem Oscar für die beste Nebendarstellerin.</t>
  </si>
  <si>
    <t>Mein Mann der fährt zur See</t>
  </si>
  <si>
    <t>Mein Mann, der fährt zur See</t>
  </si>
  <si>
    <t>tt0161798</t>
  </si>
  <si>
    <t>Christa Wehling, Werner Riepel, Heidi Kabel</t>
  </si>
  <si>
    <t>Die gemütliche Hafenkneipe "Störtebeker" wird vom Schiffskoch Karl Brammer gemeinsam mit seiner Frau Mary geführt. Eines Tages wird Karl bei einer kleinen Schmuggelei erwischt und muß für drei Monate ins Gefängnis. Mary verschweigt lieber die Wahrheit und erzählt, daß ihr Mann wieder zur See fährt. Doch dann schlägt das Schicksal zu: Das vermeintliche Schiff geht mit Mann und Maus unter und alle, die glauben, etwas von Karl erben zu können, stürmen Marys Haus. Bei soviel "Mitgefühl" der trauernden Verwandtschaft muß der Totgeglaubte selbst für Ordnung sorgen.</t>
  </si>
  <si>
    <t>Mister Cory</t>
  </si>
  <si>
    <t>tt0050710</t>
  </si>
  <si>
    <t>Tony Curtis, Martha Hyer, Charles Bickford</t>
  </si>
  <si>
    <t>Cory, ein ehrgeiziger Junge aus den Slums von Chicago mit einer Vorliebe fürs Glücksspiel, bekommt einen Job als Hilfskellner in einem noblen Resort in Wisconsin ... wo sein eigentliches Ziel darin besteht, mit Personal und Gästen zu spielen und reiche junge Damen zu umwerben. Es folgen Rückschläge, dennoch steigt Cory schließlich in der Welt des professionellen Glücksspiels auf. Die glamourösen Vollard-Schwestern kann er jedoch einfach nicht vergessen, weswegen ihm ein tieferer Abstieg droht.</t>
  </si>
  <si>
    <t>Moby Dick</t>
  </si>
  <si>
    <t>tt0049513</t>
  </si>
  <si>
    <t>Gregory Peck, Richard Basehart, Leo Genn</t>
  </si>
  <si>
    <t>Obwohl sie vom wahnsinnig wirkenden Elias davor gewarnt werden, heuern der Matrose Ismael und der Harpunier Queequeg auf dem Walfangschiff „Pequod“ an. Dass sich Ahab, der Kapitän dieses Schiffs, an Bord befindet, vermittelt sich ihnen in den ersten Tagen auf See nur durch die Geräusche, die sein künstliches Bein nachts auf Deck verursacht. Schließlich bekommen sie ihn zu Gesicht. Ahab trägt eine Beinprothese, die aus dem Kieferknochen eines Pottwals angefertigt worden ist. Dieser ungewöhnliche Werkstoff ist damit zu erklären, dass der Kapitän einen weißen Wal namens Moby Dick für den Verlust seines Beins verantwortlich macht.</t>
  </si>
  <si>
    <t>Monpti</t>
  </si>
  <si>
    <t>tt0050721</t>
  </si>
  <si>
    <t>Romy Schneider, Horst Buchholz, Mara Lane</t>
  </si>
  <si>
    <t>In einem Park in Paris lernen sich ein junger, ungarischer Student und die 17-jährige Anne-Claire kennen. Sie nennt ihn Monpti – also mon petit – „Mein Kleiner“. Die beiden verlieben sich ineinander und verleben eine glückliche Zeit. Anne-Claire behauptet, Tochter eines reichen Elternhauses zu sein, aber Monpti kommt bald dahinter, dass sie tatsächlich aus ärmlichen Verhältnissen kommt. Verärgert darüber, von ihr belogen worden zu sein, gibt Monpti ihr auf der Straße eine Ohrfeige und lässt sie stehen. Als Anne-Claire seinem Taxi nachläuft, wird sie überfahren. Auf dem Krankenbett verspricht er, sie zu heiraten, doch Anne-Claire stirbt kurze Zeit später an ihren Verletzungen.  Parallel wird die Geschichte eines zweiten Paares gezeigt, dessen Beziehung in starkem Kontrast zur Haupthandlung steht.</t>
  </si>
  <si>
    <t>Mord nach Maß</t>
  </si>
  <si>
    <t>tt6745644</t>
  </si>
  <si>
    <t>Bob Cunningham, Holger Hagen, Karl Lieffen, Walter Rilla</t>
  </si>
  <si>
    <t>Trotz des Widerstands ihrer Familie heiratet die schwerreiche Amerikanerin Ellie (Ex-Kinderstar Hayley Mills) ihren Chauffeur Michael (Hywell Bennett). Auch die Warnungen über ihre angeblich verfluchte Traumvilla schlagen die jungen Eheleute in den Wind - bis Ellie von einem Reitausflug nicht mehr zurückkehrt. Eng am Roman und modernisiert erlebt der Zuschauer die spannende Geschichte eines frisch vermählten Ehepaares aus verschiedenen sozialen Schichten in seinem auf dem Land gelegenen Traumhauses. Dort geschehen seltsame Dinge, auch der Tod hält Einzug. Was steckt hinter all diesen Ereignissen?</t>
  </si>
  <si>
    <t>Der Schlafwagenmörder</t>
  </si>
  <si>
    <t>Mördaren - en helt vanlig person</t>
  </si>
  <si>
    <t>Komödie, Mystery, Thriller</t>
  </si>
  <si>
    <t>tt0062023</t>
  </si>
  <si>
    <t>Allan Edwall, Heinz Hopf, Björn Gustafson, Lars Ekborg, Elsa Prawitz</t>
  </si>
  <si>
    <t>Nachtzug nach Stockholm. Eine Blondine wird brutal ermordet und aus dem fahrenden Zug geschmissen. Wer ist der Täter? Der Armee-Offizier? Der aggressive Schwule? Der psychisch Kranke? Der zynische Alkoholiker? Inspektor Holm nimmt die Ermittlungen auf. Doch die Mordlust des Täters ist noch nicht gestillt...</t>
  </si>
  <si>
    <t>Mr. Hobbs macht Ferien</t>
  </si>
  <si>
    <t>Mr. Hobbs Takes a Vacation</t>
  </si>
  <si>
    <t>tt0056255</t>
  </si>
  <si>
    <t>James Stewart, Maureen O'Hara, Fabian, Lauri Peters, Lili Gentle</t>
  </si>
  <si>
    <t>Mr. Roger Hobbs, ein schwer arbeitender Familienvater, plant für den Urlaub dieses Jahr eine schöne Weltreise nur für sich und seine Frau. Doch diese macht ihm einen Strich durch die Rechnung: Sie möchte mit der ganzen Familie einschließlich Enkelkinder den Urlaub in einem Ferienhaus am Meer verbringen. Dieses erweist sich beim Eintreffen auch noch als Bruchbude. Die mitgenommene Haushälterin ist entsetzt und sucht nach kurzer Zeit das Weite. Bei einer Bootsfahrt mit seinem Sohn verlieren sie im Nebel die Orientierung und gelangen nur mit Glück wieder zum Hafen. Außerdem lässt sich der exzentrische Vogelbeobachter Martin Turner mit seiner Frau in dem Haus nieder und sorgt für weitere Komplikationen. Und so wird es für Mr. Hobbs nicht viel mit Geruhsamkeit.</t>
  </si>
  <si>
    <t>Eine Leiche zum Dessert</t>
  </si>
  <si>
    <t>Murder by Death</t>
  </si>
  <si>
    <t>Komödie, Krimi, Mystery, Thriller</t>
  </si>
  <si>
    <t>tt0074937</t>
  </si>
  <si>
    <t>Truman Capote, Alec Guinness, Peter Sellers, David Niven, Maggie Smith</t>
  </si>
  <si>
    <t>Die brillantesten Meisterdetektive der Welt versammeln sich auf dem Anwesen von Lionel Twain. Der geheimnisvolle Millionär hat die Verbrecherjäger Sidney Wang aus China, Dick Charleston aus New York, Milo Perrier aus Belgien, Jessica Marbles aus England und Sam Diamond aus San Francisco zu einem Wochenende inklusive Dinner in sein Haus eingeladen. Als die neugierigen Detektive mitsamt ihren Begleitungen dort eintreffen, werden sie aber lediglich von einem blinden Butler und einer taubstummen Köchin erwartet. Von Twain fehlt zunächst jede Spur – bis er plötzlich am Esstisch auftaucht und seinen verdutzten Gästen den Grund der Einladung verrät: Um Punkt Mitternacht wird ein Mord geschehen, und derjenige, der dieses Verbrechen löst, soll eine Million Dollar kassieren. Dann ist der exzentrische Gastgeber wieder wie vom Erdboden verschluckt. Damit stellt Twain sogar die genialen Meisterdetektive vor ein Rätsel, zumal die erste Leiche schon weit vor Mitternacht gefunden wird…</t>
  </si>
  <si>
    <t>Mord an der Themse</t>
  </si>
  <si>
    <t>Murder by Decree</t>
  </si>
  <si>
    <t>CA, GB</t>
  </si>
  <si>
    <t>Krimi, Mystery, Thriller</t>
  </si>
  <si>
    <t>tt0079592</t>
  </si>
  <si>
    <t>Christopher Plummer, James Mason, David Hemmings, Susan Clark, Anthony Quayle</t>
  </si>
  <si>
    <t>Im Londoner Elendsviertel Whitechapel sind innerhalb kurzer Zeit zwei Prostituierte brutal ermordet und verstümmelt worden. Dem nach Einsendung anonymer Bekennerbriefe Jack the Ripper genannten Mörder ist bisher immer rechtzeitig die Flucht vom Tatort geglückt, die Polizei tappt im Dunkeln und der neue Polizeichef Sir Charles Warren scheint nicht übermäßig an einer raschen Lösung jener „Dirnenmorde“ interessiert zu sein.</t>
  </si>
  <si>
    <t>Mein Vetter Winnie</t>
  </si>
  <si>
    <t>My Cousin Vinny</t>
  </si>
  <si>
    <t>tt0104952</t>
  </si>
  <si>
    <t>Joe Pesci, Marisa Tomei, Ralph Macchio, Mitchell Whitfield, Fred Gwynne</t>
  </si>
  <si>
    <t>Vinny Gambini soll seinen Cousin, der zusammen mit einem Kumpel unschuldig des Mordes bezichtigt wird, vor Gericht vertreten. Vinny hat zwar nach mehreren Versuchen eine Zulassung zum Anwalt erhalten, er hat aber noch nie einen Prozess geführt.</t>
  </si>
  <si>
    <t>Detektiv mit kleinen Fehlern</t>
  </si>
  <si>
    <t>My Favorite Brunette</t>
  </si>
  <si>
    <t>Komödie, Mystery, Liebesfilm</t>
  </si>
  <si>
    <t>tt0039645</t>
  </si>
  <si>
    <t>Bob Hope, Dorothy Lamour, Peter Lorre, Lon Chaney Jr., John Hoyt</t>
  </si>
  <si>
    <t>Der Fotograf Ronnie Jackson (Bob Hope) träumt davon, Detektiv zu werden. So wie einer seiner Freunde, dessen Detektei direkt neben seinem Fotostudio liegt. Als Ronnie eines Tages allein in der Detektei seines Freundes sitzt, wird er von Carlotta Montay (Dorothy Lamour) für einen Detektiv gehalten und engagiert, ihren entführten Onkel aufzuspüren. Ronnie beginnt sofort mit der Arbeit…</t>
  </si>
  <si>
    <t>Die Tote in den Dünen</t>
  </si>
  <si>
    <t>Mystery Street</t>
  </si>
  <si>
    <t>tt0042771</t>
  </si>
  <si>
    <t>Ricardo Montalban, Sally Forrest, Bruce Bennett, Elsa Lanchester, Marshall Thompson</t>
  </si>
  <si>
    <t>Als die Reste des Skeletts einer jungen Frau an einem Strand in Massachusetts auftauchen, verbündet sich der Barnstable-Polizist Peter Moralas mit der Bostoner Polizei und setzt mithilfe eines Harvard-Professors modernste Forensik ein, um die Identität der Frau zu ermitteln und zu klären, wie sie starb und wer sie getötet hat.</t>
  </si>
  <si>
    <t>Namu, der Raubwal</t>
  </si>
  <si>
    <t>Namu, the Killer Whale</t>
  </si>
  <si>
    <t>Drama, Familie, Abenteuer</t>
  </si>
  <si>
    <t>tt0060737</t>
  </si>
  <si>
    <t>Robert Lansing, John Anderson, Robin Mattson, Richard Erdman, Lee Meriwether</t>
  </si>
  <si>
    <t>Wissenschaftler Hank Donner macht eine erstaunliche Entdeckung: Um ein sterbendes Weibchen zu beschützen, hat sich ein Raubwal bis in eine Bucht vorgewagt. Mit Hilfe eines Netzes kann Donner den Wal festsetzen. Der Wissenschaftler stellt fest, dass sich der gefürchtete Raubwal ausgesprochen friedlich verhält.</t>
  </si>
  <si>
    <t>Network</t>
  </si>
  <si>
    <t>tt0074958</t>
  </si>
  <si>
    <t>Faye Dunaway, William Holden, Peter Finch</t>
  </si>
  <si>
    <t>Der langjährige Nachrichtensprecher Howard Beale soll wegen sinkender Quoten gefeuert werden. Vor laufender Kamera macht er sich in einem wütenden Ausbrucht Luft - und prompt jagt seine Rage die Ratings in die Höhe. Natürlich wird er sofort wieder eingestellt und als "zorniger Prophet" vermarktet. Doch was tun, sobald der Prophet keinen Profit mehr bringt? Es muss etwas geschehen! Am besten während einer Live-Sendung - vor Publikum.</t>
  </si>
  <si>
    <t>Wenn die Nacht anbricht</t>
  </si>
  <si>
    <t>Nightfall</t>
  </si>
  <si>
    <t>tt0049552</t>
  </si>
  <si>
    <t>Aldo Ray, Anne Bancroft, Brian Keith, James Gregory, Jocelyn Brando</t>
  </si>
  <si>
    <t>Der Grafiker James Vanning (Aldo Ray) ist untergetaucht und führt ein anonymes Dasein, der Grund dafür ist eine Tasche voll mit Dollarnoten. Die stammte aus dem Banküberfall der beiden skrupellosen Killer John (Brian Keith) and Red (Rudy Bond). Die sind hinter Vanning her, denn der hatte sich bei seiner Flucht damit abgesetzt. Nur verlor er die Beute in einem Schneesturm, irgendwo in der Wildnis von Wyoming. Und egal wie sehr James sich auch das Hirn zermartert, er weiß nicht mehr wo genau. Ein triftiger Grund, den beiden Gangster aus dem Weg zu gehen. Aber die sind ihm dicht auf den Fersen, genau wie ein Versicherungsdetektiv. Und dann kommt Vanning auch noch die hübsche Marie Gardner (Anne Bancroft) dazwischen...</t>
  </si>
  <si>
    <t>Warum eigentlich … bringen wir den Chef nicht um</t>
  </si>
  <si>
    <t>Nine to Five</t>
  </si>
  <si>
    <t>tt0080319</t>
  </si>
  <si>
    <t>Jane Fonda, Lily Tomlin, Dolly Parton, Dabney Coleman, Sterling Hayden</t>
  </si>
  <si>
    <t>Der Alltag der Büroangestellten Doralee, Violet und Judy könnte so angenehm sein, wäre da nicht ihr Chef Mr. Hart, ein Ausbund von einem Tyrann und Ekel. Hart ist nicht nur humorlos und von maßloser Selbstüberschätzung, er versucht auch noch, sich an Doralee heranzumachen und die Leistungen von Violet als seine eigenen auszugeben. Eines Nachts, als die drei sich mal wieder ihren Frust von der Seele reden, reift ein Plan: Warum eigentlich ... bringen wir den Chef nicht um?</t>
  </si>
  <si>
    <t>Im Dunkel der Nacht</t>
  </si>
  <si>
    <t>Nothing But the Night</t>
  </si>
  <si>
    <t>Krimi, Horror, Mystery, Thriller</t>
  </si>
  <si>
    <t>tt0069024</t>
  </si>
  <si>
    <t>Christopher Lee, Peter Cushing, Diana Dors, Georgia Brown, Keith Barron</t>
  </si>
  <si>
    <t>Als diverse Mitglieder des Vorstands der Van-Traylen-Stiftung für Waisenkinder scheinbar durch Unfälle sterben, werden die Behörden unter der Leitung des Col.Bingham (Christopher Lee) hellhörig. Nach einem Busunglück hat eines der Waisenkinder im Krankenhaus schlimme Alpträume, die nicht erklärbar sind. Der Arzt Haynes und der Pathologe Ashley (Peter Cushing) wollen den Fall klären..</t>
  </si>
  <si>
    <t>Denen ist nichts heilig</t>
  </si>
  <si>
    <t>Nothing Sacred</t>
  </si>
  <si>
    <t>tt0029322</t>
  </si>
  <si>
    <t>Carole Lombard, Fredric March, Charles Winninger, Walter Connolly, Sig Ruman</t>
  </si>
  <si>
    <t>Weil er einen gewöhnlichen Einwohner Harlems als reichen Sultan von Mazipan ausgegeben hat, um damit eine Riesenzeitungsstory anzureißen, die natürlich nichts als eine Ente ist, wird der Star-Reporter des "Morning Star", Wally Cook zu den Todesanzeigen strafversetzt. Sein Redakteur Stone gibt ihm eine letzte Chance, als Cook über die Story einer Frau in der Kleinstadt Warschau stolpert, die an Radiumvergiftung zu sterben droht.</t>
  </si>
  <si>
    <t>Wir werden nicht zusammen alt</t>
  </si>
  <si>
    <t>Nous ne vieillirons pas ensemble</t>
  </si>
  <si>
    <t>tt0069027</t>
  </si>
  <si>
    <t>Marlène Jobert, Jean Yanne, Harry-Max, Jacques Galland, Macha Méril</t>
  </si>
  <si>
    <t>Ein gescheiterter Filmemacher hat eine Liebesaffäre mit Catherine. Seine Frau Françoise ahnt nichts davon. Obwohl Jean behauptet, Catherine zu lieben, misshandelt er sie emotional und physisch. Als Catherine Jean in die Camargue begleitet, führt Jeans missbräuchliches Verhalten zu einem heftigen Streit. Catherine erträgt dies nicht mehr und flüchtet sich zu ihrer Großmutter in die Provence. Als Jean ihr hinterherreist, entscheidet sie sich, der Beziehung zu ihm endgültig ein Ende zu setzen.</t>
  </si>
  <si>
    <t>Eintritt verboten</t>
  </si>
  <si>
    <t>Off Limits</t>
  </si>
  <si>
    <t>tt0046138</t>
  </si>
  <si>
    <t>Bob Hope, Mickey Rooney, Marilyn Maxwell, Eddie Mayehoff, Stanley Clements</t>
  </si>
  <si>
    <t>Ein Boxmanager wird zur Militärpolizei eingezogen und drillt dort einen Rekruten gegen alle sportlichen Regeln zum Champion. Geräuschvolle Mischung aus Militärulk und Sportklamotte - harmlose Unterhaltung für Jung und Alt.</t>
  </si>
  <si>
    <t>General Pfeifendeckel</t>
  </si>
  <si>
    <t>On the Double</t>
  </si>
  <si>
    <t>Kriegsfilm, Komödie</t>
  </si>
  <si>
    <t>tt0055253</t>
  </si>
  <si>
    <t>Danny Kaye, Dana Wynter, Wilfrid Hyde-White, Margaret Rutherford, Diana Dors</t>
  </si>
  <si>
    <t>England 1944: US-Soldat Ernie sieht einem britischen General zum Verwechseln ähnlich. Als deutsche Agenten hinter dem Offizier her sind6 soll Ernie dessen Rolle übernehmen. Prompt wird er von den Nazis nach Berlin entführt.</t>
  </si>
  <si>
    <t>Die Faust im Nacken</t>
  </si>
  <si>
    <t>On the Waterfront</t>
  </si>
  <si>
    <t>Krimi, Drama, Liebesfilm</t>
  </si>
  <si>
    <t>tt0047296</t>
  </si>
  <si>
    <t>Marlon Brando, Karl Malden, Lee J. Cobb, Eva Marie Saint, Rod Steiger</t>
  </si>
  <si>
    <t>Marlon Brando spielt die Hauptrolle des Terry Malloy, einem gescheiterten Preisboxer, der dank der Beziehungen seines Bruders Charley, ein Anwalt für eine korrupte Dockarbeiter-Gewerkschaft, als Botenjunge für die Mafia angestellt wird. Nachdem er einen anderen Hafenarbeiter und Freund in den Tod gelockt hat, um ihn von einer Aussage gegen den Vorarbeiter Johnny Friendly abzuhalten, erwecken die Bitten der Schwester des Toten und eines engagierten Priesters Terrys Schuldbewusstsein. Trotzdem er durch Friendlys Schläger brutal zugerichtet wird, bewegt die Liebe Terry dazu, Vergeltung zu üben, indem er die Untersuchung einer Verbrechenskommission gegen die korrupte Dockarbeiter-Gewerkschaft unterstützt.</t>
  </si>
  <si>
    <t>Unser Boss ist eine Dame</t>
  </si>
  <si>
    <t>Operazione San Gennaro</t>
  </si>
  <si>
    <t>tt0062080</t>
  </si>
  <si>
    <t>Nino Manfredi, Senta Berger, Mario Adorf, Harry Guardino, Totò</t>
  </si>
  <si>
    <t>Die amerikanische Gangsterchefin Maggie fliegt als Nonne verkleidet nach Neapel. Mühelos kann sie das moderne Einbruchswerkzeug ihrer Komplizen Frank und Jack durch den Zoll schmuggeln. Maggie hat es auf den wertvollen Kirchenschatz des Heiligen Gennaro abgesehen, des Schutzpatrons der Neapolitaner. Sie möchte den Mafia-Paten Don Vincenzo als Partner gewinnen, doch er genießt den Lebensabend im gemütlichen Gefängnis und schickt sie zu Dudu. Der stadtbekannte Ganove entpuppt sich jedoch als selbstbewusster Gigolo...</t>
  </si>
  <si>
    <t>Liebe, Brot und Eifersucht</t>
  </si>
  <si>
    <t>Pane, amore e gelosia</t>
  </si>
  <si>
    <t>tt0047327</t>
  </si>
  <si>
    <t>Vittorio De Sica, Gina Lollobrigida, Marisa Merlini, Tina Pica, Roberto Risso</t>
  </si>
  <si>
    <t>Ein heiterer und temperamentvoller Reigen von durch Eifersucht erschwerten Liebesgeschichten in einem lebensfrohen italienischen Dorf. Sorgfältig inszenierte und abgerundete Fortsetzung nach dem großen Erfolg des Films "Brot, Liebe und Fantasie". Beide Filme wurden 1957 zu einem 100minütigen Zusammenschnitt ("So ein Schürzenjäger") verarbeitet, der den Charme der Originale nicht immer erreicht.</t>
  </si>
  <si>
    <t>Zeit der Anpassung</t>
  </si>
  <si>
    <t>Period of Adjustment</t>
  </si>
  <si>
    <t>tt0056341</t>
  </si>
  <si>
    <t>Anthony Franciosa, Jane Fonda, Jim Hutton, Lois Nettleton, John McGiver</t>
  </si>
  <si>
    <t>Nach ihrer Blitzhochzeit mit George kommt für Isabel das böse Erwachen: Ihr Gatte ist impotent, geizig und redet ständig von seiner Kriegszeit in Korea. Bei Georges Freund Ralph, der selbst in einer Ehekrise steckt, kann sich die unglückliche Braut erst einmal ausheulen. Doch bis das alte Liebesglück wieder hergestellt ist, gehen noch viele Streitereien ins Land…</t>
  </si>
  <si>
    <t>Polizei greift ein</t>
  </si>
  <si>
    <t>Pickup on South Street</t>
  </si>
  <si>
    <t>Thriller, Krimi</t>
  </si>
  <si>
    <t>tt0046187</t>
  </si>
  <si>
    <t>Richard Widmark, Jean Peters, Thelma Ritter, Murvyn Vye, Richard Kiley</t>
  </si>
  <si>
    <t>Skip McCoy ist ein Taschendieb in New York City und lebt abgeschieden in einer kleinen Fischerhütte am Hafen. Bereits drei Mal von der Polizei verhaftet, muss er befürchten, bei der nächsten Verhaftung lebenslang hinter Gitter zu wandern. In der U-Bahn stiehlt er aus der Handtasche von Candy ihre Geldbörse. Was er nicht weiß: die Geldbörse enthält einen Mikrofilm mit geheimen Material, das amerikanische Kommunisten der Sowjetunion übergeben wollen; Candy soll die Überbringerin des Films sein, von dessen Brisanz ahnt sie allerdings nichts. Beamte des FBI, die Candy beschatten, beobachten den Diebstahl, allerdings kann Skip ihnen entwischen. Während Candy, nachdem sie den Diebstahl entdeckt hat, verzweifelt ihren Ex-Freund und Auftraggeber Joey informiert, begibt sich FBI-Agent Zara zur Polizei, um in der dortigen Verbrecherkartei den Taschendieb identifizieren zu können.</t>
  </si>
  <si>
    <t>Mach’s noch einmal, Sam</t>
  </si>
  <si>
    <t>Play It Again, Sam</t>
  </si>
  <si>
    <t>tt0069097</t>
  </si>
  <si>
    <t>Woody Allen, Diane Keaton, Tony Roberts, Jerry Lacy, Susan Anspach</t>
  </si>
  <si>
    <t>Filmkritiker Allan Felix hat kein Glück in der Liebe. Von seiner Frau vor die Tür gesetzt, versucht ein befreundetes Paar ihn zu verkuppeln – ohne Erfolg. Ob Allans Halluzination von Filmheld Humphrey Bogart da Abhilfe verschaffen kann?</t>
  </si>
  <si>
    <t>Drei Männer für Alison</t>
  </si>
  <si>
    <t>Please Believe Me</t>
  </si>
  <si>
    <t>tt0042848</t>
  </si>
  <si>
    <t>Deborah Kerr, Robert Walker, Mark Stevens, Peter Lawford, James Whitmore</t>
  </si>
  <si>
    <t>Die junge Londoner Sekretärin Alison Kirbe freut sich auf ihre geerbte Ranch in Texas. Auf der Schiffsüberfahrt wird sie von drei Männern umworben: dem bankrotten Glücksspieler Terence Keath, dem Playboy Jeremy Taylor und dessen besorgten Anwalt Matthew Kinston. Die selbstbewusste Alison hält die drei ehrgeizigen Rivalen jedoch hin. Wie sich herausstellt zu Recht, denn als herauskommt, dass ihr Erbe völlig wertlos ist, erweist sich nur einer der Verehrer als wahrer Gentleman.</t>
  </si>
  <si>
    <t>Die liebestolle Familie</t>
  </si>
  <si>
    <t>Please Turn Over</t>
  </si>
  <si>
    <t>tt0053174</t>
  </si>
  <si>
    <t>Ted Ray, Jean Kent, Leslie Phillips, Joan Sims, Julia Lockwood</t>
  </si>
  <si>
    <t>Rendezvous Der Killer</t>
  </si>
  <si>
    <t>Pleins feux sur Stanislas</t>
  </si>
  <si>
    <t>DE, FR</t>
  </si>
  <si>
    <t>tt0059608</t>
  </si>
  <si>
    <t>Jean Marais, Jean-Roger Caussimon, Max Montavon, Henri Tisot, Michel Modo</t>
  </si>
  <si>
    <t>Der ehemalige Agent Stanislas hat sich auf dem Land zur Ruhe gesetzt und seine Memoiren verfasst. Doch als eine Journalistin das Buch verreisst, will er sie unbedingt eines Besseren belehren. Das Treffen mit der Kritikerin endet anders als erhofft.</t>
  </si>
  <si>
    <t>Pookie</t>
  </si>
  <si>
    <t>Pookie Watson: Hood Detective</t>
  </si>
  <si>
    <t>tt0469530</t>
  </si>
  <si>
    <t>Odile Coussement, Paul Gorgas, Fiona Hernandez</t>
  </si>
  <si>
    <t>Pookie Adams ist eine Außenseiterin und Studentin im ersten Jahr an ihrem College. Sie lernt zufällig Jerry Payne kennen und lieben. Der ahnt zunächst nichts von Pookies Problemen...</t>
  </si>
  <si>
    <t>Stolz Und Vorurteil</t>
  </si>
  <si>
    <t>Pride and Prejudice</t>
  </si>
  <si>
    <t>tt0032943</t>
  </si>
  <si>
    <t>Greer Garson, Laurence Olivier, Mary Boland, Edna May Oliver, Maureen O'Sullivan</t>
  </si>
  <si>
    <t>England im 19. Jahrhundert: Elizabeth "Lizzy" Bennet ist die zweite von fünf Schwestern. Als ihr Vater stirbt, droht das Familiengut Longbourn an den Cousin Mr. Collins zu fallen, denn einen männlichen Erben gibt es nicht in der Familie. Deshalb plant die Mutter, ihre fünf Töchter so schnell wie möglich zu verheiraten. Als der wohlhabende Charles Bingley mit seiner Schwester und seinem besten Freund Mr. Darcy auf das naheliegende Anwesen Netherfield einzieht, ist die Aufregung groß, denn beide Männer sind noch unverheiratet. Bingley ist sofort von Lizzys älterer Schwester Jane verzückt. Lizzy bleibt der arrogante und stolze Darcy, den sie überhaupt nicht leiden kann. Als Bingley Janes Herz bricht und die jüngere Schwester Lydia mit einem Feind von Darcy durchbrennt, droht dies den Ruf der Familie zu ruinieren.</t>
  </si>
  <si>
    <t>Flucht ohne Ausweg</t>
  </si>
  <si>
    <t>Raw Deal</t>
  </si>
  <si>
    <t>tt0040723</t>
  </si>
  <si>
    <t>Hansjörg Felmy, Hermann Lenschau, Karin Hübner</t>
  </si>
  <si>
    <t>Joe bricht mit Hilfe seiner Freundin Pat aus dem Knast aus, um von Gangster Rick Coyle seinen Anteil zu holen. Rick hilft bei der Flucht, da er hofft, dass Joe dabei draufgeht. Als dies nicht klappt, will Coyle Joe von jemand anderem töten lassen. Währenddessen kidnappen Joe und Pat die Sozialarbeiterin Ann, die Joe immer im Gefängnis besucht hat…</t>
  </si>
  <si>
    <t>Rebecca</t>
  </si>
  <si>
    <t>Drama, Mystery, Romance</t>
  </si>
  <si>
    <t>tt0032976</t>
  </si>
  <si>
    <t>Laurence Olivier, Joan Fontaine, George Sanders</t>
  </si>
  <si>
    <t>Eine junge Frau aus einfachen Verhältnissen trifft auf einer Reise an die Riviera auf den Adligen Maxim de Winter. Nach einer turbulenten Romanze und Heirat kehren beide auf den prachtvollen Landsitz Mandalay in England zurück. Hier muss sie feststellen, dass sie bei den Hausangestellten nicht unbedingt willkommen ist. De Winters Haushälterin, Mrs. Danvers, trägt ganz offensichtlich ein Geheimnis der verstorbenen ehemaligen Hausherrin Rebecca mit sich herum. Die frischgebackene Schlossherrin erfährt schließlich, dass ihr Mann als deren Mörder verdächtigt wird.</t>
  </si>
  <si>
    <t>Richter: The Enigma</t>
  </si>
  <si>
    <t>Dokumentarfilm, Musik</t>
  </si>
  <si>
    <t>tt0180096</t>
  </si>
  <si>
    <t>Sviatoslav Richter</t>
  </si>
  <si>
    <t>Rififi</t>
  </si>
  <si>
    <t>tt0048021</t>
  </si>
  <si>
    <t>Jean Servais, Carl Möhner, Robert Manuel</t>
  </si>
  <si>
    <t>Vier geübte und spezialisierte Verbrecher sind in Paris unterwegs. Darunter ist auch der bis vor Kurzem inhaftierte Toni. Die vier Diebe rauben ein Juweliergeschäft in der Stadt aus und begeben sich mit ihrer Beute auf die Flucht. Doch dabei stoßen die Verbrecher unerwartet mit einer gegnerischen Gangster-Bande zusammen, die ihnen auflauert. Es kommt zu einer blutigen Auseinandersetzung.</t>
  </si>
  <si>
    <t>Der Weg nach Bali</t>
  </si>
  <si>
    <t>Road to Bali</t>
  </si>
  <si>
    <t>Komödie, Abenteuer, Musik, Liebesfilm</t>
  </si>
  <si>
    <t>tt0045094</t>
  </si>
  <si>
    <t>Bing Crosby, Bob Hope, Dorothy Lamour, Murvyn Vye, Peter Coe</t>
  </si>
  <si>
    <t>Angesichts zu vieler heiratswütiger Frauen sehen sich die Vaudeville-Künstler George und Harold zur Flucht aus Australien gezwungen. Auf dem Weg nach Bali lassen sie sich als Tiefseetaucher anheuern, um für den Schurken Arok einen Schatz aus einem Wrack zu bergen. Dabei lernen sie die attraktive Prinzessin Lala kennen, in die sie sich beide verlieben. Nachdem sie den Schatz in ihren Händen haben, treten sie mit der Prinzessin die Flucht an, verfolgt von Arok und ständig bemüht, sich gegenseitig in der Gunst von Lala auszustechen.</t>
  </si>
  <si>
    <t>Cocktail für eine Leiche</t>
  </si>
  <si>
    <t>Rope</t>
  </si>
  <si>
    <t>tt0040746</t>
  </si>
  <si>
    <t>James Stewart, John Dall, Farley Granger, Cedric Hardwicke, Constance Collier</t>
  </si>
  <si>
    <t>Es gibt ihn, den perfekten Mord. Ohne Spur oder Hinweise auf den oder die Täter ausgeführt wird er mit einem übermächtigen Gefühl der physischen und psychischen Überlegenheit und Macht belohnt. So verstehen die beiden Studenten Brandon Shaw und Phillip Morgan jedenfalls die Vorlesung ihres Professors Rupert Cadell über die "Kunst des Mordes". Von Neugierde über das Gehörte angespornt, beschließen die beiden einen Kommilitonen, den jungen David zu töten und die Leiche in einer Truhe in dem gemeinsamen Apartment zu verstauen. Nach der Tat und mit der Leiche im Wohnzimmer, wollen die Mörder ihren Triumph auskosten und laden Freunde, Mitstudenten und auch Professor Cadell zu einer Party ein. Als Brandon vehement die Machtposition eines Mörders analysiert und Philip zunehmend nervöser wird, schöpft Cadell langsam Verdacht...</t>
  </si>
  <si>
    <t>Seemann, paß auf!</t>
  </si>
  <si>
    <t>Sailor Beware</t>
  </si>
  <si>
    <t>tt0043989</t>
  </si>
  <si>
    <t>Dean Martin, Jerry Lewis, Corinne Calvet, Marion Marshall, Robert Strauss</t>
  </si>
  <si>
    <t>Melvin und Al, ein Nachtclubsänger, treffen sich auf einem Marineschiff.  Al, der bisher nicht viel Erfolg bei Frauen hatte, heuerte dort an, um die Frauen zu beeindrucken. Melvin dagegen, der gegen Make-up allergisch ist, landete dort auf Rat seines Arztes, zur Kurierung seiner Allergie. Doch er hat es nicht leicht auf dem Schiff. Die Frauen an Bord sind hinter ihm her, weil er ganz anders ist als die anderen Matrosen - so niedlich. So befindet er sich ständig auf der Flucht vor unmöglichen Situationen, schlittert aber ständig von einer in die andere...</t>
  </si>
  <si>
    <t>Skandal um Patsy</t>
  </si>
  <si>
    <t>Scandal at Scourie</t>
  </si>
  <si>
    <t>tt0046279</t>
  </si>
  <si>
    <t>Greer Garson, Walter Pidgeon, Donna Corcoran, Agnes Moorehead, Arthur Shields</t>
  </si>
  <si>
    <t>Schachmatt</t>
  </si>
  <si>
    <t>tt0403482</t>
  </si>
  <si>
    <t>200.000$ Beute – Mit den Taschen voll Geld will Bankräuber Harry Wheeler (Paul Richards) sich ein schönes Leben machen. Dumm nur, dass ihm der Ermittler Paul Sheridan (Fred MacMurray) bereits auf der Spur ist. Als Lona McLane (Kim Novak), die Freundin des Bankräubers, allerdings die Aufmerksamkeit des Polizisten auf sich zieht, beschließt dieser seine Pläne zu ändern, und die Seiten zu wechseln…</t>
  </si>
  <si>
    <t>Ein feiner Herr</t>
  </si>
  <si>
    <t>Schöne G'schichten mit Helmut Fischer: Ein feiner Herr</t>
  </si>
  <si>
    <t>tt1151398</t>
  </si>
  <si>
    <t>Helmut Fischer, Gaby Dohm, Rita Russek, Jürgen Schmitt</t>
  </si>
  <si>
    <t>Der Ganove Jimmy Corrigan verdient sein Geld mit der Suche nach verschollenen Millionenerben. Seine Geliebte Joan hasst die illegalen Tricks, die Jimmy dabei anwendet. Sie verlässt Jimmy und arbeitet für seinen schärfsten Konkurrenten James J. Wallingham. Der ist zwar auch ein Betrüger, doch er kann seine faulen Tricks besser hinter einer seriös wirkenden Fassade verbergen. Jimmy beschließt, Joan die Augen zu öffnen und Wallingham eine Lektion zu erteilen...</t>
  </si>
  <si>
    <t>Selten so gelacht</t>
  </si>
  <si>
    <t>Selten so gelacht!</t>
  </si>
  <si>
    <t>tt6363752</t>
  </si>
  <si>
    <t>Otto Schenk, Alfred Böhm, Karl Farkas, Helmuth Lohner</t>
  </si>
  <si>
    <t>Soldat Al Hogan, seine Kameraden und die attraktiven Krankenschwestern, die nach dem Krieg in einem Lazarett in Frankreich stationiert sind, werden von unerträglicher Langeweile geplagt. Um dieses Problem zu beheben und gleichzeitig seiner Romanze mit der Krankenschwester Lieutenant Betty Bixby auf die Sprünge zu helfen, plant Hogan einen "Ball der Verrückten". Nachdem jedoch das Fraternisieren zwischen den weiblichen Offizieren und den Soldaten strikt untersagt ist – eine Vorschrift, deren Einhaltung vom Paragrafenreiter Captain Paul Locke mit Argusaugen überwacht wird – scheint die Hoffnung auf einen Kompromiss äußerst gering. Doch mithilfe eines gewieften französischen Hotelbesitzers und eines cleveren Oberfeldwebels gelingt es Hogan, Lockes Vorsichtsmaßnahmen zu umgehen und den Ball der Verrückten doch noch zu veranstalten.</t>
  </si>
  <si>
    <t>Liebesrausch auf Capri</t>
  </si>
  <si>
    <t>September Affair</t>
  </si>
  <si>
    <t>tt0042947</t>
  </si>
  <si>
    <t>Joan Fontaine, Joseph Cotten, Françoise Rosay, Jessica Tandy, Robert Arthur</t>
  </si>
  <si>
    <t>Die Pianistin Manina und der verheiratete David lernen sich im Flugzeug kennen. In Neapel muss die Maschine notlanden. Die beiden verbringen einen herrlichen Tag miteinander und vergessen darüber den Abflug. Als sie erfahren, dass ihre Maschine abgestürzt ist, beschließen sie unter anderem Namen ein neues Leben zu beginnen.</t>
  </si>
  <si>
    <t>Sieben Tage im Mai</t>
  </si>
  <si>
    <t>Seven Days in May</t>
  </si>
  <si>
    <t>tt0058576</t>
  </si>
  <si>
    <t>Burt Lancaster, Kirk Douglas, Fredric March, Ava Gardner, Edmond O'Brien</t>
  </si>
  <si>
    <t>Colonel Casey hat erfahren, daß einige Militärs einen Putsch gegen den amerikanischen Präsidenten anzetteln wollen. Die befürchten nämlich, daß dessen Abrüstungspolitik eine Gefahr für den Frieden sei. Beweise dafür hat er allerdings nicht, und ihm bleiben nur wenige Tage, seine Ahnungen zu beweisen, denn der Tag des Putsches ist nicht mehr fern.</t>
  </si>
  <si>
    <t>Sieben Diebe</t>
  </si>
  <si>
    <t>Seven Thieves</t>
  </si>
  <si>
    <t>tt0054295</t>
  </si>
  <si>
    <t>Edward G. Robinson, Rod Steiger, Joan Collins, Eli Wallach, Alexander Scourby</t>
  </si>
  <si>
    <t>Ein in Ungnade gefallener, hochintelligenter Professor und ein cleverer und erfahrener Dieb tun sich zusammen und planen den perfekten Coup: Mit Hilfe eines ausgewählten fünfköpfigen Teams professioneller Ganoven wollen sie die Spielbank von Monaco in Monte Carlo um satte fünf Millionen Dollar bringen.</t>
  </si>
  <si>
    <t>Drohende Schatten</t>
  </si>
  <si>
    <t>Shadow on the Wall</t>
  </si>
  <si>
    <t>tt0042952</t>
  </si>
  <si>
    <t>Ann Sothern, Zachary Scott, Gigi Perreau, Nancy Reagan, Kristine Miller</t>
  </si>
  <si>
    <t>Ein sechsjähriges Mädchen wird Zeuge des Mordes an seiner Mutter durch seine Tante. Als der Vater in Mordverdacht gerät, befällt das Kind eine Art geistige Lähmung, aus der es erst eine einfühlsame, geduldige Psychiaterin befreien kann, so daß die Mörderin überführt wird.</t>
  </si>
  <si>
    <t>Shadowlands - Ein Geschenk des Augenblicks</t>
  </si>
  <si>
    <t>Shadowlands</t>
  </si>
  <si>
    <t>tt0108101</t>
  </si>
  <si>
    <t>Anthony Hopkins, Debra Winger, Edward Hardwicke, John Wood, Michael Denison</t>
  </si>
  <si>
    <t>Drama basierend auf dem gleichnamigen Bühnenstück von William Nicholson. Der Film handelt von dem bekannten Schriftsteller und Professor C.S. Lewis. Dieser lebt als Junggeselle mit seinem Bruder zusammen bis eines Tages die Amerikanerin Joy Gresham in sein Leben tritt.</t>
  </si>
  <si>
    <t>Tod im Spiegel</t>
  </si>
  <si>
    <t>Shattered</t>
  </si>
  <si>
    <t>tt0102900</t>
  </si>
  <si>
    <t>Tom Berenger, Bob Hoskins, Greta Scacchi, Joanne Whalley, Corbin Bernsen</t>
  </si>
  <si>
    <t>Das Leben von David Merrick hängt lange an einem seidenen Faden, doch schließlich gelingt den Ärzten das Kunststück seine Gesundheit wiederherzustellen. Doch David kann sich weder an seine Idendität erinnern noch an irgend welche Details aus seiner Vergangenheit. Ohne einen Hinweis auf sein bisheriges Leben baut er sich eine neue Identität auf. Doch die Vergangenheit holt den Amnesiepatienten langsam aber umso unerbittlicher ein. Jeder in seiner Umwelt scheint mehr über ihn zu wissen, als er selbst. Privatdetektivs Gus Klein soll sein früheres Leben aufdecken. Ans Licht kommt seine frühere Beziehung Judith ein fein gesponnenes Komplott durchgezogen hat und die Tatsache, dass der wahre David Merrick schon lange tot ist. Doch durch die Enthüllungen gerät David erneut in Lebensgefahr.</t>
  </si>
  <si>
    <t>Sherlock Holmes - Die Geheimwaffe</t>
  </si>
  <si>
    <t>Sherlock Holmes and the Secret Weapon</t>
  </si>
  <si>
    <t>TH</t>
  </si>
  <si>
    <t>color</t>
  </si>
  <si>
    <t>tt0035317</t>
  </si>
  <si>
    <t>Basil Rathbone, Nigel Bruce, Lionel Atwill, William Post Jr., Kaaren Verne</t>
  </si>
  <si>
    <t>Holmes muss einen Wissenschaftler, der an einer Geheimwaffe arbeitet, vor den Nazis retten.</t>
  </si>
  <si>
    <t>Sherlock Holmes - Im Zeichen der Vier</t>
  </si>
  <si>
    <t>Sherlock Holmes and the Sign of Four</t>
  </si>
  <si>
    <t>Animation</t>
  </si>
  <si>
    <t>tt0238596</t>
  </si>
  <si>
    <t>Peter O'Toole, Ron Haddrick, Earle Cross, Lynn Rainbow, Robin Stewart</t>
  </si>
  <si>
    <t>Sherlock Holmes klärt eine mysteriöse Mordserie auf, bei der es um einen viele Jahre zurückliegenden Betrug geht. Ein englischer Major hatte in Indien einen Kollegen und vier Gefangene hintergangen, die sich einen gestohlenen Schatz teilen wollten.</t>
  </si>
  <si>
    <t>So ein Millionär hat's schwer</t>
  </si>
  <si>
    <t>tt0052209</t>
  </si>
  <si>
    <t>Peter Alexander, Germaine Damar, Heinz Erhardt</t>
  </si>
  <si>
    <t>Edward Collins will nichts weiter, als ein bescheidenes Leben leben. Doch als Millionr mit einer luxurisen Villa, Chauffeur und allem, was das Herz begehrt, sind die Frauen hinter ihm nur so her. Doch dieses Mal will Edward auf Nummer sicher gehen und heckt zusammen mit seinem ergebenen Butler Alfons Heinz Erhardt einen Plan aus Der sen Kellnerin Ninette Germaine Damar, die er per Zufall kennen lernt, erzhlt Edward, er sei vllig mittellos. Prompt verschafft Ninette ihm einen Aushilfsjob als Parkwchter. Doch damit gehen die Verwicklungen erst so richtig los.</t>
  </si>
  <si>
    <t>Solange Du Da Bist</t>
  </si>
  <si>
    <t>Solange du da bist</t>
  </si>
  <si>
    <t>tt0046340</t>
  </si>
  <si>
    <t>Maria Schell, O.W. Fischer, Hardy Krüger, Brigitte Horney, Mathias Wieman</t>
  </si>
  <si>
    <t>Die junge Flüchtlingsfrau Eva arbeitet nach dem Zweiten Weltkrieg als Komparsin beim Film und fällt dort bei einer Probeaufnahme dem ehrgeizigen Regisseur Tornau auf. In ihrer Lebensgeschichte wittert er einen sensationsträchtigen Filmstoff und engagiert sie als Darstellerin ihrer eigenen Rolle – gegen den Willen seines Autors und seiner bisherigen Starschauspielerin. Auch Evas Mann Stefan ist gegen die Ausbeutung ihrer Vergangenheit, die ihn ebenso betrifft. Tatsächlich wird die unerfahrene Frau durch die Dreharbeiten emotional stark angegriffen, und als sie die dramatische Schlussszene spielen muss, in der sie Stefan verwundet zurücklässt, bricht sie von Erinnerungen überwältigt zusammen...</t>
  </si>
  <si>
    <t>Die Hölle ist in mir</t>
  </si>
  <si>
    <t>Somebody Up There Likes Me</t>
  </si>
  <si>
    <t>tt0049778</t>
  </si>
  <si>
    <t>Paul Newman, Pier Angeli, Everett Sloane, Eileen Heckart, Sal Mineo</t>
  </si>
  <si>
    <t>Rocco Barbella ist ein Tunichtgut und Hitzkopf, wie geschaffen für eine kriminelle Karriere nach bewährter Machart. Doch als ihn seine Fäuste in den Knast bringen, überdenkt er sein Leben. Der Neuanfang bei der Army gerät für ihn ebenfalls zum Desaster, der unbeugsame und aufmüpfige Schläger kann von niemandem gezähmt werden. Bis Rocco erstmals im Boxring von seinem schlagenden Talent Gebrauch macht.</t>
  </si>
  <si>
    <t>Lied des Orients</t>
  </si>
  <si>
    <t>Song of Scheherazade</t>
  </si>
  <si>
    <t>Abenteuer, Drama, Musik</t>
  </si>
  <si>
    <t>tt0039852</t>
  </si>
  <si>
    <t>Yvonne De Carlo, Brian Donlevy, Jean-Pierre Aumont, Eve Arden, Phillip Reed</t>
  </si>
  <si>
    <t>Pseudobiografische Episode aus dem Leben des russischen Komponisten Rimski-Korsakow (1844-1908), der sich als junger Seekadett in eine Tänzerin verliebt und sich von ihr zu einer sinfonischen Suite inspirieren läßt.</t>
  </si>
  <si>
    <t>Hoffen wir, dass es ein Mädchen wird</t>
  </si>
  <si>
    <t>Speriamo che sia femmina</t>
  </si>
  <si>
    <t>tt0090055</t>
  </si>
  <si>
    <t>Liv Ullmann, Catherine Deneuve, Philippe Noiret, Giuliana De Sio, Stefania Sandrelli</t>
  </si>
  <si>
    <t>Das Glück in seinen Armen</t>
  </si>
  <si>
    <t>Stolen Hours</t>
  </si>
  <si>
    <t>tt0057531</t>
  </si>
  <si>
    <t>Susan Hayward, Michael Craig, Diane Baker, Edward Judd, Paul Rogers</t>
  </si>
  <si>
    <t>Sonnenscheinchen</t>
  </si>
  <si>
    <t>Stowaway</t>
  </si>
  <si>
    <t>Musik, Abenteuer, Familie</t>
  </si>
  <si>
    <t>tt0028315</t>
  </si>
  <si>
    <t>Shirley Temple, Robert Young, Alice Faye, Eugene Pallette, Helen Westley</t>
  </si>
  <si>
    <t>Die Ungezähmten - Aus dem Leben einer Ärztin</t>
  </si>
  <si>
    <t>Strange Lady in Town</t>
  </si>
  <si>
    <t>tt0048665</t>
  </si>
  <si>
    <t>Greer Garson, Dana Andrews, Cameron Mitchell, Lois Smith, Adele Jergens</t>
  </si>
  <si>
    <t>Eine junge Ärztin, die um 1880 nach Santa Fé kommt, wo ihr Bruder das Leben eines Outlaws führt, setzt sich gegen Vorurteile und Pressionen beruflich durch und findet eheliches Glück mit einem Kollegen.</t>
  </si>
  <si>
    <t>Fremde wenn wir uns begegnen</t>
  </si>
  <si>
    <t>Strangers When We Meet</t>
  </si>
  <si>
    <t>tt0054345</t>
  </si>
  <si>
    <t>Kirk Douglas, Kim Novak, Barbara Rush, Ernie Kovacs, Walter Matthau</t>
  </si>
  <si>
    <t>Douglas spielt den begabten, unglücklich verheirateten Architekten Larry Coe, der sich in seine attraktive Nachbarin Maggie verliebt hat, in deren Ehe es ebenfalls kriselt. Die beiden müssen sich heimlich treffen, während Larry am „Traumhaus“ des exzentrischen Autoren und Playboys Roger Altar arbeitet. Es gibt nur einen Menschen, der von diesen heimlichen Rendezvous weiß — ihr gemeinsamer Freund Felix Anders. Als Larry ein sensationelles Angebot aus Hawaii erhält, fühlt er sich hin- und hergerissen zwischen seinem Heim, seiner Karriere und seiner Liebe zu Maggie. Nachdem Felix dann auch noch Annäherungsversuche gegenüber Larrys Frau unternimmt, droht dessen ganzes bisheriges Leben aus den Fugen zu geraten.</t>
  </si>
  <si>
    <t>Boulevard der Dämmerung - Sunset Boulevard</t>
  </si>
  <si>
    <t>Sunset Boulevard</t>
  </si>
  <si>
    <t>tt0043014</t>
  </si>
  <si>
    <t>William Holden, Gloria Swanson, Erich von Stroheim, Nancy Olson, Fred Clark</t>
  </si>
  <si>
    <t>Der ebenso erfolg- wie mittellose Drehbuchautor Joe Gillis gelangt auf der Flucht vor seinen Gläubigern auf das Anwesen der gealterten Stummfilmdiva Norma Desmond. Norma hat nie aufgehört, von einem Comeback zu träumen, und überredet ihn dazu, ihr als Gegenleistung für die Aufnahme in ihr Haus beim Abfassen eines Drehbuches behilflich zu sein. Mit zunehmender Dauer der Zusammenarbeit erweist sie sich als immer besitzergreifender, weshalb er schließlich versucht, sich von ihr zu lösen – ein Versuch, den er mit dem Tod bezahlen muss.</t>
  </si>
  <si>
    <t>Auch ein Sheriff braucht mal Hilfe</t>
  </si>
  <si>
    <t>Support Your Local Sheriff!</t>
  </si>
  <si>
    <t>tt0065051</t>
  </si>
  <si>
    <t>James Garner, Joan Hackett, Walter Brennan, Harry Morgan, Jack Elam</t>
  </si>
  <si>
    <t>Glücksritter Jason McCullough bleibt auf der Reise nach Australien in einem kleinen Goldgräberstädtchen hängen, wo er, um sich ein wenig Geld hinzuzuverdienen, eine Tätigkeit als Hilfssheriff aufnimmt. Das passt den Ganoven der Stadt natürlich gar nicht.</t>
  </si>
  <si>
    <t>Ein Geschenk für den Boss</t>
  </si>
  <si>
    <t>Surprise Package</t>
  </si>
  <si>
    <t>tt0054355</t>
  </si>
  <si>
    <t>Yul Brynner, Mitzi Gaynor, Noël Coward, Eric Pohlmann, George Coulouris</t>
  </si>
  <si>
    <t>Süßer Vogel Jugend</t>
  </si>
  <si>
    <t>Sweet Bird of Youth</t>
  </si>
  <si>
    <t>tt0056541</t>
  </si>
  <si>
    <t>Paul Newman, Geraldine Page, Shirley Knight, Ed Begley, Rip Torn</t>
  </si>
  <si>
    <t>Der junge Wayne kommt mit dem alkoholsüchtigen Hollywood-Altstar Alexandra Del Lago in sein Heimatstadt zurück. Der korrupte Lokalpolitiker „Boss“ Finley will ihn dort unbedingt von seiner Tochter Heavenly fernhalten, die Wayne immer noch liebt. Dieser wiederum klammert sich an die Hoffnung, durch Alexandra endlich eine Chance in Hollywood zu bekommen ...</t>
  </si>
  <si>
    <t>Sandra und der Doktor</t>
  </si>
  <si>
    <t>Tammy and the Doctor</t>
  </si>
  <si>
    <t>tt0057558</t>
  </si>
  <si>
    <t>Sandra Dee, Peter Fonda, Macdonald Carey, Margaret Lindsay, Beulah Bondi</t>
  </si>
  <si>
    <t>Die liebenswerte Sandra kommt in ein städtisches Krankenhaus, um dort auszuhelfen. Bei der Arbeit verliebt sie sich in einen jungen Arzt.</t>
  </si>
  <si>
    <t>Der Pate</t>
  </si>
  <si>
    <t>Teaser Bonus-Episode 61: Der Pate (1972)</t>
  </si>
  <si>
    <t>N,A</t>
  </si>
  <si>
    <t>tt21752460</t>
  </si>
  <si>
    <t>Don Vito Corleone ist der Kopf einer der einflußreichsten Mafia-Familien New Yorks. Als die anderen Familien der Stadt beschließen, neben Glücksspiel und Schutzgelderpressungen nun auch den Handel mit Drogen als Erwerbsquelle zu nutzen und sich Don Corleone diesem Vorhaben nicht anschließen möchte, wird er zum Ziel eines hinterhältigen Mordanschlags. Nun steht Vitos Sohn Michael in der Verantwortung, in die Fußstapfen seines Vaters zu treten, obwohl er mit den Geschäften der Familie bis dato nichts zu tun haben wollte.</t>
  </si>
  <si>
    <t>Zum Zerreißen gespannt</t>
  </si>
  <si>
    <t>Tension</t>
  </si>
  <si>
    <t>tt0041954</t>
  </si>
  <si>
    <t>Richard Basehart, Audrey Totter, Cyd Charisse, Barry Sullivan, Lloyd Gough</t>
  </si>
  <si>
    <t>Warren Quimby hat die Demütigungen und Seitensprünge von Ehefrau Claire jahrelang mit stiller Geduld ertragen. Als sie ihn wegen eines anderen Mannes endgültig verlassen will, platzt ihm der Kragen, und er schwört, seinen Nebenbuhler zu ermorden. Erst die Beziehung zu der jungen Mary läßt seine Rachegelüste verklingen. Doch dann wird Claires Liebhaber tot aufgefunden...</t>
  </si>
  <si>
    <t>Mord Exklusiv</t>
  </si>
  <si>
    <t>Terza ipotesi su un caso di perfetta strategia criminale</t>
  </si>
  <si>
    <t>tt0069364</t>
  </si>
  <si>
    <t>Lou Castel, Beba Lončar, Adolfo Celi, Massimo Serato, Umberto D'Orsi</t>
  </si>
  <si>
    <t>Modelfotograf Carlo (Lou Castel) wird zufällig Zeuge eines Szenarios am Strand. Er knippst mehrere Fotos von zwei Männern, die offensichtlich dabei sind einen Mord geschickt als Unfall zu tarnen. Anschließend geht er zu einem Freund (Massimo Serato), um dessen Meinung darüber zu hören. Letzterer glaubt damit sehr viel Geld erpressen zu können und zögert nicht lange der Mafia entsprechende Infos zukommen zu lassen. Carlo schaltet außerdem auch einen bekannten Journalisten ein, doch als die Sache bekannt wird, taucht ein unbekannter Killer auf, der jeden Beteiligten aus dem Weg räumt.</t>
  </si>
  <si>
    <t>Lord Nelsons letzte Liebe</t>
  </si>
  <si>
    <t>That Hamilton Woman</t>
  </si>
  <si>
    <t>Drama, Historie, Liebesfilm</t>
  </si>
  <si>
    <t>tt0034272</t>
  </si>
  <si>
    <t>Vivien Leigh, Laurence Olivier, Alan Mowbray, Sara Allgood, Gladys Cooper</t>
  </si>
  <si>
    <t>Sir William Hamilton ein reiferer Herr ist Botschafter am neapolitanischen Hof. Emma mag es die angesehene Lady Hamilton zu sein und lebt in den Tag bis ihr Lord Nelson einen Besuch abstattet. Es entwickelt sich eine feurige Liebesromanze.</t>
  </si>
  <si>
    <t>Noch einmal mit Gefühl</t>
  </si>
  <si>
    <t>That Old Feeling</t>
  </si>
  <si>
    <t>tt0120318</t>
  </si>
  <si>
    <t>Bette Midler, Dennis Farina, Paula Marshall, Gail O'Grady, David Rasche</t>
  </si>
  <si>
    <t>Zwölf Jahre nach ihrer Trennung treffen sich auf der Hochzeit ihrer Tochter ein Filmstar und dessen geschiedener Mann, ein Kolumnist, wieder. Die alte Liebe entflammt erneut und die wiederentdeckte Zuneigung gibt dem Paar in der Elternrolle Gelegenheit, der Tochter nahezulegen, die bevorstehende Ehe mit einem spröden Nachwuchspolitiker noch einmal zu überdenken.  Carl Reiners komödiantisches Plädoyer für den Vorzug der Liebe gegenüber bürgerlicher Vernunft mit einer gut aufgelegten Bette Midler.</t>
  </si>
  <si>
    <t>Die Morde des Herrn ABC</t>
  </si>
  <si>
    <t>The Alphabet Murders</t>
  </si>
  <si>
    <t>Komödie, Krimi, Mystery</t>
  </si>
  <si>
    <t>tt0060094</t>
  </si>
  <si>
    <t>Tony Randall, Anita Ekberg, Robert Morley, Maurice Denham, Guy Rolfe</t>
  </si>
  <si>
    <t>In den 1930er Jahren erhält Poirot mit „A.B.C.“ unterschriebene Briefe, die Morde nach einem bestimmten Muster ankündigen: Das erste Opfer hat die Initialien A.A. und der Tatort beginnt ebenfalls mit A. Weiter geht es mit B und C. Gemeinsam mit einem Team der Polizei begibt sich Poirot auf die Spur des Täters. Möglicherweise sind ja die bei jedem Opfer hinterlassenen ABC-Infohefte der Bahn der entscheidende Hinweis.​</t>
  </si>
  <si>
    <t>Nur für Offiziere</t>
  </si>
  <si>
    <t>The Americanization of Emily</t>
  </si>
  <si>
    <t>Komödie, Drama, Liebesfilm, Kriegsfilm</t>
  </si>
  <si>
    <t>tt0057840</t>
  </si>
  <si>
    <t>James Garner, Julie Andrews, Melvyn Douglas, James Coburn, Joyce Grenfell</t>
  </si>
  <si>
    <t>Vom Drückeberger zum Nationalhelden: In den Wirren des Zweiten Weltkriegs will ein überzeugter Amerikaner lediglich eine englische Nationalistin zur eingefleischten Pazifistin bekehren. Doch zufällig gerät er in die amerikanische Invasion von 1944 und wird zum Helden wider Willen...</t>
  </si>
  <si>
    <t>Die barfüßige Gräfin</t>
  </si>
  <si>
    <t>The Barefoot Contessa</t>
  </si>
  <si>
    <t>US, IT</t>
  </si>
  <si>
    <t>tt0046754</t>
  </si>
  <si>
    <t>Humphrey Bogart, Ava Gardner, Edmond O'Brien, Marius Goring, Valentina Cortese</t>
  </si>
  <si>
    <t>Anlässlich der Trauerfeier zu Maria Vargas Beerdigung lassen die Trauergäste den Aufstieg der spanischen Tänzerin zum Hollywood-Star noch einmal Revue passieren. Ihre steile Karriere hat sie vor allem einem Mann zu verdanken: Harry Dawes, der sie als Regisseur ihres ersten Films zum Ruhm führte. Maria Vargas, der Star des glamourösen tanzenden Hollywoods, war geboren. Trotz diverser zweckmäßiger Liaisons und vieler Kompromisse, die das Leben eines Hollywood-Stars mit sich bringen, möchte sich Maria unbedingt selbst treu bleiben. Auf dem Höhepunkt ihres Ruhms lernt sie jedoch den skrupellosen Produzenten Muldoon kennen...</t>
  </si>
  <si>
    <t>Der Mann ihrer Träume</t>
  </si>
  <si>
    <t>The Butcher's Wife</t>
  </si>
  <si>
    <t>Fantasy, Komödie, Liebesfilm</t>
  </si>
  <si>
    <t>tt0101523</t>
  </si>
  <si>
    <t>Demi Moore, Jeff Daniels, George Dzundza, Mary Steenburgen, Frances McDormand</t>
  </si>
  <si>
    <t>Leo Lemke, Schlachter aus dem Viertel Greenwich Village in New York, kommt mit einem ganz besonderen Fang von seinem Angelurlaub in North Carolina zurück: Der bildhübschen Marina einer naiven Schönheit mit hellseherischen Fähigkeiten. Leos Stolz auf seine junge Ehefrau verwandelt sich jedoch zunehmend in Sorge, als er bemerkt, dass die übernatürlichen Fähigkeiten von Marina selbst desillusionierte Zyniker in verliebte Jungs verwandelt. Der Psychiater Dr. Alex Tremor zweifelt an Marinas so genannter 'Gabe'. Aber alles Wissen aus seinen Büchern kann nicht erklären, wieso sie so viel Freude um sich herum verbreitet und er sich immer mehr zu ihr hingezogen fühlt.</t>
  </si>
  <si>
    <t>Das Grauen - The Changeling</t>
  </si>
  <si>
    <t>The Changeling</t>
  </si>
  <si>
    <t>Horror</t>
  </si>
  <si>
    <t>tt0080516</t>
  </si>
  <si>
    <t>Ruhe sanft GmbH</t>
  </si>
  <si>
    <t>The Comedy of Terrors</t>
  </si>
  <si>
    <t>Komödie, Horror, Krimi</t>
  </si>
  <si>
    <t>tt0056943</t>
  </si>
  <si>
    <t>Vincent Price, Peter Lorre, Boris Karloff, Joyce Jameson, Joe E. Brown</t>
  </si>
  <si>
    <t>Neuengland im 19. Jahrhundert. Waldo Trumbull leitet das Beerdigungsinstitut Hinchley und Trumbull. Das Geschäft läuft allerdings so schlecht, dass Trumbull den einzigen ordentlichen Sarg immer wieder verwenden muss. Er löst das Problem mit seinem Assistenten Felix Gillie. Die beiden rollen den Leichnam aus dem Sarg in die offene Grube, wenn die Trauergäste den Ort der Bestattung verlassen haben und packen den Sarg wieder in ihre Kutsche.</t>
  </si>
  <si>
    <t>Herz am Scheideweg</t>
  </si>
  <si>
    <t>The Easiest Way</t>
  </si>
  <si>
    <t>tt0021825</t>
  </si>
  <si>
    <t>Constance Bennett, Adolphe Menjou, Robert Montgomery, Anita Page, Marjorie Rambeau</t>
  </si>
  <si>
    <t>Die mittellose Verkäuferin Laura als Werbemodel Karriere. Widerwillig wird sie die Geliebte des alternden Agenturchefs ­ bis sie sich in den Reporter Jack  verliebt...</t>
  </si>
  <si>
    <t>Das Ende einer Affaire</t>
  </si>
  <si>
    <t>The End of the Affair</t>
  </si>
  <si>
    <t>tt0048034</t>
  </si>
  <si>
    <t>Deborah Kerr, Van Johnson, John Mills, Peter Cushing, Michael Goodliffe</t>
  </si>
  <si>
    <t>Die vernachlässigte Frau eines Staatsbeamten in London zur Zeit des Ersten Weltkriegs hat eine Affäre mit einem amerikanischen Schriftsteller. Skrupel und Reue weisen ihr den Weg zum Glauben, bevor sie stirbt.</t>
  </si>
  <si>
    <t>Der Glückspilz</t>
  </si>
  <si>
    <t>The Fortune Cookie</t>
  </si>
  <si>
    <t>Short, Adult</t>
  </si>
  <si>
    <t>tt0060424</t>
  </si>
  <si>
    <t>Sigrun Theil</t>
  </si>
  <si>
    <t>Harry Hinkle wird bei einem Football-Spiel verletzt. Sein Schwager und Rechtsanwalt Gingrich sieht darin die Chance zu einem riesigen Schadensersatz und leitet alles in die Wege, um die Versicherung zu hintergehen. Wäre da nicht Boom Boom Jackson, der ehrliche Football-Spieler, der sich mit Harry anfreundet...</t>
  </si>
  <si>
    <t>French Connection - Brennpunkt Brooklyn</t>
  </si>
  <si>
    <t>The French Connection</t>
  </si>
  <si>
    <t>tt0067116</t>
  </si>
  <si>
    <t>Gene Hackman, Roy Scheider, Fernando Rey, Tony Lo Bianco, Marcel Bozzuffi</t>
  </si>
  <si>
    <t>"Popeye" Doyle und sein Partner Buddy Russo stellen die Speerspitze in New Yorks Antidrogenkrieg, doch der nervenaufreibende Alltag an der Straßenfront wird den kleinen Ermittlern weder gedankt, noch schlagen sich ihre Mühen in spürbaren Ergebnissen nieder. Nun aber ist Doyle besessen von dem Gedanken, einen justament in der Stadt weilenden Drahtzieher aus dem fernen Frankreich zur Strecke zu bringen. Der Cop läßt nichts - auch keine kriminellen Methoden - unversucht, um ans Ziel zu gelangen.</t>
  </si>
  <si>
    <t>Seine Frau hilft Geld verdienen</t>
  </si>
  <si>
    <t>The Fuller Brush Girl</t>
  </si>
  <si>
    <t>tt0042488</t>
  </si>
  <si>
    <t>Lucille Ball, Eddie Albert, Carl Benton Reid, Gale Robbins, Jeff Donnell</t>
  </si>
  <si>
    <t>Traum in Pink</t>
  </si>
  <si>
    <t>The Fuzzy Pink Nightgown</t>
  </si>
  <si>
    <t>tt0050422</t>
  </si>
  <si>
    <t>Jane Russell, Keenan Wynn, Ralph Meeker, Fred Clark, Una Merkel</t>
  </si>
  <si>
    <t>Als eine Hollywood-Diva just vor der Premiere ihres neuen Films entführt wird, glaubt sie - wie die Presse - an einen Publicity-Gag. Bald jedoch wird ihr klar, daß die Kidnapper, wenngleich keine Profis, "echt" sind. Als sich beide auch noch in sie verlieben, bleiben Verwicklungen nicht aus.</t>
  </si>
  <si>
    <t>Ein Gespenst auf Freiersfüßen</t>
  </si>
  <si>
    <t>The Ghost and Mrs. Muir</t>
  </si>
  <si>
    <t>Liebesfilm, Fantasy, Drama</t>
  </si>
  <si>
    <t>tt0039420</t>
  </si>
  <si>
    <t>Gene Tierney, Rex Harrison, George Sanders, Edna Best, Vanessa Brown</t>
  </si>
  <si>
    <t>Die Handlung dreht sich um die Witwe Lucy Muir, die gegen alle Empfehlungen in ein Anwesen am Meer zieht, obwohl es dort spukenm soll. Als sie dann jede Nacht dem Geist des früheren Besitzers Captain Gregg begegnet, weigert sie sich strikt, sich vor diesem zu fürchten. Vielmehr entsteht zwischen den beiden eine tiefe Freundschaft.</t>
  </si>
  <si>
    <t>Das Geschenk der Liebe</t>
  </si>
  <si>
    <t>The Gift of Love</t>
  </si>
  <si>
    <t>tt0051657</t>
  </si>
  <si>
    <t>Lauren Bacall, Robert Stack, Evelyn Rudie, Lorne Greene, Anne Seymour</t>
  </si>
  <si>
    <t>The Green Mile</t>
  </si>
  <si>
    <t>Crime, Drama, Fantasy</t>
  </si>
  <si>
    <t>tt0120689</t>
  </si>
  <si>
    <t>Tom Hanks, Michael Clarke Duncan, David Morse</t>
  </si>
  <si>
    <t>Paul Edgecomb und seine Kollegen sind Wärter im Todestrakt eines Gefängnisses in den 30ern. Paul versieht seinen Job zwar immer noch mit der größtmöglichen Menschlichkeit, doch er wird zunehmend zynischer, da er ständig Menschen sterben sieht. Außerdem ist er krank. Da kommt ein neuer Delinquent in den Trakt: John Coffey, ein farbiger Riese von friedlichster Bauart, der im Dunkeln Angst hat. Wie sich herausstellt, hat Coffey heilende Fähigkeiten, die auch Paul kennenlernt. Zunehmend gerät er in Zweifel, ob dieser Gigant sterben soll, vor allem da er die Morde, wegen der er verurteilt ist, nicht begangen zu haben scheint. Doch der Stuhl wartet und Coffeys Gabe droht für immer zu verschwinden ...</t>
  </si>
  <si>
    <t>Die den Hals riskieren</t>
  </si>
  <si>
    <t>The Gypsy Moths</t>
  </si>
  <si>
    <t>Liebesfilm, Drama, Action</t>
  </si>
  <si>
    <t>tt0064397</t>
  </si>
  <si>
    <t>Burt Lancaster, Deborah Kerr, Gene Hackman, Scott Wilson, Sheree North</t>
  </si>
  <si>
    <t>Sie leben von der Angst. Mike, Joe  und Malcolm sind Fallschirmakrobaten. Sie tingeln mit einer spektakulären Show von Ort zu Ort. In Bridgeville jedoch verdüstert sich der Himmel. Das Trio steigt bei Verwandten von Malcolm ab. Der verschlossene Mike beginnt dort eine Affäre mit der unglücklich verheirateten Elizabeth . Doch Liz weigert sich, ihren Mann zu verlassen. Da kapselt Mike sich ab…</t>
  </si>
  <si>
    <t>Das doppelte College</t>
  </si>
  <si>
    <t>The Happiest Days of Your Life</t>
  </si>
  <si>
    <t>tt0042541</t>
  </si>
  <si>
    <t>Alastair Sim, Margaret Rutherford, John Turnbull, Richard Wattis, John Bentley</t>
  </si>
  <si>
    <t>Wegen eines Irrtums im Ministerium müssen die Schülerinnen der resoluten Miss Whitchurch (Margaret Rutherford) zu den Jungs unter Direktor Wetherby Pond (Alaistar Sim) umquartiert werden. Die Pennäler jubeln, während sich die beiden schulischen Oberhäupter darum streiten, wer denn nun das Sagen im "doppelten College" hat…</t>
  </si>
  <si>
    <t>Rendezvous in Madrid</t>
  </si>
  <si>
    <t>The Happy Thieves</t>
  </si>
  <si>
    <t>tt0056057</t>
  </si>
  <si>
    <t>Rita Hayworth, Rex Harrison, Joseph Wiseman, Alida Valli, Grégoire Aslan</t>
  </si>
  <si>
    <t>Schmutziger Lorbeer</t>
  </si>
  <si>
    <t>The Harder They Fall</t>
  </si>
  <si>
    <t>tt0049291</t>
  </si>
  <si>
    <t>Humphrey Bogart, Rod Steiger, Jan Sterling, Mike Lane, Max Baer</t>
  </si>
  <si>
    <t>Eddie Willis ist ein gerissener Sportjournalist, der jedoch nach dem Einstellen seiner Zeitung arbeitslos ist und in Geldschwierigkeiten gerät. Er trifft auf den zwielichtigen Nick Benko, Kopf eines Box-Syndikats, der ihm viel Geld für die Pressearbeit rund um seinen neuen Schützling, den argentinischen Boxer Toro Moreno, bietet. Eddie erkennt schnell, dass Toro ein „zahmer Riese“ ist, der in keinem Boxkampf eine faire Chance hätte. Nick gibt zu, dass er auf die Niederlage Toros in einem Weltmeisterkampf und damit verbundene hohe Wettgewinne setzt und die Gegner der dafür nötigen Vorkämpfe geschmiert werden sollen. Des Geldes wegen willigt Eddie ein, Toro „hochzuschreiben“.</t>
  </si>
  <si>
    <t>Venedig sehen - und erben</t>
  </si>
  <si>
    <t>The Honey Pot</t>
  </si>
  <si>
    <t>tt0061780</t>
  </si>
  <si>
    <t>Rex Harrison, Susan Hayward, Cliff Robertson, Capucine, Edie Adams</t>
  </si>
  <si>
    <t>Der alternde Frauenheld Cecil (Rex Harrison) steht kurz vor dem Bankrott. Ein Mord soll Geld bringen. Um sich ein Alibi zu verschaffen, ordert der angeblich Todkranke drei schwerreiche Ex-Geliebte an sein Sterbebett. Die Verflossenen kommen, in Erwartung einer Erbschaft, gerne. - Brillant gespielter Kriminalfilm voller schwarzem Humor.</t>
  </si>
  <si>
    <t>Das Haus in der Carroll Street</t>
  </si>
  <si>
    <t>The House on Carroll Street</t>
  </si>
  <si>
    <t>tt0095333</t>
  </si>
  <si>
    <t>Kelly McGillis, Jeff Daniels, Mandy Patinkin, Jessica Tandy, Jonathan Hogan</t>
  </si>
  <si>
    <t>Die USA lebte im Jahr 1951 im Zeitalter des Senators McCarthy und der Hetzjagd auf alles, was kommunistisch anmutete. Weil die Journalistin Emily Crane vor dem "Ausschuss für unamerikanische Umtriebe" vor Ray Salwen nicht aussagen will, ist sie kurz später ihren Job los - zu der Zeit kein Einzelfall. Um ein bisschen Geld zu verdienen, nimmt Emily den Job als Vorleserin bei einer alten Dame an; und sieht im Haus auf der anderen Straßenseite ein paar merkwürdige Gestalten, die sie näher untersuchen will.</t>
  </si>
  <si>
    <t>Der Windhund und die Lady</t>
  </si>
  <si>
    <t>The Hucksters</t>
  </si>
  <si>
    <t>Drama, Liebesfilm, Komödie</t>
  </si>
  <si>
    <t>tt0039477</t>
  </si>
  <si>
    <t>Clark Gable, Deborah Kerr, Sydney Greenstreet, Adolphe Menjou, Ava Gardner</t>
  </si>
  <si>
    <t>Ein aus der Army entlassener Captain, der vor dem Zweiten Weltkrieg als Werbefunk-Direktor arbeitete, startet eine Kampagne für den wichtigsten Kunden einer New Yorker Werbeagentur, einen despotischen Fabrikanten für Seife. Als er dafür bei einer attraktiven, distinguierten britischen Generalswitwe "hausieren" geht, verliebt er sich in sie und riskiert seinen Job, um nicht gegen seine Überzeugung handeln zu müssen, aber auch, um die Herzensdame durch Aufrichtigkeit zu gewinnen.</t>
  </si>
  <si>
    <t>Der Geheimnisvolle Ehemann</t>
  </si>
  <si>
    <t>The Jackpot</t>
  </si>
  <si>
    <t>tt0042610</t>
  </si>
  <si>
    <t>James Stewart, Barbara Hale, James Gleason, Fred Clark, Alan Mowbray</t>
  </si>
  <si>
    <t>Reichtum ist keine Schande</t>
  </si>
  <si>
    <t>The Jerk</t>
  </si>
  <si>
    <t>tt0079367</t>
  </si>
  <si>
    <t>Steve Martin, Bernadette Peters, Catlin Adams, Mabel King, Richard Ward</t>
  </si>
  <si>
    <t>Navin Johnson ist der weiße Adoptivsohn eines armen schwarzen Farmers, der sein Elternhaus verlässt und sich als Tramper mehr schlecht als recht durchs Leben schlägt. Als er eines Tages bei einem schlecht bezahlten Job an einer Tankstelle einem Kunden die Brille mit einem kleinen Drahtteil perfekt repariert, ahnt er nicht, dass diese kleine Hilfeleistung eines Tages folgenschwer sein wird. Der überglückliche Brillenbesitzer verspricht ihm, die Erfindung patentieren zu lassen und in Serienproduktion zu fertigen. Navin hat diesen Zwischenfall schnell vergessen, zumal sein neuer Job in einem Varieté ihn schwer in Atem hält. Seine Leidenschaft mit der sexbesessenen Artistin Patty bekommt erste Risse, als er Marie kennenlernt und sich Hals über Kopf in sie verliebt. Mitten in diesem turbulenten Chaos trifft ein Brief ein, der Navins Leben auf einen Schlag ändert...</t>
  </si>
  <si>
    <t>Blutige Hände</t>
  </si>
  <si>
    <t>The Killer Is Loose</t>
  </si>
  <si>
    <t>tt0049405</t>
  </si>
  <si>
    <t>Joseph Cotten, Rhonda Fleming, Wendell Corey, Alan Hale Jr., Michael Pate</t>
  </si>
  <si>
    <t>Ein ausgebrochener Zuchthäusler schleicht in seine Heimatstadt zurück, um Rache an einem Polizisten zu nehmen.</t>
  </si>
  <si>
    <t>Spielfieber</t>
  </si>
  <si>
    <t>The Lady Gambles</t>
  </si>
  <si>
    <t>tt0041572</t>
  </si>
  <si>
    <t>Barbara Stanwyck, Robert Preston, Stephen McNally, Edith Barrett, John Hoyt</t>
  </si>
  <si>
    <t>Eine glücklich verheiratete Frau wird von der Spielleidenschaft gepackt und zerstört damit fast ihre Ehe.</t>
  </si>
  <si>
    <t>Eine Dame verschwindet</t>
  </si>
  <si>
    <t>The Lady Vanishes</t>
  </si>
  <si>
    <t>tt0030341</t>
  </si>
  <si>
    <t>Margaret Lockwood, Michael Redgrave, Paul Lukas, May Whitty, Basil Radford</t>
  </si>
  <si>
    <t>In einem Landgasthof macht die junge Iris Henderson die Bekanntschaft von Miss Froy, einer älteren ehemaligen Gouvernante. Zusammen mit anderen Bahnreisenden sind die beiden zu dem Aufenthalt gezwungen, da eine Lawine die Schienen verschüttet hat. Als die Fahrt weitergeht, teilen sich Iris und Miss Froy ein Abteil mit einigen anderen Reisenden. Doch auf einmal ist die alte Dame verschwunden, und niemand will sie je gesehen haben. Zusammen mit den Mitreisenden Gilbert macht sich Iris auf die Suche...</t>
  </si>
  <si>
    <t>Ladykillers</t>
  </si>
  <si>
    <t>The Ladykillers</t>
  </si>
  <si>
    <t>tt0048281</t>
  </si>
  <si>
    <t>Alec Guinness, Peter Sellers, Cecil Parker</t>
  </si>
  <si>
    <t>Um einen Überfall auf einen Geldtransporter zu planen, mietet sich Professor Marcus zusammen mit seinen kriminellen Freunden bei Mrs. Wilberforce ein. Unter dem Vorwand, es handle sich bei ihnen um ein Streicherquintett, genießen sie die Abgeschiedenheit des Hauses. Als Mrs. Wilberforce den Ganoven aber auf die Schliche kommt, gilt es, sie loszuwerden. Zu dumm nur, dass die Räuber ihre Vermieterin schon längst ins Herz geschlossen haben.</t>
  </si>
  <si>
    <t>Der Tod kennt keine Wiederkehr</t>
  </si>
  <si>
    <t>The Long Goodbye</t>
  </si>
  <si>
    <t>tt0070334</t>
  </si>
  <si>
    <t>Elliott Gould, Nina van Pallandt, Sterling Hayden, Mark Rydell, Henry Gibson</t>
  </si>
  <si>
    <t>Privatdetektiv Philip Marlowe bringt seinen Freund Terry Lennox über die Grenze nach Mexiko. Wieder zuhause wird er von der Polizei als vermeintlicher Fluchthelfer verhaftet, denn Lennox soll seine Frau ermordet haben. Der Versuch, Lennox Unschuld zu beweisen, wird durch dessen angeblichen Selbstmord nicht eben erleichtert. Und je tiefer Marlowe in das mysteriöse Geschehen eindringt, desto mehr gerät er selbst in Gefahr.</t>
  </si>
  <si>
    <t>Die glorreichen Sieben</t>
  </si>
  <si>
    <t>The Magnificent Seven</t>
  </si>
  <si>
    <t>Western, Action, Abenteuer</t>
  </si>
  <si>
    <t>tt0054047</t>
  </si>
  <si>
    <t>Yul Brynner, Eli Wallach, Steve McQueen, Charles Bronson, Robert Vaughn</t>
  </si>
  <si>
    <t>Alle Jahre wieder wird eine kleine mexikanische Provinzgemeinde von der durchreisenden Räuberbande des Banditen Calvera zur Kasse gebeten. Darauf beschließen die Dorfoberen, das Geld lieber in eine Hilfstruppe von Revolverhelden zu investieren, um Calvera für immer vom Hals zu haben. Das Unterfangen erweist sich zunächst als Fehlschlag, da die Reserven der Bauern ebenso begrenzt sind wie der Idealismus ihrer Helfer. Als dann aber einige Gringos doch noch ihr Herz für die Landbevölkerung entdecken und die Söldnermentalität über Bord werfen, geht es den Banditen an den Kragen.</t>
  </si>
  <si>
    <t>Engel unter Sündern</t>
  </si>
  <si>
    <t>The Mating Game</t>
  </si>
  <si>
    <t>KO,US</t>
  </si>
  <si>
    <t>tt0053054</t>
  </si>
  <si>
    <t>Debbie Reynolds, Tony Randall, Paul Douglas, Fred Clark, Una Merkel</t>
  </si>
  <si>
    <t>Missgünstige Nachbarn schicken der Familie Larkin eine hartnäckige Steuerfahndung auf den Hals, doch Tochter Mariette schafft es, den korrekten Beamten den Schneid abzukaufen.</t>
  </si>
  <si>
    <t>Mohammed – Der Gesandte Gottes</t>
  </si>
  <si>
    <t>The Message</t>
  </si>
  <si>
    <t>LY, GB, LB, KW, MA</t>
  </si>
  <si>
    <t>Abenteuer, Drama, Action, Historie</t>
  </si>
  <si>
    <t>tt0074896</t>
  </si>
  <si>
    <t>Anthony Quinn, Irene Papas, Michael Ansara, Johnny Sekka, Michael Forest</t>
  </si>
  <si>
    <t>Man zählt das 7. Jahrhundert. Die Stadt Mekka steckt voller Intrigen. Ihre mächtigen Führer befinden sich in einem erbitterten Kampf gegen einen Mann, der den uralten Götzenglauben und damit die Gewalt der Herrschenden untergräbt: Mohammed. Der 40-jährige Prophet verurteilt Unrecht und Sklaverei und verkündet, es gebe nur einen einzigen Gott. Diese neuen Lehren missfallen den Herrschenden. Sie bekämpfen Mohammed und seine Anhänger mit allen Mitteln, doch diese sind entschlossen, ihre Botschaft weiter zu verbreiten.</t>
  </si>
  <si>
    <t>Die Spur führt zum Hafen</t>
  </si>
  <si>
    <t>The Mob</t>
  </si>
  <si>
    <t>tt0043812</t>
  </si>
  <si>
    <t>Broderick Crawford, Betty Buehler, Richard Kiley, Otto Hulett, Matt Crowley</t>
  </si>
  <si>
    <t>Polizeidetektiv Johnny Damico wird in eine Gangsterbande eingeschleust. Dort erwirbt er sich schnell den Ruf eines gnadenlosen Killers. Der Boss fordert von ihm, einen Polizisten zu beseitigen, der der Organisation gefährlich wurde. Auf dem Foto erkennt Damico sich selbst…</t>
  </si>
  <si>
    <t>denn keiner ist ohne Schuld</t>
  </si>
  <si>
    <t>The Oscar</t>
  </si>
  <si>
    <t>tt0060801</t>
  </si>
  <si>
    <t>Stephen Boyd, Elke Sommer, Milton Berle, Eleanor Parker, Joseph Cotten</t>
  </si>
  <si>
    <t>Es ist die Nacht der Oscars und ganz vorn, nominiert als bester Darsteller, sitzt Frankie Fane. Ein Stück von ihm entfernt sitzt sein bester, sein einziger Freund, der Musiker Hymie Kelly  der ihn durch seine Karriere begleitet hat, die nun ihre Erfüllung finden soll. Aber Frankie ist nicht nur durch Leistung und Können so weit nach oben gekommen, er hat auch eine Menge Leichen am Straßenrand zurückgelassen.  Einstmals verließ er seine Freundin Laurel  und Hymie für die damals noch vage Idee, über die junge Kay und später die im Filmgeschäft tätige Sopie Schauspieler zu werden. Im Grunde seines Herzens ein erfolgsverwöhnter und arroganter Kerl, der immer nur nach dem "mehr" strebt und kaum Gefühle für seine Mitmenschen hegt, klettert er die Leiter höher, nutzt seine Bekannten und Freunde aus, bekommt von dem Produzenten Regan sogar einen Filmvertrag.</t>
  </si>
  <si>
    <t>Jugenddrama</t>
  </si>
  <si>
    <t>Atemlos nach Florida</t>
  </si>
  <si>
    <t>The Palm Beach Story</t>
  </si>
  <si>
    <t>tt0035169</t>
  </si>
  <si>
    <t>Claudette Colbert, Joel McCrea, Mary Astor, Rudy Vallee, Sig Arno</t>
  </si>
  <si>
    <t>Tom ein kreativer Kopf in Geldnöten, sucht händeringend nach Finanzquellen, um seine Ideen zu vermarkten. Die Hilfsangebote seiner tatkräftigen Frau Gerry nimmt er nicht an. Gerry, die ihn liebt und ihm das nötige Geld beschaffen will, denkt sich eine List aus: Unter dem Vorwand, das Eheleben mit ihm sei langweilig geworden, fährt sie ins Scheidungsparadies Florida, um sich von ihm zu trennen und einen superreichen Mann zu heiraten. Das passt Tom gar nicht, und er reist ihr nach. Es beginnt eine wilde Verfolgungsjagd von New York nach Palm Beach, bei der es zu vielen sehr merkwürdigen Begegnungen kommt.</t>
  </si>
  <si>
    <t>Schonungslos</t>
  </si>
  <si>
    <t>The Price of Fear</t>
  </si>
  <si>
    <t>tt0049636</t>
  </si>
  <si>
    <t>Sibel Kekilli, Robby Blake, Marlene Cartier, Chris Charming</t>
  </si>
  <si>
    <t>Ohne dass sie voneinander wissen, führt das Schicksal Jessica Warren und Dave Barrett zusammen. Der Wirbel verschiedener Situationen wie Fahrerflucht, Autodiebstahl und ein kaltblütiger Mord bringt Barrett, den Miteigentümer einer Hunderennbahn, zu Unrecht unter Mordverdacht. Ein hinterhältiges Komplott gegen ihn. Bald befindet er sich in scheinbar auswegloser Situation und wird gnadenlos gejagt...</t>
  </si>
  <si>
    <t>Der Puppenmörder</t>
  </si>
  <si>
    <t>The Psychopath</t>
  </si>
  <si>
    <t>tt0060866</t>
  </si>
  <si>
    <t>Patrick Wymark, Margaret Johnston, John Standing, Alexander Knox, Judy Huxtable</t>
  </si>
  <si>
    <t>Eine mysteriöser Mörder geht um, der bei seinen Opfern jedes Mal eine Puppe zurück lässt, die dem jeweiligen Opfer wie aus dem Gesicht geschnitten schneit. Zunächst ratlos, kommt Inspektor Holloway schnell auf die Spur der rätselhaften Puppenherstellerin "Von Sturm" und der Sohn Mark. Doch haben sie wirklich was mit den Morden zu tun? Oder ist das alles nur ein schrecklicher Zufall? Zumal die Opfer auch allesamt eine Verbindung zu den "Von Sturms" haben...</t>
  </si>
  <si>
    <t>The Purple Rose of Cairo</t>
  </si>
  <si>
    <t>tt0089853</t>
  </si>
  <si>
    <t>Mia Farrow, Jeff Daniels, Danny Aiello</t>
  </si>
  <si>
    <t>Amerika in den 1930er Jahren während der Wirtschaftskrise: Auch die Kellnerin Cecilia und ihr Mann Monk müssen sparen, da Monk seinen Job in der Fabrik nicht mehr hat, weil diese schließen musste. Geldsorgen hin, fauler Ehemann her, auf was Celia nicht verzichten will, ist das Kino. Woche für Woche erlebt sie hier den neusten Film und kann sich in eine andere, sorgenfreie Welt träumen. Doch dann geschieht eines Tages etwas eigentlich Unvorstellbares. Die Figur des Tom Baxter aus ihrem aktuellen Lieblingsfilm „Purple Rose of Cairo“ steigt in einer der Vorstellungen von der Leinwand und gesteht ihr seine Liebe. Cecilia kann diese Entwicklung nicht fassen und wird mitgerissen von der romantischen Vorstellung mit Baxter zu leben. Während die anderen Filmfiguren auf der Leinwand herumlungern, weil der Film ohne Tom nicht weiter laufen kann, herrscht in Hollywood Alarmstimmung. Dort versucht man alles, um die Geschehnisse geheim zu halten...</t>
  </si>
  <si>
    <t>Der rote Teufel</t>
  </si>
  <si>
    <t>The Red Stallion</t>
  </si>
  <si>
    <t>tt0039758</t>
  </si>
  <si>
    <t>Ted Donaldson, Jane Darwell, Robert Paige, Noreen Nash, Ray Collins</t>
  </si>
  <si>
    <t>Joel liest in den kalifornischen Wäldern einen jungen, verlassenen Fuchs-Hengst auf, den er Red tauft. Joel zieht Red auf und bemerkt bald dessen beeindruckende Schnelligkeit, woraufhin er den Hengst zum Rennpferd ausbildet. Fachmännische Unterstützung erhält er von Andy McBride. Als Joels Großmutter ihre Ranch nicht mehr tragen kann, gedenkt Joel, seinen tierischen Freund zu verkaufen.</t>
  </si>
  <si>
    <t>Was weiß Mama von Liebe</t>
  </si>
  <si>
    <t>The Reluctant Debutante</t>
  </si>
  <si>
    <t>tt0052126</t>
  </si>
  <si>
    <t>Rex Harrison, Kay Kendall, John Saxon, Sandra Dee, Angela Lansbury</t>
  </si>
  <si>
    <t>Vergnügliche Komödie um die Sitte der englischen Gesellschaft, die 17 Jahre alt gewordenen Töchter bei besonderen Veranstaltungen dem weiteren Bekanntenkreis und möglichen Freiern vorzustellen. In einer Familie gibt es jedoch Schwierigkeiten, als die Tochter den für sie ausgesuchten Heiratskandidaten nicht akzeptieren will. Mit Ironie und Witz werden jene konventionellen Ball-Veranstaltungen aufs Korn genommen, die die englische Königin im selben Jahr für unzeitgemäß erklärte.</t>
  </si>
  <si>
    <t>Ein Doppelleben</t>
  </si>
  <si>
    <t>Komödie, Fantasy, Liebesfilm</t>
  </si>
  <si>
    <t>tt0039808</t>
  </si>
  <si>
    <t>Danny Kaye, Virginia Mayo, Fay Bainter, Thurston Hall, Ann Rutherford</t>
  </si>
  <si>
    <t>Das geschiedene Schauspielerpaar Anthony John und Brita liebt sich noch immer. Einem Freund und Produzenten zuliebe übernehmen sie die Rollen des Othello und der Desdemona am Broadway. Doch Anthony kann bald nicht mehr zwischen Spiel und Wirklichkeit unterscheiden...</t>
  </si>
  <si>
    <t>Rendezvous nach Ladenschluß</t>
  </si>
  <si>
    <t>The Shop Around the Corner</t>
  </si>
  <si>
    <t>tt0033045</t>
  </si>
  <si>
    <t>Margaret Sullavan, James Stewart, Frank Morgan, Joseph Schildkraut, Sara Haden</t>
  </si>
  <si>
    <t>Der bescheidene Alfred und die hübsche Klara führen einen aufregenden und vielversprechenden Briefwechsel, ohne sich jemals getroffen zu haben. Als sie in dem selben Budapester Kurzwaren-und Luxusartikelladen angestellt werden, ahnen sie immer noch nichts von der Identität des anderen. Da sie einander jedoch auch Angesicht zu Angesicht sympatisch finden, bekommen sie immer mehr Probleme mit ihren Gewissen. Schließlich schlägt die Stunde der Wahrheit, sie erkennen einander und ihrer Liebe steht nichts mehr im Wege.</t>
  </si>
  <si>
    <t>Dein Partner ist der Tod</t>
  </si>
  <si>
    <t>The Silent Partner</t>
  </si>
  <si>
    <t>tt0078269</t>
  </si>
  <si>
    <t>Elliott Gould, Christopher Plummer, Susannah York, Céline Lomez, Michael Kirby</t>
  </si>
  <si>
    <t>Miles Cullen ist ein gelangweilter Bankangestellter. Doch das ändert sich schlagartig, als die Bank von dem Dieb Harry Reikle überfallen wird.</t>
  </si>
  <si>
    <t>Stimme am Telefon</t>
  </si>
  <si>
    <t>The Slender Thread</t>
  </si>
  <si>
    <t>tt0059729</t>
  </si>
  <si>
    <t>Sidney Poitier, Anne Bancroft, Telly Savalas, Steven Hill, Ed Asner</t>
  </si>
  <si>
    <t>Alan Newell, ein schwarzer Psychologiestudent, der ehrenamtlich in einer Klinik arbeitet, erhält eines Abends einen Anruf einer ihm unbekannten Frau, welche eine Überdosis Schlaftabletten genommen hat. Durch Zuhören erfährt Newell den Namen, Inga, und weitere Details über die Frau und ihr Leben, jedoch nicht ihren Aufenthaltsort...</t>
  </si>
  <si>
    <t>Die kleinste Schau der Welt</t>
  </si>
  <si>
    <t>The Smallest Show on Earth</t>
  </si>
  <si>
    <t>tt0050985</t>
  </si>
  <si>
    <t>Virginia McKenna, Bill Travers, Margaret Rutherford, Peter Sellers, Bernard Miles</t>
  </si>
  <si>
    <t>Der mittellose Schriftsteller Matt erbt ein Kino in Sloughborough. Mit Freundin Jean reist er in das Städtchen, um das Erbe zu verscherbeln. Aber das Lichtspielhaus ist in ma-rodem Zustand ­ wie seine alte Belegschaft, die dort noch Stummfilme zeigt…</t>
  </si>
  <si>
    <t>Der Spion, der aus der Kälte kam</t>
  </si>
  <si>
    <t>The Spy Who Came In from the Cold</t>
  </si>
  <si>
    <t>tt0059749</t>
  </si>
  <si>
    <t>Richard Burton, Claire Bloom, Oskar Werner, Sam Wanamaker, Jiří Voskovec</t>
  </si>
  <si>
    <t>Alec Leamas Leiter des britischen Geheimdienstes in West-Berlin, soll den ostdeutschen Spionagechef Mundt kaltstellen. Er tarnt sich als Überläufer und behauptet, Mundt arbeite als Doppelagent für die Engländer. Die Kommunisten scheinen der Geschichte auf den Leim zu gehen...</t>
  </si>
  <si>
    <t>Der Clou</t>
  </si>
  <si>
    <t>The Sting</t>
  </si>
  <si>
    <t>tt0070735</t>
  </si>
  <si>
    <t>Paul Newman, Robert Redford, Robert Shaw, Charles Durning, Ray Walston</t>
  </si>
  <si>
    <t>Chicago um 1930. Kleingauner Johnny Hooker und sein schwarzer Partner erleichtern unwissentlich den Geldkurier des mächtigen Unterweltbosses Lonnegan. Der lässt Johnnys Partner ermorden. Johnny wendet sich an den abgehalfterten Gauner Gondorff. Sie fädeln einen raffinierten Racheplan ein, setzen auf Lonnegans Wettleidenschaft. Mit Kollegen, die von Lonnegan reingelegt worden sind, errichten sie ein falsches Wettbüro. Johnny wird zum Schein von Gondorff erschossen, Lonnegans Millionen wandern in ihre Hände.</t>
  </si>
  <si>
    <t>Wie ein Schrei im Wind</t>
  </si>
  <si>
    <t>The Trap</t>
  </si>
  <si>
    <t>CDN,GB</t>
  </si>
  <si>
    <t>Abenteuer, Western, Drama, Liebesfilm</t>
  </si>
  <si>
    <t>tt0061115</t>
  </si>
  <si>
    <t>Rita Tushingham, Oliver Reed, Rex Sevenoaks, Barbara Chilcott, Blain Fairman</t>
  </si>
  <si>
    <t>Kanada im Jahre 1850: In einer kleinen Siedlung am Rande der Wildnis findet eine Versteigerung von Frauen aus diversen Gefängnissen für die Siedler des menschenleeren Landstrichs statt. Der grobschlächtige Trapper Jean La Bète kauft während der Auktion für 1000 Dollar das stumme Waisenmädchen Eve , das einst mitansehen musste, wie ihre Eltern ermordet wurden und zwingt sie, ihn in die Wildnis zu begleiten. Eve empfindet nur Widerwillen gegen den rohen Trapper, der sie jedoch auf seine eigentümliche Art zu lieben scheint. Als Jean eines Tages in eine von seinen eigenen Fallen gerät und von einem Puma bedroht wird, befreit Eve ihn dennoch aus der Gefahrensituation und rettet ihm das Leben, indem sie sein verletztes Bein amputiert...</t>
  </si>
  <si>
    <t>Hier irrte Scotland Yard</t>
  </si>
  <si>
    <t>The Verdict</t>
  </si>
  <si>
    <t>Mystery, Krimi</t>
  </si>
  <si>
    <t>tt0039080</t>
  </si>
  <si>
    <t>Sydney Greenstreet, Peter Lorre, Joan Lorring, George Coulouris, Rosalind Ivan</t>
  </si>
  <si>
    <t>London, 1890: Der pflichtbewusste und angesehene Scotland-Yard-Superintendent George Edward Grodman hat gerade einen lang gesuchten Mörder in die Todeszelle gebracht, als sich dessen Unschuld herausstellt. Verbittert muss Grodman seinen Stuhl für den ehrgeizigen Superintendent Buckley räumen. Der tragische Irrtum nach 30 Jahren im Dienst lastet auf Grodman wie ein Fluch. Sein Freund, der Maler Victor Emmeric, will ihn mit einer Party ablenken, auf der sich auch die verfeindeten Abgeordneten Arthur Kendall und Clive Russell treffen. Sie streiten sich heftig. Am nächsten Morgen wird Kendall ermordet aufgefunden.  Buckley verdächtigt zunächst das Revuegirl Lottie, die Kendall am Vorabend im Streit um ein teures Geschenk bedrohte. Grodman bringt Buckley dazu, Kendalls Sarg in einer makabren nächtlichen Aktion zu öffnen, wobei Lotties Schmuck gefunden wird. Lottie beschuldigt indes Russell, weil er Kendall mit einem Seitensprung erpresst habe.</t>
  </si>
  <si>
    <t>The Verdict – Die Wahrheit und nichts als die Wahrheit</t>
  </si>
  <si>
    <t>tt0084855</t>
  </si>
  <si>
    <t>Paul Newman, Charlotte Rampling, Jack Warden, James Mason, Milo O’Shea</t>
  </si>
  <si>
    <t>Frank Calvin – ehemals Staranwalt, jetzt Trinker – ist am Ende. Aber er hat eine allerletzte Chance, weiter ganz oben zu sein: Ein Mädchen liegt im Koma. Der Kunstfehler eines Arztes. Das Krankenhaus will nicht zahlen und kauft den besten Verteidiger der Stadt: Ed Concoannon. Frank Calvin soll schweigen. Man bietet ihm viel Geld, doch er nimmt die Herausforderung an. Er setzt alles auf eine Karte.</t>
  </si>
  <si>
    <t>Das unheimliche Fenster</t>
  </si>
  <si>
    <t>The Window</t>
  </si>
  <si>
    <t>tt0042046</t>
  </si>
  <si>
    <t>Bobby Driscoll, Barbara Hale, Arthur Kennedy, Paul Stewart, Ruth Roman</t>
  </si>
  <si>
    <t>In einem Elendsviertel New Yorks wird ein kleiner Junge unfreiwilig Zeuge eines Mordes. Da er als Phantast gilt, glaubt ihm niemand, und als die Täter Jagd auf ihn machen steht er allein auf weiter Flur ...</t>
  </si>
  <si>
    <t>Der Mann aus Philadelphia</t>
  </si>
  <si>
    <t>The Young Philadelphians</t>
  </si>
  <si>
    <t>tt0053462</t>
  </si>
  <si>
    <t>Paul Newman, Barbara Rush, Alexis Smith, Brian Keith, Diane Brewster</t>
  </si>
  <si>
    <t>Anthony J. Lawrence, unehelicher Sohn einer Witwe, weiß sich auszudrücken und kennt die richtigen Leute, um in die Geldaristokratie von Philadelphia aufzusteigen. Über seiner Karriere vernachlässigt er seine Geliebte Joan. Gute Beziehungen verhelfen Lawrence zu einem einträglichen Job als Anwalt in Steuerfragen. Als Anthonys Jugendfreund Chester A. Gwynn unter Mordanklage vor Gericht gestellt wird, muss sich Lawrence entscheiden, ob er ihn verteidigen soll, obwohl er Gefahr läuft, seine Gönner zu verlieren. Schließlich entscheidet er sich für den Freund.</t>
  </si>
  <si>
    <t>Kein Platz für feine Damen</t>
  </si>
  <si>
    <t>This Could Be the Night</t>
  </si>
  <si>
    <t>tt0051074</t>
  </si>
  <si>
    <t>Jean Simmons, Paul Douglas, Anthony Franciosa, Julie Wilson, Neile Adams</t>
  </si>
  <si>
    <t>Modern Millie – Reicher Mann gesucht</t>
  </si>
  <si>
    <t>Thoroughly Modern Millie</t>
  </si>
  <si>
    <t>tt0062362</t>
  </si>
  <si>
    <t>Julie Andrews, James Fox, Mary Tyler Moore, Carol Channing, John Gavin</t>
  </si>
  <si>
    <t>Millie weiß genau, was sie will: ab in die Großstadt und einen reichen Mann heiraten. Darum ist sie auch sicher, dass der nette Jimmy nichts für sie ist. Ihr Boss Trevor Graydon schon eher, schließlich ist er reich und angesehen! Aber der Weg zum Ziel ist steinig - Millie muss sich nicht nur Jimmy, sondern auch ihre habgierige Vermieterin vom Leib halten. Und dann ist da auch noch die liebenswerte Miss Dorothy, die allein einfach nicht zurechtkommt. Am Ende braucht es eine wilde Party bei dem reichen Jazz-Babe Muzzy, um der Verwirrung ein Ende zu bereiten und die richtigen Paare zusammenzubringen...</t>
  </si>
  <si>
    <t>Drei kleine Worte</t>
  </si>
  <si>
    <t>Three Little Words</t>
  </si>
  <si>
    <t>tt0043044</t>
  </si>
  <si>
    <t>Fred Astaire, Red Skelton, Vera-Ellen, Arlene Dahl, Keenan Wynn</t>
  </si>
  <si>
    <t>Nach einer Verletzung kann der Entertainer Bert Kalmar nicht mehr auftreten und versucht daher zusammen mit dem Komponisten Harry Ruby sein Glück als Texter von Liedern. Ihr erstes gemeinsames Stück wird gleich zu einem Erfolg, was sowohl beruflich als auch privat zu einem Höhenflug führt.</t>
  </si>
  <si>
    <t>Drei Fremde</t>
  </si>
  <si>
    <t>Three Strangers</t>
  </si>
  <si>
    <t>tt0039029</t>
  </si>
  <si>
    <t>Sydney Greenstreet, Geraldine Fitzgerald, Peter Lorre, Joan Lorring, Robert Shayne</t>
  </si>
  <si>
    <t>In die Enge getrieben</t>
  </si>
  <si>
    <t>Tight Spot</t>
  </si>
  <si>
    <t>tt0048724</t>
  </si>
  <si>
    <t>Ginger Rogers, Edward G. Robinson, Brian Keith, Lucy Marlow, Lorne Greene</t>
  </si>
  <si>
    <t>Gangsterbraut Sherry Conley soll gegen Kumpane ihres getöten Freundes aussagen. Sie ahnt nicht, dass der bereits einen Killer auf sie angesetzt hat.</t>
  </si>
  <si>
    <t>Herausgefordert</t>
  </si>
  <si>
    <t>To Sir, with Love</t>
  </si>
  <si>
    <t>tt0062376</t>
  </si>
  <si>
    <t>Sidney Poitier, Christian Roberts, Judy Geeson, Suzy Kendall, Lulu</t>
  </si>
  <si>
    <t>Der junge farbige Lehrer Thackeray übernimmt eine Klasse an einer Schule im Londoner East End und hat es fortan mit einer Bande rebellischer Mods zu tun, die sich schlagkräftige Auseinandersetzungen mit Lehrern liefern. Schließlich gerät auch Thackeray in eine hinterlistige Falle der Schüler, aus der er sich nur im direkten Kampf mit Rädelsführer Denham befreien kann.  Sidney Poitier in einer dramatischen Glanzrolle. Das Lexikon des internationalen Films fand's nicht so gut: "Als Appell an Eltern und Erzieher gedacht, verliert der handwerklich sauber inszenierte Film durch seine vereinfachende Psychologie und beschönigende Darstellung an Glaubwürdigkeit." Der Titelsong "To Sir With Love" wurde von der britischen Popsängerin Lulu gesungen, die auch im Film mitspielt.</t>
  </si>
  <si>
    <t>Todfeinde - Die falsche Entscheidung</t>
  </si>
  <si>
    <t>Paul Dahlke, Käthe Haack, Detlof Krüger</t>
  </si>
  <si>
    <t>Modell wider Willen</t>
  </si>
  <si>
    <t>Together Again</t>
  </si>
  <si>
    <t>tt0037384</t>
  </si>
  <si>
    <t>Irene Dunne, Charles Boyer, Charles Coburn, Mona Freeman, Jerome Courtland</t>
  </si>
  <si>
    <t>Die verwitwete Bürgermeisterin einer amerikanischen Kleinstadt widersetzt sich allen Plänen ihres Schwiegervaters, sie wieder zu verheiraten, bis es einem berühmten Bildhauer gelingt, die ebenso strenge wie tüchtige Frau für sich zu gewinnen.</t>
  </si>
  <si>
    <t>Topkapi</t>
  </si>
  <si>
    <t>tt0058672</t>
  </si>
  <si>
    <t>Melina Mercouri, Peter Ustinov, Maximilian Schell</t>
  </si>
  <si>
    <t>Die gerissene nymphomane Elisabeth hat sich den smaragdbesetzten Dolch des Sultans aus dem Topkapi-Palast-Museum in den Kopf gesetzt. Mit Meisterdieb Walter, Aristokrat Cedric und Artist Giulio engagiert sie den heruntergekommenen Globetrotter Arthur für den generalstabsmäßig geplanten Raub. Arthur wird vom Geheimdienst abgefangen und ungewollt zum Spitzel. Der waghalsige Einbruch über die Dächer von Istanbul gelingt, das Sicherheitssystem wird ausgetrickst. Wäre da nicht ein winziger verirrter Vogel...</t>
  </si>
  <si>
    <t>Im Zeichen des Bösen</t>
  </si>
  <si>
    <t>Touch of Evil</t>
  </si>
  <si>
    <t>tt0052311</t>
  </si>
  <si>
    <t>Charlton Heston, Janet Leigh, Orson Welles, Joseph Calleia, Akim Tamiroff</t>
  </si>
  <si>
    <t>Der ausgesprochen atmosphärische Thriller handelt von dem mexikanischen Drogenbeamten Ramon Miguel Vargas, der vorzeitig aus seinen Flitterwochen in den Dienst zurückkehren muss, um den Mord an einem amerikanischen Bauunternehmer aufzuklären. Getötet von einer Autobombe, kam er auf der amerikanischen Seite der Grenze ums Leben. Doch für Vargas besteht kein Zweifel, dass die Bombe in Mexiko angebracht wurde. Als er den korrupten Polizei-Captain Hank Quinlan, der die Ermittlungen von US-Seiten aus leitet, dabei erwischt, wie er einem mexikanischen Jungen Beweismaterial unterschieben will, nimmt er Quinlans frühere Fälle genauer unter die Lupe. Gerade als er dem Verräter auf die Schliche gekommen zu sein scheint, wird seine Frau Susie von der kriminellen Grandi-Familie aus Mexiko City bedroht. Die Grandis wittern nämlich die optimale Gelegenheit, den nervigen Drogenbeamten Vargas endlich unter Druck zu setzen ... oder ihn und seine Liebsten gleich ganz unter die Erde zu befördern...</t>
  </si>
  <si>
    <t>Einst kommt die Stunde</t>
  </si>
  <si>
    <t>Toward the Unknown</t>
  </si>
  <si>
    <t>tt0049870</t>
  </si>
  <si>
    <t>William Holden, Lloyd Nolan, Virginia Leith, Charles McGraw, Murray Hamilton</t>
  </si>
  <si>
    <t>Einem amerikanischen Fliegermajor, der im Koreakrieg in Gefangenschaft geraten war und unter Folterungen gegen seine Offizierspflichten verstoßen hatte, begegnen nach seiner Rückkehr in die USA Mißtrauen und Ablehnung. Als Testpilot mit neuen Raketen versucht er, sich zu rehabilitieren und sein Selbstvertrauen zurückzugewinnen...</t>
  </si>
  <si>
    <t>Puppen unterm Dach</t>
  </si>
  <si>
    <t>Toys in the Attic</t>
  </si>
  <si>
    <t>tt0057598</t>
  </si>
  <si>
    <t>Dean Martin, Geraldine Page, Yvette Mimieux, Wendy Hiller, Gene Tierney</t>
  </si>
  <si>
    <t>Julian Berniers kehrt mit seiner jungen Braut Lily Prine aus Illinois zur Familie nach New Orleans zurück. Seine unverheirateten Schwestern Carrie und Anna begrüßen das Paar, das mit teuren Geschenken ankommt. Die Schwestern hoffen, dass Julian ihnen bei ihren Ausgaben hilft, und er erzählt ihnen, dass seine profitable Fabrik zwar geschlossen wurde, es ihm aber gelungen sei, Geld zu sparen.</t>
  </si>
  <si>
    <t>Um Haaresbreite</t>
  </si>
  <si>
    <t>tt0122297</t>
  </si>
  <si>
    <t>Lotte Müller, Ernst Pittschau, Henny Porten</t>
  </si>
  <si>
    <t>Detective Walter Brown (Charles McGraw) begleitet eine Gangsterwitwe (Marie Windsor) im Nachtzug von Chicago nach Los Angeles. Dort soll sie vor dem FBI auspacken. Im Zug befinden sich jedoch einige Auftragskiller, die die Witwe unschädlich machen wollen.</t>
  </si>
  <si>
    <t>Brutale Schatten</t>
  </si>
  <si>
    <t>Un homme est mort</t>
  </si>
  <si>
    <t>F,US</t>
  </si>
  <si>
    <t>tt0070083</t>
  </si>
  <si>
    <t>Jean-Louis Trintignant, Ann-Margret, Roy Scheider, Angie Dickinson, Georgia Engel</t>
  </si>
  <si>
    <t>Ein französisches Gangstersyndikat beauftragt den Berufskiller Lucien, den Boß der Konkurrenz in Los Angeles zu töten. Lucien arbeitet schnell und präzise, und wird selbst zum Gejagten. Die Gegenseite setzt Lenny auf ihn an, einen ebenso skrupellosen wie erfahrenen Killer, der schnell den Mörder seines Bosses aufspürt. Doch der Franzose kann im Betondschungel von L.A. immer wieder untertauchen. In Kaliforniens vornehmstem Krematorium findet das Duell der Profis seinen dramatischen Höhepunkt...</t>
  </si>
  <si>
    <t>Der Mann, der mir gefällt</t>
  </si>
  <si>
    <t>Un Homme Qui Me Plaît</t>
  </si>
  <si>
    <t>LI</t>
  </si>
  <si>
    <t>tt0065146</t>
  </si>
  <si>
    <t>Jean-Paul Belmondo, Annie Girardot, Maria Pia Conte, Marcel Bozzuffi, Farrah Fawcett</t>
  </si>
  <si>
    <t>Die französische Schauspielerin Françoise fliegt zu Filmaufnahmen nach L.A. Dort lernt sie den  französischen Komponisten und Frauenheld Henri kennen, der die Filmmusik komponiert und in Rom lebt. Obwohl beide feste Beziehungen haben, lassen sie sich auf einen One-Night-Stand ein. Sie merken beide, dass sie mehr empfinden und nutzen die 8-tägige Drehpause zwischen den Aufnahmen in L.A. und New York, um mit dem Auto einen Roadtrip nach New York zu machen. Während Françoise immer mehr von der lockeren Art von Henri angetan ist, spürt Henri eine für ihn unbekannte Tiefe in der Beziehung. In New York beschließen sie, ihre jeweiligen Beziehungen zu beenden und sich 10 Tage später in Nizza zu treffen. Doch werden wirklich beide dort auftauchen?</t>
  </si>
  <si>
    <t>Ein Ehebett zur Probe</t>
  </si>
  <si>
    <t>Under the Yum-Yum Tree</t>
  </si>
  <si>
    <t>tt0057622</t>
  </si>
  <si>
    <t>Jack Lemmon, Carol Lynley, Edie Adams, Imogene Coca, Paul Lynde</t>
  </si>
  <si>
    <t>Die junge attraktive Studentin Robin zieht mit ihrem Verlobten David in ein gemeinsames Appartement zu einer Ehe auf Probe – allerdings rein platonisch. Vermieter der Wohnung ist der Junggeselle Hogan, ein notorischer Schürzenjäger. Dieser versucht nun mit List und Tücke, sich an Robin heranzumachen und David in seiner Enthaltsamkeit zu bestärken. Dabei kommt es zu einigen Verwicklungen, bis Robin und David schließlich ihr Experiment auf dem Standesamt beenden.</t>
  </si>
  <si>
    <t>Tödlicher Sog</t>
  </si>
  <si>
    <t>Undertow</t>
  </si>
  <si>
    <t>tt0042007</t>
  </si>
  <si>
    <t>Scott Brady, John Russell, Dorothy Hart, Peggy Dow, Bruce Bennett</t>
  </si>
  <si>
    <t>Ein junger Mann kommt nach Chicago, um die Tochter des Syndikatsbosses zu heiraten, der ihn vor Jahren aus der Stadt gejagt hat. Als der Gangster ermordet wird, gerät er in Verdacht und sieht sich gezwungen, den wahren Täter zu suchen.</t>
  </si>
  <si>
    <t>Auf einer Insel mit Dir</t>
  </si>
  <si>
    <t>Unknown Island</t>
  </si>
  <si>
    <t>Science Fiction, Horror, Abenteuer</t>
  </si>
  <si>
    <t>tt0040920</t>
  </si>
  <si>
    <t>Virginia Grey, Phillip Reed, Richard Denning, Barton MacLane, Dick Wessel</t>
  </si>
  <si>
    <t>Während des Zweiten Weltkriegs hat Armee Pilot Ted Osbourne (Philip Reed) eine nicht auf den Karten verzeichnete Insel entdeckt._x000D_ Von Geldgier getrieben organisiert er eine Expedition auf die Insel, die von gigantischen Tieren und Dinosauriern bewohnt wird. Die Expeditionsteilnehmer, müssen sich aber nicht nur der gefährlichen Tiere erwehren, es kommt auch zu Streitereien innerhalb der Gruppe....</t>
  </si>
  <si>
    <t>Vater wider Willen</t>
  </si>
  <si>
    <t>tt6345138</t>
  </si>
  <si>
    <t>Christian Quadflieg, Anna Schmidt, Lambert Hamel, Rita Lengyel</t>
  </si>
  <si>
    <t>Ein Cowboy, der von einem Comeback als Rodeoreiter träumt, muss die Verantwortung für seine beiden halbwüchsigen Töchter übernehmen, als seine Ex-Frau ermordet wird. Nicht nur der Vater tut sich mit der neuen Aufgabe schwer, auch die Mädchen, ausgesprochene Stadtkinder, müssen sich erst an das schlichte Landleben gewöhnen. Gefühlvolle Unterhaltung über das Zusammenwachsen einer Familie, die seltsamer Weise den Tod der Mutter und das damit verbundene Verbrechen weitgehend unbehandelt lässt.</t>
  </si>
  <si>
    <t>Verlorenes Spiel</t>
  </si>
  <si>
    <t>tt2332360</t>
  </si>
  <si>
    <t>Ellinor Büller, Lili Dominici, Fritz Kampers</t>
  </si>
  <si>
    <t>Die Ehe eines New Yorker Geschäftsmanns, der zeitweilig den Reizen einer anderen Frau erliegt, scheitert nach einer Mordaffäre endgültig: seine Frau gibt ihm den Laufpaß.</t>
  </si>
  <si>
    <t>Vertigo - Aus dem Reich der Toten</t>
  </si>
  <si>
    <t>Vertigo</t>
  </si>
  <si>
    <t>Mystery, Liebesfilm, Thriller</t>
  </si>
  <si>
    <t>tt0052357</t>
  </si>
  <si>
    <t>James Stewart, Kim Novak, Barbara Bel Geddes, Tom Helmore, Henry Jones</t>
  </si>
  <si>
    <t>Ein wegen Höhenangst aus dem Polizeidienst ausgeschiedener Detektiv verliebt sich in die neurotische Frau eines Schulfreundes, die er überwachen soll. Als diese sich von einem Kirchturm stürzt, fühlt er sich für ihren Tod verantwortlich. Doch mit dem Auftauchen einer Doppelgängerin der Toten ahnt Ferguson, dass er auf ein Täuschungsmanöver hereingefallen ist.</t>
  </si>
  <si>
    <t>Sensation am Sonnabend</t>
  </si>
  <si>
    <t>Violent Saturday</t>
  </si>
  <si>
    <t>tt0048790</t>
  </si>
  <si>
    <t>Victor Mature, Richard Egan, Stephen McNally, Virginia Leith, Tommy Noonan</t>
  </si>
  <si>
    <t>»Während sich drei Bankräuber auf ihren nächsten Coup im Berg­bauort Braden­ville vorbe­reiten, erhalten wir Einblick in die nur scheinbar heile Welt der Klein­stadt und in die Fehl­bar­keiten und Abgründe ihrer Bewoh­nerInnen. Der brutale Überfall des Trios jedoch wirft sie im besten Sinne aus der Bahn, das Scho­cke­r­eignis gibt ihnen die Chance, ihr Leben neu auszu­richten. Der arglose Vater der Amish Familie freilich, deren Farm die Gang als Unter­schlupf nutzt, erlebt auf tragische Weise, dass er mit seiner Mitmensch­lich­keit und Fried­fer­tig­keit in einer Welt der Gewalt nicht bestehen kann.«</t>
  </si>
  <si>
    <t>Heirate niemals einen Fremden</t>
  </si>
  <si>
    <t>When Strangers Marry</t>
  </si>
  <si>
    <t>Mystery, Krimi, Drama</t>
  </si>
  <si>
    <t>tt0037458</t>
  </si>
  <si>
    <t>Dean Jagger, Kim Hunter, Robert Mitchum, Neil Hamilton, Lou Lubin</t>
  </si>
  <si>
    <t>Eine junge Frau heiratet kurzentschlossen einen Mann, von dem sie nicht mehr weiß, als daß er Handelsvertreter ist. Am Ende zahlreicher verwirrender und auch gefährlicher Ereignisse muß sie erkennen, daß ihr Mann ein Mörder ist.</t>
  </si>
  <si>
    <t>Weiße Frau am Kongo</t>
  </si>
  <si>
    <t>White Witch Doctor</t>
  </si>
  <si>
    <t>Abenteuer, Horror</t>
  </si>
  <si>
    <t>tt0046547</t>
  </si>
  <si>
    <t>Susan Hayward, Robert Mitchum, Walter Slezak, Timothy Carey, Mashood Ajala</t>
  </si>
  <si>
    <t>1907, im Kongo: Ellen Burton, die junge Witwe eines Missionsarztes, ist voller Idealismus und hat sich selbst zur Missionshelferin ausbilden lassen, um den Kranken im Dschungel zu helfen. Ihr Projekt wird jedoch durch goldgierige Schurken, die die Gegend unsicher machen, gefährdet. Nur Abenteurer und Großwildjäger Lonni Douglas kann Ellen in diesen Zeiten beschützen, und sie muss es in Kauf nehmen, auch wenn ihr die großspurige Art des Schwerenöters nicht besonders gefällt...</t>
  </si>
  <si>
    <t>Wer hat in meinem Bett geschlafen</t>
  </si>
  <si>
    <t>Who's Been Sleeping in My Bed?</t>
  </si>
  <si>
    <t>tt0057682</t>
  </si>
  <si>
    <t>Dean Martin, Elizabeth Montgomery, Carol Burnett, Martin Balsam, Jill St. John</t>
  </si>
  <si>
    <t>Ungebändigt</t>
  </si>
  <si>
    <t>Woman Obsessed</t>
  </si>
  <si>
    <t>tt0053450</t>
  </si>
  <si>
    <t>Susan Hayward, Stephen Boyd, Barbara Nichols, Dennis Holmes, Theodore Bikel</t>
  </si>
  <si>
    <t>Eine Farmerswitwe mit siebenjährigem Sohn, die bei einem Waldbrand in Saskatchewan, Kanada, ihren Ehemann verlor, findet einen zuverlässigen Gehilfen und heiratet ihn. Doch der etwas zu starre Mann zieht sich den tödlichen Haß des Kindes zu.</t>
  </si>
  <si>
    <t>Die Frau Des Anderen</t>
  </si>
  <si>
    <t>Women in Love</t>
  </si>
  <si>
    <t>tt0066579</t>
  </si>
  <si>
    <t>Alan Bates, Oliver Reed, Glenda Jackson, Jennie Linden, Eleanor Bron</t>
  </si>
  <si>
    <t>Die Schwestern Gudrun und Ursula Brangwen, emanzipierte Lehrerinnen des proletarischen England er 20er Jahre, geraten durch die Freunde Rupert Birkin und Gerald Crich in erotische Spannungsfelder. Die romantische Ursula liebt den vitalen Rupert, heiratet ihn, die intellektuelle Gudrun beginnt eine leidenschaftliche Affäre mit dem labilen Gerald. Die Paare fahren in die Schweizer Alpen, trennen sich. Gerald ist unglücklich mit Gudrun, die sich einem homosexuellen Bildhauer zuwendet. Gerald nimmt sich das Leben, Rupert trauert an seinem Totenbett.</t>
  </si>
  <si>
    <t>Das letzte Weekend</t>
  </si>
  <si>
    <t>Десять негритят</t>
  </si>
  <si>
    <t>Pidax</t>
  </si>
  <si>
    <t>tt0092879</t>
  </si>
  <si>
    <t>Владимир Зельдин, Татьяна Друбич, Александр Кайдановский, Алексей Жарков, Анатолий Ромашин</t>
  </si>
  <si>
    <t>Ein Unbekannter lädt zu einem Wochenendvergnügen zehn Personen auf eine einsame Insel, beschuldigt sie eines Verbrechens und rechnet mit ihnen auf höchst individuelle und grausame Weise nach dem Muster des Kinderreims "Zehn kleine Negerlein" ab.</t>
  </si>
  <si>
    <t>Auch eine französische Ehe</t>
  </si>
  <si>
    <t>Le Tonnerre de Dieu</t>
  </si>
  <si>
    <t>F,IT,D</t>
  </si>
  <si>
    <t>tt0059823</t>
  </si>
  <si>
    <t>Jean Gabin, Michèle Mercier, Robert Hossein, Georges Géret, Emma Danieli</t>
  </si>
  <si>
    <t>Der bullige Tierarzt Léandre Brassac und seine Frau Marie leben kinderlos und ziemlich unglücklich auf einem Schloss in der Nähe von Nantes. Während Marie sich dem Alkohol hingibt, verbringt Léandre seine Zeit lieber mit seinen Pferden und herrenlosen Hunden als mit Menschen. Das ändert sich, als er der jungen und schönen Simone begegnet, die als leichtes Mädchen gilt.</t>
  </si>
  <si>
    <t>Aufenthalt vor Vera Cruz</t>
  </si>
  <si>
    <t>Les orgueilleux</t>
  </si>
  <si>
    <t>D,FR</t>
  </si>
  <si>
    <t>tt0046149</t>
  </si>
  <si>
    <t>Gérard Philipe, Michèle Morgan, Carlos López Moctezuma, Michèle Cordoue, Víctor Manuel Mendoza</t>
  </si>
  <si>
    <t>Nellie ist allein, an einem fremden Ort, umgeben von Menschen deren Sprache sie nicht spricht. Ihr Mann ist schwer krank, doch als es ihr gelingt einen Arzt zu finden, ist er bereits tot. Bei ihrer Suche ist Nellie auf den Obdachlosen Georges gestoßen. Es stellt sich heraus, dass er einst Arzt war, seinen Lebenssinn aber schon lange verloren hat. Als das ganze Dorf von einer Epidemie befallen wird, ist es an Georges, aktiv zu werden und Hilfe zu leisten. Trotz der leidvollen Umstände ist es die Begegnung mit Georges, die die junge Witwe Nellie zu unerwartetem Glück führt.</t>
  </si>
  <si>
    <t>Bei Madame Coco</t>
  </si>
  <si>
    <t>The Art of Love</t>
  </si>
  <si>
    <t>tt0058920</t>
  </si>
  <si>
    <t>James Garner, Dick Van Dyke, Elke Sommer, Angie Dickinson, Ethel Merman</t>
  </si>
  <si>
    <t>Der erfolglose junge Maler Paul Sloan weiß keine andere Lösung mehr, um seine Bilder zu verkaufen, als seinen Selbstmord vorzutäuschen. Daraufhin verkaufen sich seine Werke tatsächlich wie geschnitten Brot - nur teurer. Aber dann macht sich sein Freund Casey an seine Verlobte ran, und Paul schwört Rache. Er konstruiert Indizien, die den Freund als seinen Mörder erscheinen lassen.</t>
  </si>
  <si>
    <t>Bis wir uns wiedersehen</t>
  </si>
  <si>
    <t>Bis wir uns wiedersehn</t>
  </si>
  <si>
    <t>tt0044422</t>
  </si>
  <si>
    <t>Maria Schell, O.W. Fischer, Karl Ludwig Diehl, Kurt Meisel, Margarete Haagen</t>
  </si>
  <si>
    <t>Tamanna Sahni, gespielt von Shilpa Shetty, ist eine aufstrebende Karrierefrau. Sie hat es geschafft, Kreativdirektorin einer indienweit führenden Werbeagentur zu werden. Auf einem Klassentreffen begegnet sie ihrer Jugendliebe Rohit, und die beiden verbringen in einem Anflug von Nostalgie eine heiße Nacht miteinander. Wenig später hat Tamannas Schwester einen Autounfall, der die beiden dazu bewegt, Blut zu spenden. Dabei wird Tamannas Blut getestet, und sie erhält die schockierende Nachricht, dass sie HIV-positiv ist. Völlig entsetzt versucht sie, Rohit zu kontaktieren - aber ohne Erfolg. Bald hat sie ihren Job verloren, und findet keinen Anwalt, der sie vertritt. Tarun Anand hat Erfahrung mit dem Thema, und erklärt sich schlussendlich bereit, den Kampf mit ihr auszufechten. Sie verlieren. Schließlich spürt die niedergeschlagene Tamanna Rohit doch noch auf, der tragisch vor ihren Augen stirbt. Sein Anblick ermutigt, sie, den Kampf um Gerechtigkeit noch einmal aufzunehmen.</t>
  </si>
  <si>
    <t>Bis zum Ende aller Tage</t>
  </si>
  <si>
    <t>tt0054684</t>
  </si>
  <si>
    <t>Hanns Lothar, Helmut Griem, Akiko Wakabayashi, Carla Hagen, Ursula Lillig</t>
  </si>
  <si>
    <t>Der deutsche Seemann Glenn Dierks bringt aus Hongkong das „Tanzmädchen“ Anna Suh mit, um es auf seiner Nordseeinsel Olesund zu heiraten. Doch die Nachbarn reagieren auf die „fremde Frau“ mit Zurückhaltung, Angst, Empörung oder heimlicher Begierde. Als Glenn keinen Kredit erhält, um seine sturmflutgeschädigte Kate zu reparieren und in Husum arbeiten gehen muss, braut sich daheim Böses zusammen...</t>
  </si>
  <si>
    <t>Blutroter Morgen</t>
  </si>
  <si>
    <t>Sitting Target</t>
  </si>
  <si>
    <t>GR</t>
  </si>
  <si>
    <t>tt0069273</t>
  </si>
  <si>
    <t>Oliver Reed, Jill St. John, Ian McShane, Edward Woodward, Frank Finlay</t>
  </si>
  <si>
    <t>Harry Lomart sitzt wegen Mordes im Zuchthaus. Seine Frau Pat besucht ihn nach 6 Monaten mal wieder. Sie will nicht länger auf ihn warten. Sie beichtet ihm, das sie einen anderen gefunden hat und zudem auch noch schwanger ist. Harry dreht daraufhin durch und wütend durchschlägt er die Trennscheibe des Besucherraumes und versucht Pat zu erwürgen, was die Wärter verhindern. Harry ist von diesem Augenblick an, nur noch von einem Gedanken besessen, nämlich seine Noch-Ehefrau umzubringen. Es gelingt Harry zusammen mit seinem Freund und Mitinsassen Birdy und dem älteren Häftling MacNeil auszubrechen.</t>
  </si>
  <si>
    <t>Brief einer Unbekannten</t>
  </si>
  <si>
    <t>Letter from an Unknown Woman</t>
  </si>
  <si>
    <t>tt0040536</t>
  </si>
  <si>
    <t>Joan Fontaine, Louis Jourdan, Mady Christians, Marcel Journet, Art Smith</t>
  </si>
  <si>
    <t>Wien, um 1900. Gerade als er wegen eines drohenden Duells aus der Stadt flüchten will, erhält der leichtlebige Pianist Stefan Brand von seinem Diener den Brief einer unbekannten Frau. Darin schildert die im Sterben liegende Verfasserin, dass sie bereits als Teenager in ihn verliebt war. Als junge Frau hätten sie eine kurze Affäre miteinander gehabt, in Folge derer sie von ihm schwanger wurde. Und auch als verheiratete Frau wäre sie bereit gewesen, für ihn ihre Familie aufzugeben, doch er habe sie nicht wiedererkannt. Betroffen fragt Stefan seinen Diener nach dem Namen der Frau.</t>
  </si>
  <si>
    <t>Cowboy John - Der letzte Held im Wilden Westen</t>
  </si>
  <si>
    <t>Scandalous John</t>
  </si>
  <si>
    <t>Western, Komödie, Drama, Familie</t>
  </si>
  <si>
    <t>tt0067712</t>
  </si>
  <si>
    <t>Brian Keith, Alfonso Arau, Michele Carey, Rick Lenz, Harry Morgan</t>
  </si>
  <si>
    <t>Als die Regierung einem betagten Rancher das Land abkaufen will, greift er zu einer ungewöhnlichen Form des Protests: er macht sich mit seinem einzigen Bullen auf einen letzten "Viehtrieb". Temperamentvolle Westernkomödie, die allerdings manchmal auf abgenutzte Slapstick-Elemente zurückgreift.</t>
  </si>
  <si>
    <t>Das Böse unter der Sonne</t>
  </si>
  <si>
    <t>Evil Under the Sun</t>
  </si>
  <si>
    <t>Thriller, Krimi, Mystery, Drama</t>
  </si>
  <si>
    <t>tt0083908</t>
  </si>
  <si>
    <t>Peter Ustinov, James Mason, Sylvia Miles, Roddy McDowall, Maggie Smith</t>
  </si>
  <si>
    <t>Broadway-Diva Arlena Marshall liegt erdrosselt am griechischen Strand. Meisterdetektiv Poirot nimmt die Hotelgäste unter die Lupe. Und: Jeder hätte ein Motiv! Der eifersüchtige Gatte etwa, oder Produzent Odell, in dessen Show die Tote nicht auftreten wollte. Selbst die nette Hotelchefin ist nicht ohne…</t>
  </si>
  <si>
    <t>Der Ausgeflippte Professor</t>
  </si>
  <si>
    <t>So Fine</t>
  </si>
  <si>
    <t>tt0083099</t>
  </si>
  <si>
    <t>Ryan O'Neal, Jack Warden, Mariangela Melato, Richard Kiel, Fred Gwynne</t>
  </si>
  <si>
    <t>Ein junger Professor für Literatur steigt wider Willen in das bankrotte Bekleidungsgeschäft seines Vaters ein und erfindet zufällig eine neue, gewinnbringende Jeans-Mode.</t>
  </si>
  <si>
    <t>Der Himmel voller Geigen</t>
  </si>
  <si>
    <t>The Time, The Place and The Girl</t>
  </si>
  <si>
    <t>tt0039038</t>
  </si>
  <si>
    <t>Dennis Morgan, Jack Carson, Janis Paige, Martha Vickers, S.Z. Sakall</t>
  </si>
  <si>
    <t>Zwei Freunde wollen ein Nachtlokal eröffnen. Der Widerstand eines alten Musikprofessors wird mit der Hilfe seiner Nichte überwunden, die nicht nur im Herzen der jungen Leute, sondern auch im Showprogramm ihres Clubs die Hauptrolle spielt.</t>
  </si>
  <si>
    <t>Der Mann von Suez</t>
  </si>
  <si>
    <t>Vierteiler</t>
  </si>
  <si>
    <t>tt0086732</t>
  </si>
  <si>
    <t>Der Tod läuft hinterher</t>
  </si>
  <si>
    <t>Crime, Action, Thriller</t>
  </si>
  <si>
    <t>Die Bruchschiffer</t>
  </si>
  <si>
    <t>The Boatniks</t>
  </si>
  <si>
    <t>tt0065482</t>
  </si>
  <si>
    <t>Robert Morse, Stefanie Powers, Phil Silvers, Norman Fell, Mickey Shaughnessy</t>
  </si>
  <si>
    <t>Der etwas tolpatschige US-Küstenwachen-Kapitän Leutnant Jordan lernt die nette Kate Fairchild kennen, die einen Bootsverleih und eine Segelschule leitet. Währendessen sind drei dämliche Juwelenräuber nach einem großen Coup auf dem Weg nach Mexiko und wollen bei Kate ein Boot ausleihen, verhalten sich aber dabei so auffällig, dass ihnen der Käpt’n und die Kate auf die Schliche kommen.</t>
  </si>
  <si>
    <t>Die oberen Zehntausend</t>
  </si>
  <si>
    <t>High Society</t>
  </si>
  <si>
    <t>tt0049314</t>
  </si>
  <si>
    <t>Bing Crosby, Grace Kelly, Frank Sinatra, Celeste Holm, John Lund</t>
  </si>
  <si>
    <t>Basierend auf dem Stück The Philadelphia Story erzählt das Musical Die oberen Zehntausend aus dem Jahre 1956 die Geschichte eines erfolgreichen Jazz-Musikers, der nach Rhode Island in sein Haus zurückkehrt, wo er seine Ex-Frau Tracy wiedertrifft, die kurz vor ihrer zweiten Hochzeit steht.</t>
  </si>
  <si>
    <t>Eine Falle Für Capra</t>
  </si>
  <si>
    <t>Easy to Wed</t>
  </si>
  <si>
    <t>tt0038505</t>
  </si>
  <si>
    <t>Van Johnson, Esther Williams, Lucille Ball, Keenan Wynn, Cecil Kellaway</t>
  </si>
  <si>
    <t>Als ein mächtiger Finanzboß eine Boulevardzeitung auf zwei Millionen Dollar verklagt, weil sie in einer Falschmeldung seine Tochter verleumdet hat, inszeniert der Chefredakteur eine Intrige, um die Meldung im nachhinein bestätigen zu können: ein Reporter wird kurzerhand mit der Verlobten des Chefredakteurs verheiratet, um sich dann an die reiche Tochter "heranmachen" zu können. Anspruchsloser Unterhaltungsfilm um den damaligen Schwimmstar Esther Williams; in einigen Szenen geschickt aufgebautes und witziges, allzu unbesorgt-oberflächliches Spiel um die Moral. Ein Musical-Remake des Films "Libeled Lady" von 1936 mit Spencer Tracy und Jean Harlow.</t>
  </si>
  <si>
    <t>All Quiet on the Western Front</t>
  </si>
  <si>
    <t>tt0020629</t>
  </si>
  <si>
    <t>Louis Wolheim, Lew Ayres, John Wray, Arnold Lucy, Ben Alexander</t>
  </si>
  <si>
    <t>Kramer gegen Kramer</t>
  </si>
  <si>
    <t>Kramer vs. Kramer</t>
  </si>
  <si>
    <t>tt0079417</t>
  </si>
  <si>
    <t>Dustin Hoffman, Meryl Streep, Jane Alexander, Justin Henry, Howard Duff</t>
  </si>
  <si>
    <t>Ted Kramer, der quirlige Werbefachmann, ist befördert worden. Doch statt Champagner erwartet ihn zu Hause der Abschiedsbrief seiner Frau. Joanna hat Mann und Kind verlassen, um künftig ihr eigenes Leben zu führen. Neben seinem 14-Stunden-Job muss sich Ted von nun an um Sohn Billy kümmern. Schon bald entbrennt um Billys Sorgerecht ein Kampf, der von beiden Seiten mit härtesten Bandagen geführt wird...</t>
  </si>
  <si>
    <t>Krieg im Frieden</t>
  </si>
  <si>
    <t>Shoot</t>
  </si>
  <si>
    <t>tt0075212</t>
  </si>
  <si>
    <t>Cliff Robertson, Ernest Borgnine, Henry Silva, Larry Reynolds, James Blendick</t>
  </si>
  <si>
    <t>Ein Spiel wird blutiger Ernst. Amerika heute, sie spielen Krieg: Zwei Gruppen von Veteranen, die es zumindest am Wochenende nicht lassen können. Als der Zufall beide aufeinander treffen lässt, spiegeln die unbewältigten Probleme des Vietnam Debakels und des „American Dream“ von der unbegrenzten Freiheit wieder.</t>
  </si>
  <si>
    <t>Millionenraub in San Francisco</t>
  </si>
  <si>
    <t>Once a Thief</t>
  </si>
  <si>
    <t>tt0059540</t>
  </si>
  <si>
    <t>Alain Delon, Ann-Margret, Van Heflin, Jack Palance, John Davis Chandler</t>
  </si>
  <si>
    <t>Eddie Pedak (Alain Delon), der früher seinen Lebensunterhalt als Dieb und Kleinkrimineller verdient hat, versucht ein ordentliches Leben zu führen – mit einem anständigen Job, seiner Frau (Ann-Margret) und seiner Tochter (Tammy Locke). Doch von einem Polizisten (Van Heflin) wird er des Mordes an einem Chinesen verdächtigt – und dann taucht auch noch sein Bruder (Jack Palance) in San Francisco auf, der ihn wieder in krumme Geschäfte hineinziehen will...</t>
  </si>
  <si>
    <t>Mr. Miller ist kein Killer</t>
  </si>
  <si>
    <t>The Battle of the Sexes</t>
  </si>
  <si>
    <t>tt0052607</t>
  </si>
  <si>
    <t>Peter Sellers, Robert Morley, Constance Cummings, Jameson Clark, Donald Pleasence</t>
  </si>
  <si>
    <t>Eine alte schottische Textilfirma wird durch eine resolute und emanzipierte Amerikanerin aufgeschreckt, die den Betrieb modernisieren will. Unterhaltsame Komödie nach traditionellen Mustern britischen Humors, die der originellen Vorlage von James Thurber gerecht wird</t>
  </si>
  <si>
    <t>Noch Zimmer frei</t>
  </si>
  <si>
    <t>The Notorious Landlady</t>
  </si>
  <si>
    <t>tt0056289</t>
  </si>
  <si>
    <t>Kim Novak, Jack Lemmon, Fred Astaire, Lionel Jeffries, Estelle Winwood</t>
  </si>
  <si>
    <t>Reporter Buzzy giert nach der großen Story. Da besucht ihn eine alte Dame und liefert, was er braucht: 1939 verschwand Hollywood-Kinderstar Sally Shine im Lift des "Tower Hotel" - die Umstände wurden nie geklärt. Buzzy und seine Nichte Anna gehen dem Fall auf den Grund. Und tatsächlich: In dem alten Spukkasten treiben seit 60 Jahren Geister ihr Unwesen</t>
  </si>
  <si>
    <t>Sherlock Holmes’ größter Fall</t>
  </si>
  <si>
    <t>A Study in Terror</t>
  </si>
  <si>
    <t>Krimi, Drama, Horror, Mystery</t>
  </si>
  <si>
    <t>tt0059764</t>
  </si>
  <si>
    <t>John Neville, Donald Houston, John Fraser, Anthony Quayle, Barbara Windsor</t>
  </si>
  <si>
    <t>Im London des ausgehenden 19. Jahrhunderts werden fünf Prostituierte auf bestialische Weise ermordet. Der bisher unerkannt gebliebene Täter verfügt offenbar über medizinische Kenntnisse und schickt Briefe an Scotland Yard, in denen er die Unfähigkeit der ermittelnden Beamten verhöhnt und weitere Morde ankündigt.  Der große Privatdetektiv Sherlock Holmes beginnt sich für den Fall Jack the Ripper zu interessieren, als ihm eine unbekannte Person ein Kästchen mit chirurgischen Instrumenten zukommen lässt, bei dem das große Amputationsmesser fehlt. Auf dem Kästchen selbst ist das Familienwappen der Lords of Carfax zu sehen.</t>
  </si>
  <si>
    <t>7 Psychos</t>
  </si>
  <si>
    <t>Seven Psychopaths</t>
  </si>
  <si>
    <t>United Kingdom, USA</t>
  </si>
  <si>
    <t>tt1931533</t>
  </si>
  <si>
    <t>Colin Farrell, Woody Harrelson, Sam Rockwell</t>
  </si>
  <si>
    <t>Der Drehbuchautor Marty hat beim Schreiben Ladehemmung und kommt mit seinem Drehbuch einfach nicht weiter. Dabei hat er mit '7 Psychopaths' bereits einen guten Titel, aber ihm fehlen die Figuren. Deshalb gibt sein bester Freund Billy eine Anzeige auf, in der er Psychopathen sucht – und zieht Marty in die Auseinandersetzung mit dem Gangsterboss Charlie hinein, dessen geliebten Hund Bonnie er entführt hat. Daher stecken sie schon bald mit Billys undurchsichtigem Chef Hans inmitten eines aberwitzigen Abenteuers.</t>
  </si>
  <si>
    <t>10 Jahre - Zauber eines Wiedersehens</t>
  </si>
  <si>
    <t>Ten Year</t>
  </si>
  <si>
    <t>tt1715873</t>
  </si>
  <si>
    <t>Channing Tatum, Jenna Dewan, Justin Long, Max Minghella, Oscar Isaac</t>
  </si>
  <si>
    <t>Nach ihrem Schulabschluss schworen sich die Freunde Jake , Cully, Reeves, AJ und Marty den Kontakt zu halten. Doch schon nach wenigen Jahren verloren sie sich aus den Augen und jeder ging seine eigenen Wege. Nun treffen sich sich nach 10 Jahren wieder, viel verändert hat sich jedoch nicht.  Jake, ist endlich bereit seiner Freundin einen Heiratsantrag zu machen, bis er auf dem Event seiner High-School-Flamme begegnet. Cully hat seine Cheerleader-Freundin geheiratet und findet, es ist nun an der Zeit sich bei all seinen ehemaligen Mitschülern zu entschuldigen, die er damals gehänselt hat. Die ewigen Rivalen Marty und A.J machen genau da weiter, wo sie in der Schule aufgehört haben und versuchen It-Girl Anna zu beeindrucken. Reeves ist inzwischen ein Rockstar aber immernoch zu schüchtern um seine Jugendliebe anzusprechen.</t>
  </si>
  <si>
    <t>Zehn Tage allein mit Papa</t>
  </si>
  <si>
    <t>10 jours encore sans maman</t>
  </si>
  <si>
    <t>tt16983432</t>
  </si>
  <si>
    <t>Franck Dubosc, Aure Atika, Alexis Michalik, Héléna Noguerra, Violette Guillon</t>
  </si>
  <si>
    <t>Nachdem Antoine seinen Job verloren hat, kümmert er sich als Hausmann um seine vier Kinder, während seine Frau Isabelle ihre Karriere als Anwältin wieder aufnimmt. Für Antoine ist der bevorstehende Familienurlaub ein Geschenk des Himmels: Endlich kann er sich eine Auszeit vom Elternsein nehmen und den Aufenthalt in einem luxuriösen Skigebiet genießen! Doch Isabelle wird wegen eines Notfalls zur Arbeit gerufen und Antoine bleibt nichts anderes übrig, als sich ganz allein um seine quirligen Kinder zu kümmern, die ausgelassen auf der Piste und im schicken Hotel herumtoben. Und so dauert es nicht lange, bis das Chaos überhandnimmt.</t>
  </si>
  <si>
    <t>A Killer Romance</t>
  </si>
  <si>
    <t>Hit Man</t>
  </si>
  <si>
    <t>tt23622054</t>
  </si>
  <si>
    <t>John Clarence Stewart, Marija Juliette Abney, Christian Campbell</t>
  </si>
  <si>
    <t>Nach einer kurzen und leidenschaftlichen Beziehung entdecken die Frischvermählten Rafer und Suzie bald, dass der jeweils andere ein tödliches Geheimnis hütet, das sie beide auf einen Weg schickt, der entweder ihre Ehe retten oder ihr Leben beenden wird. Manche Paare lieben dich zu Tode.</t>
  </si>
  <si>
    <t>A Real Pain</t>
  </si>
  <si>
    <t>tt21823606</t>
  </si>
  <si>
    <t>Kieran Culkin, Jesse Eisenberg, Olha Bosova</t>
  </si>
  <si>
    <t>Die ungleichen Cousins David und Benji reisen gemeinsam nach Polen, um mehr über das Leben ihrer kürzlich verstorbenen Großmutter zu erfahren. Der Roadtrip, der als Reise in die Vergangenheit gedacht war, konfrontiert die beiden mit der Gegenwart, in der sie ihre Beziehung zueinander und ihre Familiengeschichte hinterfragen.</t>
  </si>
  <si>
    <t>Ab in den Dschungel</t>
  </si>
  <si>
    <t>Babysitting 2</t>
  </si>
  <si>
    <t>tt4400058</t>
  </si>
  <si>
    <t>Philippe Lacheau, Alice David, Vincent Desagnat</t>
  </si>
  <si>
    <t>Franck hat alles genau geplant: Während eines Urlaubs mit seiner Freundin Sonia und gemeinsamen Freunden will er seiner Angebeteten einen Heiratsantrag machen. Als Reiseziel hat sich die Gruppe das Öko-Hotel von Sonias Vater in Brasilien ausgesucht, sodass die Verlobung gleich im Kreise der Familie freudig gefeiert werden kann – so zumindest der Plan. Doch natürlich kommt alles anders: Francks Schwiegervater in spe kann ihn nicht ausstehen, ebenso wenig wie Sonias Großmutter, Trauzeuge Alain verschluckt aus Versehen den Verlobungsring und am Ende verirrt sich Franck auch noch samt Freundeskreis und im Rollstuhl sitzender Großmutter im Dschungel. Nun müssen sich Sonia und ihr Vater auf die Suche nach der verlorenen Truppe machen – und dabei stehen ihnen einige wahnwitzige Überraschungen bevor.</t>
  </si>
  <si>
    <t>Aber, Herr Doktor! - Gesamtedition</t>
  </si>
  <si>
    <t>AbServiert</t>
  </si>
  <si>
    <t>Abserviert</t>
  </si>
  <si>
    <t>tt37813580</t>
  </si>
  <si>
    <t>Mitch soll im stadtbekannten Restaurant "Shenaniganz" angelernt werden, das berühmt für seine außergewöhnlich nette Bedienung ist. An seinem ersten Arbeitstag wird ihm der Kellner Monty zur Seite gestellt, der ihn in die Erfolgsgeheimnisse des Gastronomiebetriebes einweihen soll. Schnell wird Mitch klar, womit sich die Mitarbeiter ihren Tag versüßen, wenn die Kundschaft allzu launisch ist …</t>
  </si>
  <si>
    <t>Allein mit Dad &amp; Co</t>
  </si>
  <si>
    <t>Getting Even with Dad</t>
  </si>
  <si>
    <t>tt0109891</t>
  </si>
  <si>
    <t>Macaulay Culkin, Ted Danson, Glenne Headly, Saul Rubinek, Gailard Sartain</t>
  </si>
  <si>
    <t>Ray Gleason, ein ebenso glänzender Konditor wie miserabler Ganove, plant mit zwei Kumpels einen letzten, großen Coup, der ihn aller materieller Sorgen entledigen soll. Doch genau zu dem Zeitpunkt, als das Verbrechen geplant ist, taucht sein Sohn Timmy auf. Der lästige Dreikäsehoch bringt es in der Folge nicht nur fertig, das Gangstertrio ein ums andere Mal zu düpieren, sondern schafft es letztendlich sogar, seinen Vater auf den Pfad der Tugend zurückzuführen.</t>
  </si>
  <si>
    <t>Allein unter Nachbarn</t>
  </si>
  <si>
    <t>tt2370834</t>
  </si>
  <si>
    <t>Hannes Jaenicke, Dana Golombek, Nina Monka</t>
  </si>
  <si>
    <t>Ex-Bundeswehrsoldat Harald Westphal zieht mit seiner zweiten Frau, dem gemeinsamen Kind, seinen beiden jüngeren Töchtern aus erster Ehe, seinem Schwiegersohn und seiner Enkelin in eine größere Wohnung nach Berlin-Neukölln. Schnell gibt es Probleme mit der multikulturellen Nachbarschaft.</t>
  </si>
  <si>
    <t>Alles Fifty Fifty</t>
  </si>
  <si>
    <t>tt27458299</t>
  </si>
  <si>
    <t>Laura Tonke, Moritz Bleibtreu, Valentin Thatenhorst</t>
  </si>
  <si>
    <t>Marion und Andi halten sich trotz Scheidung für Vorzeigeeltern und kümmern sich fifty-fifty um ihren elfjährigen Sohn Milan. Der gemeinsame Sommerurlaub in Italien, bei dem auch Marions neuer Freund dabei ist, zeigt jedoch überraschende Erziehungslücken auf: Milan ist ein verwöhntes Einzelkind, das Espresso trinkt, gezielt seine Eltern gegeneinander ausspielt, aber noch nicht mal schwimmen kann. Zeit für ein neues Kapitel elterliche Fürsorge! Marion und Andi beschließen die Versäumnisse ihrer Erziehung nun gemeinsam anzugehen und kommen sich dabei wieder näher. Während Milan auf dem Campingplatz neben dem Luxus-Hotel seine erste zarte Liebe erlebt und die Eltern sich neu entdecken, wächst die Hoffnung, wieder zu einer Familie zusammenzufinden.</t>
  </si>
  <si>
    <t>Alles in bester Ordnung</t>
  </si>
  <si>
    <t>tt15444460</t>
  </si>
  <si>
    <t>Corinna Harfouch, Daniel Sträßer, Joachim Król</t>
  </si>
  <si>
    <t>Früher reiste sie oft durch die Welt, aber im Laufe ihres Lebens ist die 54-jährige Marlen (Corinna Harfouch) zu einer Einsiedlerin geworden. Sie versteckt sich geradezu in ihrer Wohnung und hortet Dinge, die für sie eine große Bedeutung haben und von denen sie sich einfach nicht trennen kann. Fynn (Daniel Sträßer) dagegen ist 32 und reist mit einem kleinen Rollkoffer durch die Welt. Er ist der Meinung, dabei nicht mehr als hundert Dinge zu brauchen. Als Marlen und Fynn aufeinandertreffen, könnten die Unterschiede also größer nicht sein. Humorvoll werfen sie sich miteinander in Diskussionen und merken bald, wie sehr sie einander brauchen.</t>
  </si>
  <si>
    <t>Alte Jungs</t>
  </si>
  <si>
    <t>The Old Maid</t>
  </si>
  <si>
    <t>LUX</t>
  </si>
  <si>
    <t>tt0031750</t>
  </si>
  <si>
    <t>Bette Davis, Miriam Hopkins, George Brent, Donald Crisp, Jane Bryan</t>
  </si>
  <si>
    <t>Charlotte und Delia Lovell sind zwei charmante, sich nahestehende Cousinen aus der besseren Gesellschaft in Philadelphia. Es ist der Tag von Delias Hochzeit, als ihr im Bürgerkrieg verschollen geglaubter Verlobter Clem wieder auftaucht. Trotzdem vermählt sich Delia mit dem wohlhabenden Jim Ralston, während Charlotte, selbst in Clem verliebt, sich um den Enttäuschten kümmert. Doch der erlebt das Ende des Krieges nicht mehr, und Charlotte leitet inzwischen ein Waisenhaus. Als sich die Möglichkeit bietet, den Bruder von Delias Mann zu heiraten, gesteht sie ihr eine schreckliche Wahrheit: Unter den Waisenkindern ist ihre eigene und Clems uneheliche Tochter Clementina, deren Existenz sie bisher verheimlichen konnte....</t>
  </si>
  <si>
    <t>American Dreamer</t>
  </si>
  <si>
    <t>tt13884444</t>
  </si>
  <si>
    <t>Peter Dinklage, Shirley MacLaine, Kimberly Quinn</t>
  </si>
  <si>
    <t>Der schlecht bezahlte Universitätsprofessor Dr. Phil Loder träumt davon, endlich ein Eigenheim zu besitzen. Da sein Freund, der windige Makler Dell, ihm keine Immobilien zu erschwinglichen Preisen anbietet, geht er online selbst auf die Suche und wird fündig. Eine einsame Witwe bietet Phil ihr wundervolles Anwesen zu einem Spottpreis an. Doch wie zu befürchten war, ist das Angebot zu schön um wahr zu sein – und hat einen Haken.</t>
  </si>
  <si>
    <t>Annie</t>
  </si>
  <si>
    <t>tt0083564</t>
  </si>
  <si>
    <t>Aileen Quinn, Albert Finney, Carol Burnett</t>
  </si>
  <si>
    <t>Annie, ist die Geschichte eines mutigen, kleinen, rothaarigen Mädchens, das davon träumt, aus dem armseligen Waisenhaus herauszukommen. Sie versucht mehrmals zu fliehen, aber Miss Hannigan, die trunksüchtige Herrscherin des Waisenhauses, vereitelt ihre Pläne immer wieder. Eines Tages wird Annie auserwählt, eine Woche im Haus des berühmten Milliardärs “Daddy” Warbucks zu verbringen. Annies liebenswürdiges Wesen bezaubert “Daddy” so, dass aus einer viele Wochen werden. Zusammen stellen sie ganz New York auf den Kopf. In der Zwischenzeit aber plant Miss Hannigan mit zwielichtigen Helfern, Annie zu kidnappen.</t>
  </si>
  <si>
    <t>Are You There God It’s Me, Margaret</t>
  </si>
  <si>
    <t>Abby Ryder Fortson, Rachel McAdams, Kathy Bates</t>
  </si>
  <si>
    <t>Arlen Faber</t>
  </si>
  <si>
    <t>The Answer Man</t>
  </si>
  <si>
    <t>tt1187041</t>
  </si>
  <si>
    <t>Jeff Daniels, Lauren Graham, Lou Taylor Pucci, Kat Dennings, Olivia Thirlby</t>
  </si>
  <si>
    <t>Arlen Faber wurde mit dem Selbsthilfebuch "Ich und Gott" weltberühmt. Selbst 20 Jahre nach Erscheinen des Mega-Bestsellers ist jedermann begierig darauf, ihn kennenzulernen, denn man erhofft sich von ihm Antworten auf die wichtigen Fragen des Lebens. Doch der öffentlichkeitsscheue Autor lebt zurückgezogen in seinem Elfenbeinturm und vermeidet jeden Kontakt mit seinen treuen Lesern. Die Liebe zu einer Chiropraktikerin lockt den Einsiedler schließlich zurück ins Leben. Arlen spürt, dass er einiges nachzuholen hat, doch als seine Beziehung Schiffbruch erleidet, braucht der geniale Ratgeber dringend selbst einen Rat.</t>
  </si>
  <si>
    <t>Away We Go – Auf nach Irgendwo</t>
  </si>
  <si>
    <t>Away We Go</t>
  </si>
  <si>
    <t>tt1176740</t>
  </si>
  <si>
    <t>John Krasinski, Maya Rudolph, Carmen Ejogo, Catherine O'Hara, Jeff Daniels</t>
  </si>
  <si>
    <t>Anfang 30 stehen Burt und Verona vor einer großen Zäsur. In drei Monaten wird ihr erstes Kind geboren und damit ihr sorglos ungeplantes Leben kräftig durcheinander gebracht werden. Als Burts Eltern durch Spontanumzug nach Europa als Ratgeber ausfallen, reist das Paar durch Amerika, besucht Freunde und Verwandte, um einen neuen Lebensraum für ihre Kleinfamilie und mögliche Erziehungshilfen zu finden. Die perfekte Familie aber begegnet ihnen nirgendwo, aber irgendwo ist ein Ort, an dem sie diese schließlich selbst aufzubauen versuchen.</t>
  </si>
  <si>
    <t>Baby Driver</t>
  </si>
  <si>
    <t>UK,US</t>
  </si>
  <si>
    <t>tt3890160</t>
  </si>
  <si>
    <t>Ansel Elgort, Jon Bernthal, Jon Hamm</t>
  </si>
  <si>
    <t>Der Film handelt von einem talentierten jungen Fluchtwagenfahrer, der sich ganz auf den Beat seiner persönlichen Playlist verlässt, um der Beste in seinem Job zu werden. Als er das Mädchen seiner Träume trifft, sieht Baby eine Chance, seine kriminelle Karriere an den Nagel zu hängen und einen sauberen Ausstieg zu schaffen. Aber nachdem er gezwungen wird, für einen Gangsterboss zu arbeiten und ein zum Scheitern verurteilter Raubüberfall sein Leben, seine Liebe und seine Freiheit gefährdet, muss er für seine Handlungen geradestehen.</t>
  </si>
  <si>
    <t>Baby Trouble</t>
  </si>
  <si>
    <t>Baby Trouble Hole</t>
  </si>
  <si>
    <t>tt4325598</t>
  </si>
  <si>
    <t>Blixa Bargeld, Bjorn Bernhardsson, Bino</t>
  </si>
  <si>
    <t>Baby Trouble 2</t>
  </si>
  <si>
    <t>Bytte Bytte Barn</t>
  </si>
  <si>
    <t>tt31828433</t>
  </si>
  <si>
    <t>Mille Dinesen, Lars Ranthe, Katinka Lærke Petersen, Kasper Dalsgaard, Thomas Bo Larsen</t>
  </si>
  <si>
    <t>Als zwei Paare erfahren, dass ihre Eizellen doch nicht in der Klinik vertauscht wurden, beschließen sie zusammenzuziehen, um ihre Kinder gemeinsam großzuziehen.</t>
  </si>
  <si>
    <t>Back in Action</t>
  </si>
  <si>
    <t>tt21191806</t>
  </si>
  <si>
    <t>Jamie Foxx, Cameron Diaz, McKenna Roberts</t>
  </si>
  <si>
    <t>Fünfzehn Jahre, nachdem es die CIA verlassen hat, um eine Familie zu gründen, kehrt ein Paar in die Welt der Spionage zurück, als ihre Tarnung auffliegt.</t>
  </si>
  <si>
    <t>Beverly Hills Cop 4</t>
  </si>
  <si>
    <t>Beverly Hills Cop: Axel F</t>
  </si>
  <si>
    <t>tt3083016</t>
  </si>
  <si>
    <t>Eddie Murphy, Joseph Gordon-Levitt, Taylour Paige, Judge Reinhold, John Ashton</t>
  </si>
  <si>
    <t>40 Jahre nach seinem ersten unvergesslichen Fall in Beverly Hills tut Axel Foley erneut, was er am besten kann: Verbrechen aufklären und Chaos verbreiten.</t>
  </si>
  <si>
    <t>Bipolar Meine Mama ist anders</t>
  </si>
  <si>
    <t>Knetter</t>
  </si>
  <si>
    <t>tt0408302</t>
  </si>
  <si>
    <t>Jesse Rinsma, Carice van Houten, Tom van Kessel, Frieda Pittoors, Daan Schuurmans</t>
  </si>
  <si>
    <t>Was macht man, wenn man eine Mutter hat, die viel verrücktere Ideen hat als man selbst? Die einen im Pyjama von der Schule abholt, fünf Eisbecher auf einmal bestellt und glaubt, dass man Elefanten einfach so im Garten halten kann?  Normalerweise lässt sich die neunjährige Bonnie durch all das kaum aus der Ruhe bringen. Ihre Mutter Lis ist eben so, wie sie ist. Das ist zwar manchmal ganz schön anstrengend, aber trotzdem würde Bonnie niemals tauschen wollen. Und zum Glück gibt es ja noch die Oma, die immer für Bonnie da ist. Auch an den schlechten Tagen, wenn Bonnies Mutter sich im Bett verkriecht und sich weigert, jemals wieder aufzustehen.</t>
  </si>
  <si>
    <t>Blind Wedding - Hilfe sie hat ja gesagt</t>
  </si>
  <si>
    <t>Wedding Daze</t>
  </si>
  <si>
    <t>tt0484877</t>
  </si>
  <si>
    <t>Jason Biggs, Isla Fisher, Michael Weston, Ebon Moss-Bachrach, Joe Pantoliano</t>
  </si>
  <si>
    <t>Der erste Versuch eines Heiratsantrages läuft bei Anderson gehörig schief: Anstatt ja zu sagen, erleidet seine Herzensdame einen Herzinfarkt und stirbt. Jahre später versucht sein Kumpel Ted ihm über die seither vorherrschende Lethargie und Trauer hinwegzuhelfen und überredet Anderson, sich nach einer neuen Liebe umzuschauen. Allerdings meint er es dann doch etwas zu gut, als er der nächstbesten Kellnerin einen Antrag macht. Zu allem Unglück sagt diese auch noch Ja. Das kann eigentlich nicht gut gehen.</t>
  </si>
  <si>
    <t>Blinkende Lichter</t>
  </si>
  <si>
    <t>Blinkende lygter</t>
  </si>
  <si>
    <t>tt0236027</t>
  </si>
  <si>
    <t>Søren Pilmark, Ulrich Thomsen, Mads Mikkelsen, Nikolaj Lie Kaas, Sofie Gråbøl</t>
  </si>
  <si>
    <t>Wer träumt nicht davon das großes Geld zu machen, um einen ruhigen Lebensabend und der Mittelmeersonne zu genießen? So geht es auch den Kleinkriminellen Torkild, Peter, Arne und Stefan, denen ihr bisheriges Leben zu wenig lukrativ und zu anstrengend geworden ist. Deswegen sind sie auf die Idee verfallen, einfach ihren eigenen Boss zu beklauen. Das Problem ist nur, dass sie sich nach der erfolgreichen Tat eigentlich möglichst schnell aus Dänemark entfernen müssen, um nicht von ihren Gangsterkollegen in die Mangel genommen zu werden. Die Flucht endet aber bereits in einem einsamen Waldstück mitten in der skandinavischen Ödnis, wo sie aufgrund einer Autopanne gerade noch ein heruntergekommenes Haus erreichen können. Die vier Räuber richten sich gemütlich ein, um sich versteckt zu halten, bis Gras über die Sache gewachsen ist. Dabei werden sie mit ihrer Vergangenheit konfrontiert.</t>
  </si>
  <si>
    <t>Bodyguard</t>
  </si>
  <si>
    <t>tt1729637</t>
  </si>
  <si>
    <t>Richard Madden, Sophie Rundle, Vincent Franklin</t>
  </si>
  <si>
    <t>Book Club - The Next Chapter</t>
  </si>
  <si>
    <t>Book Club: The Next Chapter</t>
  </si>
  <si>
    <t>tt20768712</t>
  </si>
  <si>
    <t>Diane Keaton, Jane Fonda, Candice Bergen</t>
  </si>
  <si>
    <t>Vivians, Dianes, Carols und Sharons Leben wurden gerade erst auf den Kopf gestellt, als mit den „Fifty Shades of Grey“-Bestsellern auch die Erotik wieder zurück in die Leben der vier Freundinnen kehrte. Und jetzt steht ein großer Mädelsausflug nach Italien an. So einen hatten die vier nämlich noch nie, also muss das dringend nachgeholt werden. Natürlich laufen die Dinge eher nicht wie geplant und letztlich ganz schön aus dem Ruder. Ihr Urlaub verwandelt sich damit ungewollt in ein wildes Abenteuer, dass das Quartett quer durch ganz Italien reisen lässt.</t>
  </si>
  <si>
    <t>Breakfast of Champions – Frühstück für Helden</t>
  </si>
  <si>
    <t>Breakfast of Champions</t>
  </si>
  <si>
    <t>tt0120618</t>
  </si>
  <si>
    <t>Bruce Willis, Albert Finney, Nick Nolte, Barbara Hershey, Glenne Headly</t>
  </si>
  <si>
    <t>Dwayne Hoover, Midland Citys bekanntester Autohausbesitzer und erfolgsverwöhnter Strahlemann, droht endgültig seinen Verstand zu verlieren. Ehefrau Celia ist längst zum Tabletten- und TV-Junkie geworden, Sohn George träumt von der großen Karriere als singendes Barhäschen und sein Mitarbeiter Harry sieht sich am liebsten in Frauenunterwäsche. Als dann auch noch seine Sekretärin und Geliebte Francine mit dem Ende ihrer Beziehung droht, flüchtet sich Hoover in die verrückte Vorstellung, daß ihm nur noch der verwirrte Science Fiction-Autor Kilgore Trout helfen kann. Bis diese beiden jedoch endlich zusammentreffen, wird Hoovers Leben wohl endgültig aus den Fugen geraten.</t>
  </si>
  <si>
    <t>Breaking News in Yuba County</t>
  </si>
  <si>
    <t>tt7737640</t>
  </si>
  <si>
    <t>Allison Janney, Mila Kunis, Regina Hall</t>
  </si>
  <si>
    <t>Als ihr Ehemann Karl spurlos vom Erdboden verschwindet, macht sich seine Gattin Sue Buttons die bisher in ihrem ereignislosen Vorstadtleben still vor sich hin gelitten hat, auf die Suche nach ihm. Und damit wird sie über Nacht zur Mediensensation: Erstmals hat Sue Gelegenheit herauszufinden, wie es sich anfühlt, wenn man im Rampenlicht der Öffentlichkeit steht und von den Menschen geliebt wird. Doch lange scheint die Sonne nicht. Denn da sind eine neugierige Polizistin, ihre Halbschwester, eine Möchtegern-Gangsterin und der nichtsnutzige Bruder ihres Ehemanns, die Sue einen Strich durch die Rechnung machen wollen.</t>
  </si>
  <si>
    <t>Catch Me!</t>
  </si>
  <si>
    <t>Central Intelligence</t>
  </si>
  <si>
    <t>tt1489889</t>
  </si>
  <si>
    <t>Dwayne Johnson, Kevin Hart, Danielle Nicolet</t>
  </si>
  <si>
    <t>Einst war er in der Schule der Nerd, auf dem alle herumgehackt haben, doch nun feiert Bob beim Klassentreffen als skrupelloser CIA-Agent eine triumphale Rückkehr. Für einen vermeintlich streng geheimen Fall rekrutiert er dort einen ehemaligen Klassenkameraden der früher den Schulhof im Griff hatte und noch heute, wenn auch als Buchhalter, von seinen glorreichen Tagen träumt. Doch worauf er sich eingelassen hat, merkt der seriöse Schreibtischtäter erst, als sein unberechenbarer neuer Freund ihn längst in ein bleihaltiges Spionage-Abenteuer verwickelt hat.</t>
  </si>
  <si>
    <t>Cha Cha Real Smooth</t>
  </si>
  <si>
    <t>tt14376344</t>
  </si>
  <si>
    <t>Cooper Raiff, Dakota Johnson, Evan Assante</t>
  </si>
  <si>
    <t>Der 22-jährige Andrew, der gerade frisch vom College kommt und kein klares Ziel vor sich hat, sitzt in seinem Haus in New Jersey fest. Er beginnt, als Partyveranstalter für Bar-/Bat-Mizwas zu arbeiten. Dabei schließt er eine einzigartige Freundschaft mit einer jungen Mutter und ihrer Teenagertochter.</t>
  </si>
  <si>
    <t>Challenger - Ein Mann kämpft für die Wahrheit</t>
  </si>
  <si>
    <t>The Challenger Disaster</t>
  </si>
  <si>
    <t>Thriller, Drama, Historie, TV-Film</t>
  </si>
  <si>
    <t>tt2421662</t>
  </si>
  <si>
    <t>William Hurt, Bruce Greenwood, Joanne Whalley, Brian Dennehy, Eve Best</t>
  </si>
  <si>
    <t>Januar 1986: 73 Sekunden nach dem Start des Space Shuttles Challenger kommt es zu einer folgenschweren Explosion, die ganz Amerika in eine Schockstarre versetzt. Präsident Ronald Reagan beauftragt umgehend eine hochrangige Kommission mit der Erforschung der Unglücksursache. Unter den berufenen Experten befindet sich der Physiker und Nobelpreisträger Richard P. Feynman. Feynman stößt im Zuge seiner Ermittlungen schon bald auf eine Mauer des Schweigens. Er entdeckt Ungereimtheiten in den Akten der NASA und beginnt an der Einsatzfähigkeit des Shuttles zu zweifeln. Schnell wird ihm klar, dass längst nicht allen Beteiligten an der nahtlosen Aufklärung des Unglücks gelegen ist. Für Feynman ist das jedoch eher Ansporn als Hindernis …</t>
  </si>
  <si>
    <t>Checkmates - Ziemlich schräge Figuren</t>
  </si>
  <si>
    <t>Menudas piezas</t>
  </si>
  <si>
    <t>tt28375638</t>
  </si>
  <si>
    <t>Alexandra Jiménez, María Adánez, Francesc Orella, Miguel Rellán, Alain Hernández</t>
  </si>
  <si>
    <t>Nach einer plötzlichen Scheidung verliert eine Frau ihren gut bezahlten Job an einer Privatschule und muss in ihre alte Nachbarschaft zurückkehren. Auf Unterstützung angewiesen, bleibt ihr nur ein Ausweg: ein Neuanfang als Schachlehrerin für rebellische Teenager.</t>
  </si>
  <si>
    <t>Cool Girls</t>
  </si>
  <si>
    <t>tt1623675</t>
  </si>
  <si>
    <t>Haruna Yabuki, Ayumi Uehara, Hitomi Aizawa</t>
  </si>
  <si>
    <t>Cop Secret</t>
  </si>
  <si>
    <t>tt13882736</t>
  </si>
  <si>
    <t>Auðunn Blöndal, Egill Einarsson, Sverrir Þór Sverrisson</t>
  </si>
  <si>
    <t>Als Bússi, der härteste Polizist Islands, gezwungen ist, mit einem neuen Partner zusammenzuarbeiten, um eine Reihe von Banküberfällen aufzuklären, ist der Druck, den Fall so schnell wie möglich abzuschließen, zu groß für ihn.</t>
  </si>
  <si>
    <t>Daddy! Daddy! Fünf Nervensägen und ein Vater</t>
  </si>
  <si>
    <t>Author! Author!</t>
  </si>
  <si>
    <t>tt0083598</t>
  </si>
  <si>
    <t>Al Pacino, Dyan Cannon, Tuesday Weld, Bob Dishy, Bob Elliott</t>
  </si>
  <si>
    <t>Ein Broadway-Dramatiker arbeitet bis zur Erschöpfung. Er steht unter dem Druck einer Produktion, die kurz vor der Premiere steht, seiner Frau, die ihn verlässt, und seinen fünf Kindern, von denen vier von ihr stammen.</t>
  </si>
  <si>
    <t>Daddy's Home - Ein Vater zuviel</t>
  </si>
  <si>
    <t>Daddy's Home 2 – Mehr Väter, mehr Probleme!</t>
  </si>
  <si>
    <t>Daddy's Home 2</t>
  </si>
  <si>
    <t>tt5657846</t>
  </si>
  <si>
    <t>Will Ferrell, Mark Wahlberg, Mel Gibson, John Lithgow, Linda Cardellini</t>
  </si>
  <si>
    <t>Mittlerweile haben sich der spießige, übervorsichtige Brad Whitaker und der ebenso lässige wie draufgängerische Dusty Mayron miteinander arrangiert, die beiden ehemaligen Streithähne teilen sich die Aufgabe des Vaters in der gemeinsamen Patchwork-Familie: Brad ist zwar jetzt mit Dustys Exfrau Sara verheiratet, aber um die drei Kinder kümmern sie sich alle zusammen, was abgesehen von ein paar Sticheleien und Meinungsverschiedenheiten gut funktioniert. Doch der Frieden gerät in Gefahr, als sich über Weihnachten die Väter von Brad und Dusty ankündigen: Mr. Whitaker ist sogar noch vorsichtiger und emotionaler als sein Sohn und auch Mr. Mayron stellt seinen Nachwuchs als adrenalinstrotzender Macho locker in den Schatten...</t>
  </si>
  <si>
    <t>Darjeeling Limited</t>
  </si>
  <si>
    <t>The Darjeeling Limited</t>
  </si>
  <si>
    <t>tt0838221</t>
  </si>
  <si>
    <t>Owen Wilson, Adrien Brody, Jason Schwartzman</t>
  </si>
  <si>
    <t>Nachdem sich die ungleichen Brüder Francis, Peter und Jack bereits seit langem auseinander gelebt haben, soll sie das Erlebnis einer gemeinsamen Zugreise durch Indien wieder vereinen. Bei ihrem spirituellen Trip durch Indien kommen sie allerdings ziemlich schnell vom Kurs ab - unvorsehbare Ereignisse rund um Giftschlangen, rezeptfreie Schmerzmittel, indischen Hustensaft und Pfefferspray stören die meditative Ruhe. Zuletzt finden sich die Brüder völlig allein mit ihren elf Koffern, einem Drucker und einem Laminiergerät mitten in der Wüste wieder. Und dies ist der Beginn einer völlig neuen Reise ...</t>
  </si>
  <si>
    <t>Das darf man nur als Erwachsener</t>
  </si>
  <si>
    <t>Sixteen Candles</t>
  </si>
  <si>
    <t>tt0088128</t>
  </si>
  <si>
    <t>Molly Ringwald, Michael Schoeffling, Haviland Morris, Gedde Watanabe, Anthony Michael Hall</t>
  </si>
  <si>
    <t>Für Samantha ist es ein großer Tag: ihr sechzehnter Geburtstag! Leider ist der Tag für den Rest ihrer Familie wohl weniger von Bedeutung. Weil sie mit der Vorbereitung der Hochzeit von Samanthas Schwester Ginny beschäftigt sind wird ihr Ehrentag glatt vergessen! Auch sonst hat sie es nicht leicht: Der Junge, in den sie verknallt ist, nimmt sie nicht zur Kenntnis. Dafür läuft ihr der lächerlichste Typ der ganzen Schule nach.</t>
  </si>
  <si>
    <t>Das einsame Genie</t>
  </si>
  <si>
    <t>Genius</t>
  </si>
  <si>
    <t>tt0193187</t>
  </si>
  <si>
    <t>Trevor Morgan, Emmy Rossum, Charles Fleischer, Yannick Bisson, Peter Keleghan</t>
  </si>
  <si>
    <t>Charlie (Trevor Morgan) ist 14 Jahre alt und schon in diesem Alter ein hochbegabtes Genie. Doch macht ihn das auch sehr einsam, weswegen er eines Tages beschließt, dagegen etwas zu tun. So erschafft er sich selbst eine zweite Identität, mit der er versucht, an der örtlichen High-School Anschluss zu finden. Jedoch muss er schon bald einsehen, dass es gar nicht so einfach ist, zwei Leben unter einen Hut zu bekommen - nicht einmal für ein Genie wie Charlie.</t>
  </si>
  <si>
    <t>Das Hundehotel</t>
  </si>
  <si>
    <t>Hotel for Dogs</t>
  </si>
  <si>
    <t>tt0785006</t>
  </si>
  <si>
    <t>Emma Roberts, Jake T. Austin, Don Cheadle, Johnny Simmons, Kyla Pratt</t>
  </si>
  <si>
    <t>Andis Pflegeeltern dulden unglücklicherweise keine Tiere in ihrem Haus. Das zwingt sie und ihren kleinen Bruder Bruce, die liebevollen Herrchen ihres Hündchens Freitag, zu einer schnellen Lösung des Problems. Die ist auch bald gefunden, in einem verlassenen Hotel in der Stadt.</t>
  </si>
  <si>
    <t>Das Leben ein Tanz</t>
  </si>
  <si>
    <t>Johann Strauß Vater: Das Leben - Ein Tanz</t>
  </si>
  <si>
    <t>tt6569478</t>
  </si>
  <si>
    <t>Karl Markovics, Ensemble Wien, Rainer Honeck, Raimund Lissy</t>
  </si>
  <si>
    <t>Elise dachte, sie hätte das perfekte Leben: einen idealen Freund und eine vielversprechende Karriere als Balletttänzerin. Alles zerbricht an dem Tag, an dem sie ihn dabei erwischt, wie er sie mit ihrer Bühnenassistentin betrügt. Und nachdem sie sich auf der Bühne verletzt hat, scheint es, als könnte sie nie wieder tanzen. Eine herzerwärmende und inspirierende Geschichte, die uns zeigt, dass manchmal das Schlimmste, was passieren könnte, das Beste sein kann.</t>
  </si>
  <si>
    <t>Das zweite Kapitel</t>
  </si>
  <si>
    <t>Jamie Foxx, Dave Franco, Natasha Liu Bordizzo</t>
  </si>
  <si>
    <t>Dennis</t>
  </si>
  <si>
    <t>tt1087798</t>
  </si>
  <si>
    <t>Kim Kold, Elsebeth Steentoft, Lykke Sand</t>
  </si>
  <si>
    <t>Der Baulöwe</t>
  </si>
  <si>
    <t>tt0078833</t>
  </si>
  <si>
    <t>Rolf Herricht, Annekathrin Bürger, Agnes Kraus, Franziska Troegner, Herbert Köfer</t>
  </si>
  <si>
    <t>Ralf Keul ist ein bekannter Entertainer bei Theater und Fernsehen. Als er sich mit seiner Frau Doris und den erwachsenen Töchtern Ingrid und Kirsten bei seinen Schwiegereltern an der Ostsee aufhält, erfährt er vom Bürgermeister, dass der Pachtvertrag für ein Grundstück, das die Schwiegereltern bei Doris' Geburt von der Gemeinde gepachtet haben, aufgelöst werden soll, falls das Gelände nicht innerhalb eines Jahres bebaut wird.</t>
  </si>
  <si>
    <t>Der Chaos Cop</t>
  </si>
  <si>
    <t>Thunder Road</t>
  </si>
  <si>
    <t>Jim Cummings, Kendal Farr, Nican Robinson, Jocelyn DeBoer, Chelsea Edmundson</t>
  </si>
  <si>
    <t>Jimmy Arnaud steht vor der größten Herausforderung seines Lebens: Der Polizeibeamte aus Texas muss seine Scheidung überstehen, das Herz seiner Tochter Crystal für sich gewinnen – und damit zurechtkommen, dass der Kassettenrekorder mit Bruce Springsteens „Thunder Road“ auf der Beerdigung seiner Mutter nicht funktioniert hat. Kein leichtes Spiel für den Chaos-Cop, der auf die bisherigen Rückschläge in seinem Leben mit Wut, Aggression und einem merkwürdigen Tanzstil reagiert hat!  Eigenwillige wie faszinierende Tragikomödie, mit der sich Jim Cummings als Kultregisseur von morgen empfiehlt.</t>
  </si>
  <si>
    <t>Der Club der Teufelinnen</t>
  </si>
  <si>
    <t>The First Wives Club</t>
  </si>
  <si>
    <t>tt0116313</t>
  </si>
  <si>
    <t>Goldie Hawn, Bette Midler, Diane Keaton, Maggie Smith, Sarah Jessica Parker</t>
  </si>
  <si>
    <t>Auf dem College waren Brenda, Elise, Annie und Cynthia die besten Freundinnen. Im Laufe der Jahre haben sie sich aus den Augen verloren und treffen sich erst 25 Jahre später wieder – bei der Beerdigung von Cynthia, die nach ihrer Scheidung von einem Finanztycoon in New York Selbstmord begangen hat. Als sie sich erzählen, wie ihr Leben seit dem College verlaufen ist, stellen sie fest, dass sie eines gemeinsam haben: Sie wurden alle von ihren Männern, die dank ihrer Hilfe Karriere gemacht haben, gegen jüngere Frauen ausgetauscht und mit diesen betrogen.</t>
  </si>
  <si>
    <t>Der doppelte Vater</t>
  </si>
  <si>
    <t>Pai em Dobro</t>
  </si>
  <si>
    <t>BR</t>
  </si>
  <si>
    <t>tt11821818</t>
  </si>
  <si>
    <t>Maisa Silva, Eduardo Moscovis, Marcelo Médici, Fafá de Belém, Thaynara OG</t>
  </si>
  <si>
    <t>Während ihre Mutter die Welt bereist, wagt sich eine 18-Jährige, die ihr Leben in einer Hippie-Kommune verbracht hat, auf der Suche nach ihrem Vater in die Welt hinaus.</t>
  </si>
  <si>
    <t>Der dritte Frühling</t>
  </si>
  <si>
    <t>Grumpier Old Men</t>
  </si>
  <si>
    <t>tt0113228</t>
  </si>
  <si>
    <t>Walter Matthau, Jack Lemmon, Ann-Margret, Sophia Loren, Daryl Hannah</t>
  </si>
  <si>
    <t>Das disharmonische Gleichgewicht zwischen den betagten Streithähnen Max und John wird empfindlich gestört, als die rasante Maria Ragetti deren angestammten Anglershop in ein Restaurant umfuntioniert. Der dauergrantige Max springt schließlich über seinen Schatten und führt die eigensinnige Schönheit nach stürmisch-streiterischer Umwerbung vor den Traualtar ...</t>
  </si>
  <si>
    <t>Der Giftzwerg</t>
  </si>
  <si>
    <t>Dutch</t>
  </si>
  <si>
    <t>tt0101786</t>
  </si>
  <si>
    <t>Ed O'Neill, Ethan Embry, JoBeth Williams, Christopher McDonald, Ari Meyers</t>
  </si>
  <si>
    <t>Der neue Lebensgefährte Dutch der frisch geschiedenen Natalie bietet sich freiwillig an, den Sohn seiner neuen Freundinn aus dem Internat abzuholen. Ein schöner Trip sollte es werden die Fahrt vom Elite-Interat bis nach Hause, aber weit gefehlt, den Doyle der Sohn von Natalie vereint alles das in sich, was man nicht mal seinem schlimmsten Feind wünscht. Und genau das wird Dutch bald am eigenen Leib erfahren.</t>
  </si>
  <si>
    <t>Der Glanz der Unsichtbaren</t>
  </si>
  <si>
    <t>Les Invisibles</t>
  </si>
  <si>
    <t>tt8633950</t>
  </si>
  <si>
    <t>Audrey Lamy, Corinne Masiero, Noémie Lvovsky, Déborah Lukumuena, Pablo Pauly</t>
  </si>
  <si>
    <t>Lady Di, Edith Piaf, Salma Hayek, Brigitte Macron: Die meisten der Besucherinnen des Tageszentrums für wohnungslose Frauen L’Envol nennen sich nach prominenten Vorbildern. Doch das L’Envol, einziger Ankerpunkt ihres prekären Alltags, steht vor der Schließung – nicht effektiv genug, hat die Stadtverwaltung beschieden. Drei Monate bleiben den Sozialarbeiterinnen Manu, Audrey, Hélène und Angélique, um ihren Schützlingen wieder auf die Beine zu helfen. Und die ziehen kräftig mit. Nachdem die Stadt auch noch ein Zeltcamp am Sportplatz räumen lässt, wird das L’Envol zur heimlichen Unterkunft, in der Betreuerinnen und Betreute mit ungeahntem Schwung ganz eigene Wege und Methoden zur Reintegration entwickeln. Tricks, Schwindeleien, alte und neue Freunde: Von jetzt an sind alle Mittel erlaubt…</t>
  </si>
  <si>
    <t>Der Glücksbringer</t>
  </si>
  <si>
    <t>tt0140080</t>
  </si>
  <si>
    <t>Beppo Brem, Lucie Englisch, Werner Finck</t>
  </si>
  <si>
    <t>Es begann, als Charlie Logan zehn Jahre alt war und sich geweigert hatte ein Mädchen zu küssen. Das Mädchen, was damals abgewiesen wurde, belegte ihn mit einem Fluch: Charlie soll in der Liebe nur noch Pech haben. Jahre später ist Charlie ein erfolgreicher Zahnarzt geworden. Er hat aber immer noch nicht die Richtige gefunden. Aber es kommt schlimmer, als Charlie bei der Hochzeit einer Ex-Freundin entdeckt, dass jede Frau, mit der er Sex hatte, kurz darauf die wahre Liebe gefunden hat. Nun hat er seinen Ruf als `Glücksbringer´ weg. Die Frauen sind nur noch auf einen Quickie mit ihm aus, in der Hoffnung, danach die Liebe fürs Leben zu finden. Charlie ist dem nicht unbedingt abgeneigt, doch später fühlt er sich einsamer als zuvor. Plötzlich lernt er die wunderhübsche, allerdings tollpatschige Cam kennen. Sie ist Zoologin und spezialisiert für Pinguine. Langsam entsteht eine Liebesgeschichte zwischen den beiden und Charlie sieht sich gezwungen den Fluch zu brechen.</t>
  </si>
  <si>
    <t>Der Herr des Hauses</t>
  </si>
  <si>
    <t>Der Junggeselle</t>
  </si>
  <si>
    <t>tt10295688</t>
  </si>
  <si>
    <t>Rudolf Bernhard, Albert Pulmann, Marianne Stepat, Yvonne Kupper</t>
  </si>
  <si>
    <t>Der perfekte Chef</t>
  </si>
  <si>
    <t>El buen patrón</t>
  </si>
  <si>
    <t>tt13066182</t>
  </si>
  <si>
    <t>Javier Bardem, Manolo Solo, Almudena Amor, Óscar de la Fuente, Sonia Almarcha</t>
  </si>
  <si>
    <t>Julio Blanco scheint der perfekte Chef zu sein: kompetent, charismatisch und sehr fürsorglich. Das hat ihm Reichtum beschert, Respekt eingebracht und viele Preise. Nur einer fehlt noch, der Preis für exzellente Unternehmensführung der Regierung. Dieses Jahr soll es endlich klappen! Doch die glanzvolle Fassade beginnt zu bröckeln, als sich der Firmenchef mit einem entlassenen Mitarbeiter, einem deprimierten Produktionsleiter und einer verliebten Praktikantin herumschlagen muss. In einem grotesken Wettlauf gegen die Zeit versucht er verzweifelt, die Probleme seiner Angestellten zu lösen – und überschreitet dabei allerhand moralische Grenzen.</t>
  </si>
  <si>
    <t>Der Schuh des Manitu</t>
  </si>
  <si>
    <t>tt0248408</t>
  </si>
  <si>
    <t>Michael Herbig, Christian Tramitz, Sky du Mont, Marie Bäumer, Rick Kavanian</t>
  </si>
  <si>
    <t>Der Apachenhäuptling Abahachi hat vom Geschäftsmann Santa Maria ein Lokal gekauft, damit sein Stamm endlich auch über ein „Stammlokal“ verfügen kann. Für den Kauf hat Abahachi bei den Schoschonen einen Kredit in Form eines Sackes mit Goldstücken aufgenommen. Als Abahachi und sein Blutsbruder Ranger bei der Übergabe des Lokals feststellen, dass sie vom Geschäftsmann Santa Maria hereingelegt wurden, kommt es zu einem Eklat: Santa Maria erschießt den anwesenden Sohn des Häuptlings der Schoschonen, der den Sack mit den Goldstücken überbracht hatte. Santa Maria und seine Männer flüchten mit dem Gold.</t>
  </si>
  <si>
    <t>Die Engel vom Dachboden</t>
  </si>
  <si>
    <t>Angels in the Attic</t>
  </si>
  <si>
    <t>tt0135774</t>
  </si>
  <si>
    <t>Clayton Taylor, Steven Losack, Dalin Christiansen, Brendan Price, Scott Christopher</t>
  </si>
  <si>
    <t>Die beiden zwölfjährigen Brad und Frankie finden auf dem Dachboden Ihres Mehrfamilienhauses einen Koffer voller Geld. Obwohl sie selbst aus ärmlichen Verhältnissen kommen, verteilen sie das Geld unter den bedürftigen Nachbarn in Ihrem Haus. Aber Sie ahnen nicht das, das von Ihnen verschenkte Geld die Beute aus einem Bankraub ist und der Gangster sitzt Ihnen schon im Nacken.</t>
  </si>
  <si>
    <t>Die etwas anderen Cops</t>
  </si>
  <si>
    <t>Breach of Faith: A Family of Cops II</t>
  </si>
  <si>
    <t>tt0118770</t>
  </si>
  <si>
    <t>Charles Bronson, Angela Featherstone, Barbara Williams, Sebastian Spence, Kim Weeks</t>
  </si>
  <si>
    <t>Die Leiche des russischen Priesters wird in einem Beichtstuhl aufgefunden. Für Inspector Paul Fein kein Fall wie jeder andere, denn die Nachforschungen führen ihn in die Nachbarschaft, in der er seine Jugend verbrachte. Pauls Entdeckungen sind purer Sprengstoff: die Russenmafia hat ihre Hände im Spiel, macht Geschäfte mit der Kirche. Nach einem weiteren bestialischen Mord wird auch Pauls Familie bedroht. Um ihre Sicherheit bedacht, legt der Cop den Fall nieder. Als jedoch ein Unschuldiger für die Verbrechen büßen soll, nimmt Paul den Kampf wieder auf - Jetzt erst recht!</t>
  </si>
  <si>
    <t>Die Geistervilla</t>
  </si>
  <si>
    <t>Haunted Mansion</t>
  </si>
  <si>
    <t>tt1695843</t>
  </si>
  <si>
    <t>Rosario Dawson, Chase W. Dillon, LaKeith Stanfield, Owen Wilson, Tiffany Haddish</t>
  </si>
  <si>
    <t>Die alleinerziehende Gabbie zieht mit ihrem neunjährigen Sohn Travis in eine Villa in New Orleans, die sie für einen erstaunlich niedrigen Preis erworben haben. Sie wollen dort die Vergangenheit hinter sich lassen und ein neues Leben beginnen, doch bereits nach kurzer Zeit merken sie, dass mit dem Haus etwas nicht stimmt: Es spukt. Gabbie holt sich also Hilfe beim örtlichen Priester Kent. Dieser bezieht seinerseits mit Ben einen verwitweten Wissenschaftler und wenig erfolgreichen Experten fürs Übersinnliche, das Medium Harriet aus dem französischen Viertel sowie den mürrischen Historiker Bruche mit ein. Gemeinsam wollen sie das Haus von den bösen Geistern befreien. Doch das ist einfacher gesagt als getan und das Vorhaben der bunt zusammengewürfelten Truppe läuft nicht unbedingt sofort sauber nach Plan.</t>
  </si>
  <si>
    <t>Die Glücksritter</t>
  </si>
  <si>
    <t>Trading Places</t>
  </si>
  <si>
    <t>tt0086465</t>
  </si>
  <si>
    <t>Dan Aykroyd, Eddie Murphy, Ralph Bellamy, Don Ameche, Denholm Elliott</t>
  </si>
  <si>
    <t>Randolph und Mortimer Duke haben gewettet: der eine ist der Meinung, jeder könne den Job eines Brokers ausüben, der andere meint, nur wer die richtigen Gene und Umgebung genossen hat, ist dazu in der Lage. Also müssen Louis Winthorpe III und Billy Ray Valentine ohne ihr Wissen ihre Rollen tauschen – vom Kleinkriminellen zum Börsenexperten und umgekehrt.</t>
  </si>
  <si>
    <t>Die Hollars - Eine Wahnsinnsfamilie</t>
  </si>
  <si>
    <t>The Hollars</t>
  </si>
  <si>
    <t>John Krasinski, Margo Martindale, Richard Jenkins, Sharlto Copley, Anna Kendrick</t>
  </si>
  <si>
    <t>John Hollar (John Krasinski) lebt mit seiner schwangeren Freundin Rebecca (Anna Kendrick) in New York, er schlägt sich als mäßig erfolgreicher Künstler durch. Doch als er eines Tages von der schweren Erkrankung seiner Mutter Sally (Margo Martindale) erfährt, ist es für ihn an der Zeit, seiner alten Heimat fernab der großen Stadt und damit seiner höchst dysfunktionalen Familie einen Besuch abzustatten. Während Rebecca kurz vor der Geburt steht, muss sich John u. a. mit seinem Bruder Ron (Sharlto Copley) auseinandersetzen und auch seine Ex-Freundin Gwen (Mary Elizabeth Winstead) macht ihm seinen Aufenthalt nicht besonders leicht. John bekommt also den ganz normalen Wahnsinn einer typischen Kleinstadt in den USA ab – und der Rückkehrer hat alle Hände voll zu tun, da nicht die Nerven zu verlieren...</t>
  </si>
  <si>
    <t>Die Jones – Spione von nebenan</t>
  </si>
  <si>
    <t>Keeping Up with the Joneses</t>
  </si>
  <si>
    <t>Action, Komödie</t>
  </si>
  <si>
    <t>tt2387499</t>
  </si>
  <si>
    <t>Jon Hamm, Isla Fisher, Zach Galifianakis, Gal Gadot, Patton Oswalt</t>
  </si>
  <si>
    <t>Die perfekte, spießige Vorstadtidylle und ein routiniert-unaufgeregtes Leben zu zweit – so sieht der Alltag für Jeff und Karen aus, die kaum glücklicher miteinander und mit ihrem Leben sein könnten. Doch eines Tages zieht ein neues Pärchen in die Nachbarschaft und mischt das Leben der beiden gehörig auf: Natalie und Tim Jones sind super erfolgreich, unverschämt attraktiv und ganz gleich was sie auch anfassen, es gelingt ihnen scheinbar mit links. Sie sind perfekt, aber vielleicht ein wenig zu perfekt. Etwas scheint mit ihnen nicht zu stimmen und deshalb stellen Jeff und Karen bald Nachforschungen an, die Unglaubliches zutage fördern: Ihre neuen Nachbarn sind Agenten im Auftrag der Regierung und auf geheimer Mission! Und ehe sie sich versehen, sind Jeff und Karen mittendrin, statt nur dabei …</t>
  </si>
  <si>
    <t>Die kleinen Bankräuber</t>
  </si>
  <si>
    <t>Mazie laupītāji</t>
  </si>
  <si>
    <t>tt1261910</t>
  </si>
  <si>
    <t>Zane Leimane, Gustavs Vilsons, Juris Žagars, Karl Markovics, Gunārs Placēns</t>
  </si>
  <si>
    <t>Ein Familienvater verliert seinen Job und damit gleich den Wohnungskredit der Familie. Für die beiden Kinder Robby und Louise völlig unverständlich, hat doch die Bank, die ihnen den Kredit entzogen hat, Unmengen an Geld. Außerdem sitzen die Bankmitarbeiter mit dem vielen Geld sowieso nur untätig rum. Die Kinder schmieden einen ausgefuchsten Plan: Sie brechen in die Bank ein, um ihren Eltern mit dem erbeuteten Geld zu helfen. Dabei decken sie unerwartet ein finsteres Geheimnis auf. Doch da ist der Bankdirektor den kleinen Bankräubern schon dicht auf den Fersen.</t>
  </si>
  <si>
    <t>Die kleinen Superstrolche</t>
  </si>
  <si>
    <t>The Little Rascals</t>
  </si>
  <si>
    <t>tt0110366</t>
  </si>
  <si>
    <t>Bug Hall, Brittany Ashton Holmes, Travis Tedford, Kevin Jamal Woods, Jordan Warkol</t>
  </si>
  <si>
    <t>Während Alfalfa noch grübelt, wie sich seine zarten Gefühle für Darla mit seiner Mitgliedschaft im “Frauenhasser-Verein” vereinbaren lassen, taucht plötzlich der reiche Waldo auf und hat weitaus weniger Bedenken. Als dann auch noch das Vereinshaus der Bande zerstört und ihr wertvolles Go-Cart gestohlen wird, überschlagen sich die Ereignisse. Alfalfa und seine Freunde müssen sich dringend etwas einfallen lassen</t>
  </si>
  <si>
    <t>Die Pirateninsel - Familie über Bord</t>
  </si>
  <si>
    <t>tt0475292</t>
  </si>
  <si>
    <t>Ann-Kathrin Kramer, Christoph M. Ohrt, Vijessna Ferkic, Sebastián Husák, Max Tidof</t>
  </si>
  <si>
    <t>Christian überrascht seine Freundin Billy und deren Kids Insa und Max mit einem Segeltörn in die Karibik. Doch Piraten entern das Schiff, den zwielichtigen Skipper Captain Flynn behalten sie an Bord, und die Familie strandet auf einer einsamen Insel. Als dann der Skipper ebenfalls auf der Insel landet, kommt es zuerst zu erheblichen Konflikten und dann zu erstaunlichen Freundschaften…</t>
  </si>
  <si>
    <t>Die Sch'tis in Paris - Eine Familie auf Abwegen</t>
  </si>
  <si>
    <t>La Ch'tite Famille</t>
  </si>
  <si>
    <t>tt6859418</t>
  </si>
  <si>
    <t>Dany Boon, Line Renaud, Laurence Arné, Valérie Bonneton, Guy Lecluyse</t>
  </si>
  <si>
    <t>Valentin ist aktuell der größte Star der Pariser Architektur- und Kunstszene. Mit seiner Frau Constance verkehrt er in der High Society der französischen Hauptstadt. Doch in Wahrheit macht Valentin seinen Bewunderern und Freunden schon seit langem etwas vor: Er behauptet, vom iranischen Schah abzustammen, doch tatsächlich kommt er aus dem Arbeitermilieu des ärmlichen Norden Frankreichs – er ist, mit anderen Worten, ein Sch’ti. Valentins Bruder Gustave lebt mit seiner Frau Louloute und der gemeinsamen Tochter in einem Wohnwagen zwischen dem Haus der Mutter und dem Autoschrottplatz des Vaters. Als Gustave in Geldsorgen gerät, soll Valentin ihm aushelfen und so lotst er die ganze Familie unter einem Vorwand nach Paris. Da ist das Chaos natürlich vorprogrammiert...</t>
  </si>
  <si>
    <t>Die Vermählung ihrer Eltern geben bekannt</t>
  </si>
  <si>
    <t>The Parent Trap</t>
  </si>
  <si>
    <t>tt0055277</t>
  </si>
  <si>
    <t>Hayley Mills, Maureen O'Hara, Brian Keith, Charles Ruggles, Cathleen Nesbitt</t>
  </si>
  <si>
    <t>Als Kleinkinder wurden die Zwillinge Susan und Sharon bei der Scheidung ihrer Eltern voneinander getrennt. Durch Zufall begegnen sich die beiden in einem Ferienlager. Dort beschließen sie, die Rollen zu tauschen. So wollen sie ihre Eltern wieder zusammen führen. Dabei ahnen sie jedoch nicht, dass ihr Vater wieder heiraten will.</t>
  </si>
  <si>
    <t>Die wahren Memoiren eines internationalen Killers</t>
  </si>
  <si>
    <t>True Memoirs of an International Assassin</t>
  </si>
  <si>
    <t>tt1542768</t>
  </si>
  <si>
    <t>Kevin James, Kim Coates, Maurice Compte, Zulay Henao, Andrew Howard</t>
  </si>
  <si>
    <t>Sam Larson ist ein mit allen Wassern gewaschener Auftragskiller, der jeder noch so brenzligen Situation entkommt und zum Schluss, nachdem die letzte Explosion verraucht ist, das Mädchen kriegt. Der Haken: All die Abenteuer existieren nur in den Geschichten, die Larson schreibt, sein Protagonist ist Produkt einer Wunschfantasie. Doch dann wird der sanftmütige Buchhalter und Autor tatsächlich für einen Killer gehalten, als Larsons Verlegerin Kylie Applebaum seinen Roman über den international operierenden Attentäter in einem Online-Buchhandel als wahre Geschichte bewirbt. Larson passt das zunächst gar nicht...</t>
  </si>
  <si>
    <t>Dinner in America</t>
  </si>
  <si>
    <t>tt9058654</t>
  </si>
  <si>
    <t>Kyle Gallner, Yancey Fuqua, Jennifer Kincer</t>
  </si>
  <si>
    <t>Als Medikamententester und Drogendealer Simon beim Ausleben seiner pyromanischen Ader vor der Polizei flieht, lernt er die unbeholfene Patty kennen, die in einer Tierhandlung arbeitet. Patty lädt ihn spontan nach Hause ein und gesteht, dass sie ein Fan von Simon ist, welcher als maskierter Sänger einer Punkband namens „Psyops“ auftritt. Zusammen begibt sich das frisch verliebte Paar auf eine abenteuerliche Flucht durch die verfallenen Orte im Mittleren Westen der USA.</t>
  </si>
  <si>
    <t>Dog Days - Mit Herz und Hund</t>
  </si>
  <si>
    <t>Dog Days</t>
  </si>
  <si>
    <t>tt7365604</t>
  </si>
  <si>
    <t>Nina Dobrev, Vanessa Hudgens, Adam Pally, Eva Longoria, Rob Corddry</t>
  </si>
  <si>
    <t>In Los Angeles kreuzen sich die Wege mehrerer Menschen, die eines gemeinsam haben: ein Herz für Hunde. Als Elizabeth von ihrem Freund betrogen wird, braucht nicht nur ihr Hund Sam eine Therapie. Tara schwärmt für sexy Tierarzt Dr. Mike, während Chaot Dax auf Vierbeiner Charlie aufpassen muss - prompt vertilgt der Hund einen Haschkuchen. Walter trauert um seinen entlaufenen Mops Mabel, Grace und Kurt wollen ihrer Adoptivtochter Amelia ein warmes Zuhause bieten. Doch sie ist bei ihrer neuen Familie unglücklich - bis sie einen kleinen Streuner aufliest...</t>
  </si>
  <si>
    <t>Du schon wieder</t>
  </si>
  <si>
    <t>La vita è bella</t>
  </si>
  <si>
    <t>tt0118799</t>
  </si>
  <si>
    <t>Roberto Benigni, Nicoletta Braschi, Giorgio Cantarini, Giustino Durano, Sergio Bini Bustric</t>
  </si>
  <si>
    <t>Michael hat ein Problem: Er möchte beim Treffen mit seinen früheren High-School-Kameraden als toller Hecht dastehen. Leider fehlt ihm dazu die passende Braut. In letzter Sekunde kommt Michael die rettende Idee. Er bucht eine Begleiterin eines Escort-Services. Charlene (Rochelle Swanson) ist nicht nur schön, sie bringt Michaels Karriere in Schwung und ist auch noch gut im Bett. Was für ein Treffer, denkt der Aufsteiger. Und täuscht sich. Die clevere Schöne verfolgt eigene Interessen. Sie spielt den naiven Trottel gegen Brandon, seinen Ex-Schulrivalen und jetzigen Kontrahenten, aus.</t>
  </si>
  <si>
    <t>Duff – Hast du keine, bist du eine</t>
  </si>
  <si>
    <t>The DUFF</t>
  </si>
  <si>
    <t>tt1666801</t>
  </si>
  <si>
    <t>Mae Whitman, Robbie Amell, Bella Thorne, Skyler Samuels, Bianca A. Santos</t>
  </si>
  <si>
    <t>Bianca findet heraus, dass sie an der Highschool hinter ihrem Rücken ausgelacht wird. Sie gilt als "The DUFF" (Designated Ugly Fat Friend) und soll damit in ihrer Clique die hässliche, fette Freundin sein, während die anderen angeblich hübscher und beliebter sind. Also hört Bianca auf, ihren Schwarm Toby anzuschmachten und wendet sich an Wesley, einen charmanten Sportler. Er soll ihr helfen, das alte Image abzustreifen, sich neu zu erfinden. Doch irgendwann merkt Bianca, dass es Wichtigeres gibt, als krampfhaft zu versuchen, in eine bestimmte Schublade zu passen. Sie versucht, die Macht der rücksichtlosen Madison zu brechen, die mit ihren Labels auch andere Schüler unangenehm bewertet. Ist es wirklich so wichtig, wie Menschen aussehen?</t>
  </si>
  <si>
    <t>Dumplin'</t>
  </si>
  <si>
    <t>tt4878482</t>
  </si>
  <si>
    <t>Danielle Macdonald, Jennifer Aniston, Odeya Rush</t>
  </si>
  <si>
    <t>Willowdean Dickson aus Texas nimmt aus Protest gegen Klischees und Erwartungshaltungen am Schönheitswettbewerb ihrer Mutter – einer ehemaligen Schönheitskönigin – teil.</t>
  </si>
  <si>
    <t>Ein (un)möglicher Härtefall</t>
  </si>
  <si>
    <t>Intolerable Cruelty</t>
  </si>
  <si>
    <t>tt0138524</t>
  </si>
  <si>
    <t>George Clooney, Catherine Zeta-Jones, Geoffrey Rush, Cedric the Entertainer, Edward Herrmann</t>
  </si>
  <si>
    <t>Obwohl es sicher ist, dass ein Mann seine Frau betrogen hat, bekommt diese bei der Scheidung keinen Cent. Gute Anwaltsarbeit nennt man das! Um zu beweisen, dass auch sie nicht treu ist, fängt der Anwalt eine Affäre mit ihr an. Als sie Wind von seinen Absichten bekommt, will sie sich natürlich an ihm rächen und ihn tatsächlich heiraten – um so an seine Dollarscheinchen zu kommen.</t>
  </si>
  <si>
    <t>Ein Cop und ein Halber - Eine neue Rekrutin</t>
  </si>
  <si>
    <t>Cop and a Half: New Recruit</t>
  </si>
  <si>
    <t>Krimi, Komödie, Action, Familie, TV-Film</t>
  </si>
  <si>
    <t>tt6212210</t>
  </si>
  <si>
    <t>Lou Diamond Phillips, Lulu Wilson, Wallace Shawn, Gina Holden, Vincent Tong</t>
  </si>
  <si>
    <t>In der Fortsetzung des Familien-Komödien-Hits "Cop and a Half" (1993) löst der altmodische Polizeibeamte Simmons (Lou Diamond Phillips) gemeinsam mit einem zwölfjährigen Mädchen (Lulu Wilson) einen spannenden Fall.</t>
  </si>
  <si>
    <t>Ein Geschenk von Bob</t>
  </si>
  <si>
    <t>A Christmas Gift from Bob</t>
  </si>
  <si>
    <t>tt9564270</t>
  </si>
  <si>
    <t>Luke Treadaway, Kristina Tonteri-Young, Phaldut Sharma, Nina Wadia, Celyn Jones</t>
  </si>
  <si>
    <t>London in der Weihnachtszeit ist für den Straßenmusiker James und seine Katze Bob immer wieder ein schweres Pflaster. In all dem Trubel gehen die beiden und ihre Musik vollkommen unter – die Menschen beachten sie nicht einmal. Doch für den Musiker steht Ärger ins Haus, als der Tierschutz auftaucht und ihm Bob wegnehmen will. James ist außer sich: Man kann ihm doch nicht seinen treuen Begleiter wegnehmen! Wie gut, dass er Freunde wie Bea, die Köchin Arabella und den indischen Verkäufer Moody hat, die sich schon überlegt haben, wie sie James aus der Patsche helfen können. Schließlich steht Weihnachten vor der Tür! Noch dazu soll es dieses Jahr das schönste Fest werden, das die Freunde je erlebt haben …</t>
  </si>
  <si>
    <t>Ein Jahr vogelfrei!</t>
  </si>
  <si>
    <t>The Big Year</t>
  </si>
  <si>
    <t>tt1053810</t>
  </si>
  <si>
    <t>Steve Martin, Jack Black, Owen Wilson, Brian Dennehy, Anjelica Huston</t>
  </si>
  <si>
    <t>Für den alljährlichen Wettbewerb "North American Big Year" legen sich ehrgeizige Vogelbeobachter mächtig ins Zeug, um möglichst viele seltene Vögel in den USA aufzuspüren. Sie reisen dazu 365 Tage lang quer über den Kontinent, bis nach Kanada. Diesmal treten ein verbissener Bauunternehmer aus New Jersey, der seinen letztjährigen Titel verteidigen will, ein zurückhaltender Firmenchef aus Colorado und ein Computerfreak aus Maryland gegeneinander an.</t>
  </si>
  <si>
    <t>Ein Mann für gewisse Stunden</t>
  </si>
  <si>
    <t>American Gigolo</t>
  </si>
  <si>
    <t>tt0080365</t>
  </si>
  <si>
    <t>Richard Gere, Lauren Hutton, Héctor Elizondo, Nina van Pallandt, Bill Duke</t>
  </si>
  <si>
    <t>Julian Kay ist als gepflegter, eleganter, diskreter und charmanter Callboy der von älteren reichen Damen gefragteste Gigolo von Los Angeles. Er kann sich Luxuslimousinen und Luxuswohnung leisten und verkehrt in den besten Kreisen. Eines Tages gerät er in Verdacht, eine seiner Kundinnen ermordet zu haben. Julian hat kein Alibi für die Tatzeit, ist aber unschuldig. Erst die falsche Aussage der frustrierten Senatorengattin Michelle, in die er sich verliebt hat, bringt ihn wieder aus dem Gefängnis hinaus. Julians "echtes" Gefühlsleben ist gerettet.</t>
  </si>
  <si>
    <t>Ein Rezept zum Verlieben</t>
  </si>
  <si>
    <t>No Reservations</t>
  </si>
  <si>
    <t>tt0481141</t>
  </si>
  <si>
    <t>Catherine Zeta-Jones, Aaron Eckhart, Abigail Breslin, Patricia Clarkson, Jenny Wade</t>
  </si>
  <si>
    <t>Ihnen gelüstet nach zarten, perfekt zubereiteten „Wachteln in Trüffelsauce“? Nichts leichter als das: So was zaubert Kate, die arbeitssüchtige Meisterköchin eines Edelrestaurants in Manhattan, mit links auf den Teller. Aber wie sie den neuen Sous-Chef, einen lockeren Typen, der Opern liebt, weichkochen soll, weiß sie nicht. Und den Umgang mit ihrer verwaisten Nichte, die bei ihr einzieht und die für Fischstäbchen jede Gänseleberpastete stehen lässt, kriegt sie auch nicht gebacken. „Ich wünschte, es gäbe ein Kochbuch fürs Leben mit exakten Verhaltensrezepten“, seufzt Kate bei ihrem Therapeuten.</t>
  </si>
  <si>
    <t>Ein Schnitzel für alle</t>
  </si>
  <si>
    <t>tt3084316</t>
  </si>
  <si>
    <t>Armin Rohde, Ludger Pistor, Rick Okon</t>
  </si>
  <si>
    <t>In der Fortsetzung "Ein Schnitzel für alle" begeben sich Armin Rohde als arbeitsloser Tierpfleger Günther Kuballa und Ludger Pistor als ausrangierter Herrenoberbekleidungsverkäufer Wolfgang Krettek erneut auf die Suche nach dem Glück. Helfen lassen sie sich dabei unter anderem von einem jungen Mann, der aufgrund seines Autismus über ganz außergewöhnliche Fähigkeiten am Roulettetisch verfügt.</t>
  </si>
  <si>
    <t>Ein Sommer am See</t>
  </si>
  <si>
    <t>La Baule-les-Pins</t>
  </si>
  <si>
    <t>tt0099200</t>
  </si>
  <si>
    <t>Nathalie Baye, Jean-Pierre Bacri, Zabou Breitman, Richard Berry, Vincent Lindon</t>
  </si>
  <si>
    <t>Frankreich in den 50er Jahren: Der Start in den Sommerurlaub beginnt anders als von Frédérique (13) und ihrer Schwester Sophie (8) erwartet, denn statt mit der Mutter reisen sie mit ihrem Kindermädchen Bella in den Ferienort. Die Gründe für das verbleiben der Mutter in Paris verstehen die Mädchen zunächst nicht. Die beiden reagieren entsprechend enttäuscht und lassen den Frust zunächst am völlig überforderten Kindermädchen aus.  Als die Mutter dann endlich doch noch nachgereist kommt, ist die Freude zwar zuerst groß, aber statt des Vaters trifft sich ihre Mutter immer öfter mit einem anderem Mann der sich seit der Ankunft der Mutter ebenfalls im Fereinort aufhält._x000D_ Zumindest Frédérique beginnt langsam zu begreifen, das es sich um den Liebhaber ihrer Mutter handelt, und dass der anfängliche Verbleib der Mutter in Paris wohl mit der Trennung der Eltern zu tun hat._x000D_ Deutlicher wird die ganze Situation, als auch noch der Vater eintrifft ...</t>
  </si>
  <si>
    <t>Ein tierisches Trio - Wieder unterwegs</t>
  </si>
  <si>
    <t>Homeward Bound II: Lost in San Francisco</t>
  </si>
  <si>
    <t>Abenteuer, Komödie, Drama, Familie</t>
  </si>
  <si>
    <t>tt0116552</t>
  </si>
  <si>
    <t>Michael J. Fox, Sally Field, Ralph Waite, Robert Hays, Kim Greist</t>
  </si>
  <si>
    <t>Die Hunde Shadow und Chance und die Katze Sassy reißen unmittelbar vor der Flugreise nach Kanada aus und suchen den Weg nach Hause. Dabei begegnen sie vielen anderen Tieren, gut gesinnten und weniger gut gesinnten. Zusammen mit ihnen erleben sie viele gefährliche Abenteuer und werden zu guter Letzt von ihrer (Menschen-)Familie aufgelesen.</t>
  </si>
  <si>
    <t>Ein verrücktes Huhn</t>
  </si>
  <si>
    <t>The Hot Chick</t>
  </si>
  <si>
    <t>Komödie, Fantasy</t>
  </si>
  <si>
    <t>tt0302640</t>
  </si>
  <si>
    <t>Rob Schneider, Anna Faris, Matthew Lawrence, Eric Christian Olsen, Robert Davi</t>
  </si>
  <si>
    <t>Jessica ist eine eingebildete Highschool-Tusse mit allen dazugehörigen Merkmalen: Sie verachtet jeden, der weniger Geld hat als sie, ist Mitglied im Cheerleader-Team und trägt 3 Tonnen Schminke auf ihrem Gesicht. Und da sie eine Bilderbuch-Zicke ist, lässt ihr Charakter auch stark zu wünschen übrig. Umso tiefer sitzt der Schock, als sie eines Morgens im Körper des etwas zu klein geratenen Verlierers Clive, der sich mit Tankstellenüberfällen über Wasser hält, aufwacht. Nun macht sich Jessica auf die Suche nach der Ursache dieses faulen Zaubers ...</t>
  </si>
  <si>
    <t>Ein verrücktes Paar</t>
  </si>
  <si>
    <t>30 Jahre Harald &amp; Eddi - ein verrücktes Paar</t>
  </si>
  <si>
    <t>tt26010550</t>
  </si>
  <si>
    <t>Grit Boettcher, Harald Juhnke, Wolfgang Völz</t>
  </si>
  <si>
    <t>Die Nachbarn John Gustafson und Max Goldman sind knarzige alte Miesepeter – und weil sie von Jack Lemmon und Walter Matthau gespielt werden, auch sehr lustige alte Miesepeter. In diesem ebenso überdrehten wie zu Herzen gehenden Schlagabtausch verwandelt sich die Dauerfehde der beiden Grantler in einen Konkurrenzkampf mit harten Bandagen, als gegenüber eine attraktive Witwe einzieht. Das verschneite Minnesota bildet die Kulisse, als Max und John ein irrwitziges Feuerwerk von drastischen Streichen und polterigen Sprüchen entfachen.</t>
  </si>
  <si>
    <t>Eine Frau steht ihren Mann</t>
  </si>
  <si>
    <t>Norma Rae</t>
  </si>
  <si>
    <t>tt0079638</t>
  </si>
  <si>
    <t>Sally Field, Beau Bridges, Ron Leibman, Pat Hingle, Barbara Baxley</t>
  </si>
  <si>
    <t>Norma Rae ist Fabrikarbeiterin und alleinerziehende Mutter. Sie wird von ihren Arbeitgebern ausgenutzt und führt ein trostloses Leben. Das ändert sich, als sie einen Gewerkschaftsfunktionär kennenlernt. Durch ihn erkennt sie, dass sie für bessere Lebens- und Arbeitsbedingungen kämpfen muss. Es gelingt ihr, die anderen Arbeiter zum Kampf gegen die miserablen Arbeitsbedingungen und für bessere Gehälter zu organisieren...</t>
  </si>
  <si>
    <t>Eine ganz normale Familie</t>
  </si>
  <si>
    <t>Ordinary People</t>
  </si>
  <si>
    <t>tt0081283</t>
  </si>
  <si>
    <t>Donald Sutherland, Mary Tyler Moore, Judd Hirsch, Timothy Hutton, M. Emmet Walsh</t>
  </si>
  <si>
    <t>Familie Jarret lebt in einer heilen Welt – gesichertes Einkommen, Häuschen im Grünen und zwei Söhne. Ihre perfekte Idylle wird zerstört, als der älteste Sohn Buck bei einer Segelpartie mit seinem Bruder Conrad ertrinkt. Conrad fühlt sich für Bucks Tod verantwortlich, begeht einen Selbstmordversuch und wird in eine Nervenklinik eingeliefert. Weder Vater noch Mutter sind in der Lage, ihm Halt zu geben. Erst bei dem Psychiater Dr. Berger findet Conrad das gesuchte Verständnis.</t>
  </si>
  <si>
    <t>Eine verrückte Hochzeit</t>
  </si>
  <si>
    <t>On a volé la cuisse de Jupiter</t>
  </si>
  <si>
    <t>tt0081276</t>
  </si>
  <si>
    <t>Philippe Noiret, Annie Girardot, Francis Perrin, Catherine Alric, Marc Dudicourt</t>
  </si>
  <si>
    <t>Professor Lemercier (Philippe Noiret) und Kommissarin Tanquerelle (Annie Girardot) verbringen ihre Flitterwochen in Griechenland. Eines Tages lernen sie den jungen Archäologen Charles-Hubert Pochet kennen. Der hat das Glück, den Torso einer unbekannten Statue ans Tageslicht zu befördern. Seine attraktive Frau Agnes verkauft das gute Stück an einen Antiquitätenhändler, ohne den wahren Wert zu kennen. Als der Händler kurz darauf ermordet wird, fällt der Verdacht auf Lemercier und Pochet, die sich nunmehr mit ihren Frauen auf eine irre Flucht durch Griechenland begeben. Dabei haben sie zwei Ziele im Kopf: Den wahren Mörder finden und somit ihre Unschuld zu beweisen sowie den Rest der Statue ausfindig zu machen...</t>
  </si>
  <si>
    <t>Eingeschneite Herzen</t>
  </si>
  <si>
    <t>A Holiday for Love</t>
  </si>
  <si>
    <t>tt0137000</t>
  </si>
  <si>
    <t>Tim Matheson, Melissa Gilbert, Michelle Trachtenberg, Jayne Eastwood, Jack Jessop</t>
  </si>
  <si>
    <t>Jake Peterson ist Karrieremensch vom Scheitel bis zur Sohle. Mit harte Arbeit und ausgefahrenen Ellbogen hat er es bis in die oberste Manager-Riege der Beane Tractor Corporation geschafft.  Eine Woche vor Weihnachten soll Jake im Auftrag des Unternehmens nach Athens in Nebraska aufbrechen – eine besondere Reise, denn es ist sein Heimatort. Der Auftrag ist pikant. Zahlreichen Mitarbeiter der ansässigen Fabrik soll gekündigt werden. Jake muss eine Liste mit Namen erstellen. Zunächst läuft alles nach Plan, bis Jake auf die junge Witwe Emma trifft. Plötzlich gerät alles durcheinander. Er verliebt sich. Doch Emma ist die Tochter des Fabrikmanagers. Jake muss sich zwischen seinen Gefühlen und der Karriere entscheiden.</t>
  </si>
  <si>
    <t>Eis kalt</t>
  </si>
  <si>
    <t>Kalt ums Herz - Lebensrettung aus dem Eis</t>
  </si>
  <si>
    <t>tt1116938</t>
  </si>
  <si>
    <t>Hang Loose! Vier Snowboardfreaks werden von einer üblen Nachricht überrascht. Will doch der arrogante Krösus Jack Majors ihr Heimatkaff Bull Mountain in eine Massentourismus-Trabantensiedlung umwandeln. lm Schlepptau hat er seine Tochter und deren vollbusige skandinavische Stiefschwester, die den Freunden mit ihren Reizen den Kopf verdrehen. Nun müssen die Jungs ihre feuchtfröhlichen Party-Umtriebe sowie ihr Gefühlschaos in den Griff kriegen, um im Kampf gegen die Verschandelung des Orts nicht aus der Bindung zu fallen.</t>
  </si>
  <si>
    <t>Election</t>
  </si>
  <si>
    <t>tt0126886</t>
  </si>
  <si>
    <t>Matthew Broderick, Reese Witherspoon, Loren Nelson</t>
  </si>
  <si>
    <t>Tracy Flick hat sich das Amt der Schulsprecherin in den Kopf gesetzt. Angesichts ihrer aufgesetzten Tugendhaftigkeit bekommt der beliebte Lehrer Mr. McAllister das kalte Grausen und mobilisiert den gutmütigen Football-Jock Paul als Gegenkandidat. Es beginnt eine heiße Wahlkampagne, bei der McAllister in ein tiefes Fettnäpfchen tritt.</t>
  </si>
  <si>
    <t>Elfmeter für den Superbullen</t>
  </si>
  <si>
    <t>Delitto a Porta Romana</t>
  </si>
  <si>
    <t>tt0080606</t>
  </si>
  <si>
    <t>Tomas Milian, Bombolo, Olimpia Di Nardo, Nerina Montagnani, Leo Gavero</t>
  </si>
  <si>
    <t>Im siebten Teil der Filmreihe über Kommissar Nico Giraldi kehrt dieser im Rahmen von Ermittlungen gegen einen Mordverdächtigen in sein altes Viertel zurück.</t>
  </si>
  <si>
    <t>Elizabethtown</t>
  </si>
  <si>
    <t>tt0368709</t>
  </si>
  <si>
    <t>Orlando Bloom, Kirsten Dunst, Susan Sarandon</t>
  </si>
  <si>
    <t>Drew Baylor hat das, wovon Männer träumen: Einen gut bezahlten Job und eine Affäre. Als er beides verliert, ist sein Leben ein Trümmerhaufen. Kurz bevor er seinem Leben ein Ende setzen möchte stirbt sein Vater. Um ihm seinen letzten Willen zu erfüllen, bucht er kurzerhand einen Flug in die Vergangenheit. Jedoch gestaltet sich die Reise nach Elizabethtown als Flug in die Zukunft. Denn Hals über Kopf verliebt er sich in die Flugbegleiterin Claire Colburn, und als er sie wieder trifft, erkennt er endlich, wie sich Glück anfühlt...</t>
  </si>
  <si>
    <t>Emergency</t>
  </si>
  <si>
    <t>tt21279420</t>
  </si>
  <si>
    <t>Anupam Kher, Kangana Ranaut, Milind Soman</t>
  </si>
  <si>
    <t>Während der Herrschaft Indira Gandhis lebten die Inder zwischen 1975 und 1977 fast zwei Jahre lang im verhängten Ausnahmezustand. Die Regierung nutzte das unter anderem, um Grundrechte wie die Pressefreiheit außer Kraft zu setzen und ohne parlamentarische Kontrolle von oben durchzuregieren. Erst eine heftige Wahlschlappe für Gandhis Partei beendete den Ausnahmezustand.</t>
  </si>
  <si>
    <t>Endlich Witwer - Forever Young</t>
  </si>
  <si>
    <t>tt15000430</t>
  </si>
  <si>
    <t>Michael Baral, Susanne Bormann, Martina Gedeck</t>
  </si>
  <si>
    <t>Georg Weisers geplante Fahrt mit dem Wohnmobil nach Afrika endet wegen einer Autopanne abrupt bereits auf einem Bauernhof von einstigen Freunden in Deutschland, und er begibt sich stattdessen auf eine Reise in die Vergangenheit. Er möchte alte Wunden des Lebens schließen. Der Witwer will sich mit den Freunden von damals versöhnen, doch die Wunden sind nach vierzig Jahren noch nicht verheilt.</t>
  </si>
  <si>
    <t>Ernst sein ist alles</t>
  </si>
  <si>
    <t>Ernest et Célestine en hiver</t>
  </si>
  <si>
    <t>FR, LU</t>
  </si>
  <si>
    <t>Animation, Familie</t>
  </si>
  <si>
    <t>tt10443634</t>
  </si>
  <si>
    <t>Pauline Brunner, Xavier Fagnon, Raphaëline Goupilleau, Lila Lacombe, Lisa Caruso</t>
  </si>
  <si>
    <t>Bei Ernest und Celestine hält der Winter Einzug. Doch der gutmütige Bär und die kleine fröhliche Maus erleben viele Abenteuer und Feste, die den Winter zu einer schönen Jahreszeit machen. Ob nun beim Mäuseball, auf den alle Mäuse das ganze Jahr warten, beim Flug der Wildgänse nach Süden oder bei der Vorbereitung auf den Winterschlaf. Das Leben in der kleinen Stadt geht weiter, auch wenn die kühle Jahreszeit die Tage kürzer werden lässt. (Text: KiKA)</t>
  </si>
  <si>
    <t>Es ist zu deinem Besten</t>
  </si>
  <si>
    <t>Intouchables</t>
  </si>
  <si>
    <t>tt1675434</t>
  </si>
  <si>
    <t>François Cluzet, Omar Sy, Anne Le Ny, Audrey Fleurot, Joséphine de Meaux</t>
  </si>
  <si>
    <t>Der 85-jährige Sushi-Meister Jiro Ono arbeitet unermüdlich in seinem weltbekannten Restaurant - Sukiyabashi Jiro. Er hat sein ganzes Leben der Sushi-Herstellung verschrieben und sucht immer noch nach der perfekten Zubereitung. Die Sushi-Bar, die in einer U-Bahn-Station in Tokio gelegen ist und nur zehn Sitzplätze hat, wurde im Jahr 2009 mit drei Michelin-Sternen ausgezeichnet und gilt als bestes Sushi-Restaurant der Welt. In Japan ist das Sukiyabashi Jiro schon jetzt eine Legende. Auf Jiro Onos Sohn Yoshikazu, der bald in die Fußstapfen seines verehrten Vaters treten und das Restaurant übernehmen soll, wächst der Druck, seinem Erbe gerecht zu werden. In der Dokumentation begleitet Filmemacher David Gelb den Altmeister bei seiner Arbeit und dessen unermüdlicher Suche nach Perfektion.</t>
  </si>
  <si>
    <t>Es kommt noch besser</t>
  </si>
  <si>
    <t>tt3886126</t>
  </si>
  <si>
    <t>Andrea Sawatzki, Florence Kasumba, Maximilian Brückner, August Zirner, Ferdinand Lehmann</t>
  </si>
  <si>
    <t>Die Firma "Mode Pirsch" hat alle Trends verschlafen, der Onlineauftritt kommt Jahre zu spät. Leidtragende sind die Mitarbeiter. Es trifft nach dreißig Jahren Betriebszugehörigkeit auch Chefsekretärin Ina Becker. Der Gang ins Jobcenter ist für die nicht sehr selbstbewusste Fünzigjährige demütigend. Vom Mann für eine Jüngere verlassen und hoch verschuldet, muss sie Geld verdienen. Im Kurs "B.1.3." bei Sven Selig soll sie lernen, wie man sich bewirbt, neu orientiert und den Marktwert steigert. Hier prallt sie auf "Hartzer" wie Enno die weder etwas zu verlieren, noch etwas zu gewinnen haben - und auf ihren Exchef Walter, der rechtzeitig seine Schäfchen ins Trockene gebracht hat und nur mal schauen will, wie man Zeit sinnvoller totschlägt…</t>
  </si>
  <si>
    <t>Eve und der letzte Gentleman</t>
  </si>
  <si>
    <t>Blast from the Past</t>
  </si>
  <si>
    <t>tt0124298</t>
  </si>
  <si>
    <t>Brendan Fraser, Alicia Silverstone, Christopher Walken, Sissy Spacek, Dave Foley</t>
  </si>
  <si>
    <t>Nach einem vermeintlichen Atomschlag im Jahre 1962 verbringt Adam 35 Jahre mit seinen Eltern in einem Atomschutzbunker. Als sich 1997 schließlich das Zeitschloss seines unterirdischen Heims öffnet, macht sich Adam nach Los Angeles auf, um neue Vorräte zu besorgen und eine gesunde Frau zwecks Fortpflanzung zu finden. Er trifft dabei ausgerechnet auf die sarkastische, von der Männerwelt entäuschte Eve, die ihn zunächst nur äußerst widerwillig durch die Gefahren des Großstadtdschungels lotst...</t>
  </si>
  <si>
    <t>Fack ju Göhte</t>
  </si>
  <si>
    <t>Fack ju Göhte 2</t>
  </si>
  <si>
    <t>Elyas M'Barek, Karoline Herfurth, Katja Riemann, Jana Pallaske, Alwara Höfels</t>
  </si>
  <si>
    <t>Kleinganove Zeki Müller landet bei der Suche nach seiner Diebesbeute als Aushilfslehrer an einer Schule. Den Lehrerberuf führt er laut eigener Aussage nur nebenberuflich aus und das merkt man schnell: Er bedient sich unkonventioneller Methoden, wie beispielsweise seiner an Schülern erprobten Paintball-Pädagogik, und hat auch sonst keinen blassen Schimmer von den Unterrichtsthemen. Als Neuer an der Schule bekommt er gleich die Problemklasse aufs Auge gedrückt. Mit seinen rabiaten Mitteln und ungewöhnlichen Lehrmethoden mischt er die Chaosklasse und auch die Lehrerschaft ordentlich auf. Und schließlich ist da noch die Referendarin Lisi Schnabelstedt, die ihm nicht nur dank ihrer pädagogischen Ratschläge etwas bedeutet... Zeki muss sich entscheiden, ob er die Chance auf ein anständiges Leben und die große Liebe ergreifen will.</t>
  </si>
  <si>
    <t>Elyas M'Barek, Jella Haase, Karoline Herfurth, Katja Riemann, Volker Bruch</t>
  </si>
  <si>
    <t>Der coole Ex-Kleinganove und frisch gebackene Lehrer Zeki Müller ist mit seinen etwas anderen Lehrmethoden mittlerweile sehr beliebt bei seinen Schülern. Aber ihn selbst nervt sein neuer Job jetzt schon, liegen ihm das frühe Aufstehen, das ständige Korrigieren von Klassenarbeiten und nervige Kinder doch so überhaupt nicht. Hinzu kommt, dass Direktorin Gerster noch zusätzlich Druck macht, da sie um jeden Preis das Image ihrer Gesamtschule aufbessern will. Zu diesem Zweck möchte sie dem renommierten Schillergymnasium die thailändische Partnerschule streitig machen. Und so werden Zeki und Kollegin Lisi Schnabelstedt auf Klassenfahrt nach Thailand geschickt, wo ihre chaotischen Schützlinge für ordentlich Wirbel sorgen. In all dem Trubel spitzt sich der Konkurrenzkampf mit dem Schillergymnasium immer weiter zu, dessen Lehrer Hauke Wölki Zekis Karriere mit allen Mitteln ein Ende bereiten möchte.</t>
  </si>
  <si>
    <t>Fack ju Göhte 3</t>
  </si>
  <si>
    <t>tt6471264</t>
  </si>
  <si>
    <t>Elyas M'Barek, Jella Haase, Sandra Hüller, Katja Riemann, Max von der Groeben</t>
  </si>
  <si>
    <t>Chantal, Danger, Zeynep und die anderen Schüler der Goethe-Gesamtschule stehen zwar kurz vor dem Abitur, doch die ehemaligen Problemschüler sind nicht wirklich motiviert, diesen Abschluss zu ergattern. Dafür hat die Frau vom Berufsinformationszentrum gesorgt, indem sie ihnen klargemacht hat, dass ihre Zukunft sowieso nicht besonders rosig aussieht. Somit ist bei Chantal &amp; Co. erstmal wieder Frustration, Eskalation und Leistungsverweigerung angesagt, aber dennoch will Zeki Müller alles tun, damit sie das Abi schaffen. Auf die Hilfe von Schulleiterin Gudrun Gerster kann er sich dabei nicht verlassen, denn diese hat mit dem Bildungsministerium genug Stress. Immerhin die neue Lehrerin Biggi Enzberger springt Zeki zur Seite und hilft ihm bei einem Anti-Mobbing-Seminar…</t>
  </si>
  <si>
    <t>Family Business</t>
  </si>
  <si>
    <t>tt0097328</t>
  </si>
  <si>
    <t>Sean Connery, Dustin Hoffman, Matthew Broderick</t>
  </si>
  <si>
    <t>Der ehemalige Chemiestudent Adam überredet seinen Großvater, den Überzeugungsgauner Jessie McMullen, zu einem todsicheren Bruch. Für eine Million Dollar sollen aus einem Labor ein neu entwickeltes Serum nebst wichtigen Unterlagen gestohlen werden. Als dritter im Bunde entschließt sich Adams Vater Vito, der nach einer kriminellen Jugend auf ehrliche Weise zu Wohlstand gekommen ist, bei dem Coup mitzumachen.</t>
  </si>
  <si>
    <t>Family Switch</t>
  </si>
  <si>
    <t>tt14227048</t>
  </si>
  <si>
    <t>Jennifer Garner, Ed Helms, Emma Myers</t>
  </si>
  <si>
    <t>In einer Familie bricht das totale Chaos aus, als durch ein seltenes kosmisches Ereignis Tage vor Weihnachten die Eltern und ihre Kinder im Teenageralter die Körper tauschen.</t>
  </si>
  <si>
    <t>Ferien mit einer Leiche</t>
  </si>
  <si>
    <t>Hodet over vannet</t>
  </si>
  <si>
    <t>tt0107121</t>
  </si>
  <si>
    <t>Lene Elise Bergum, Svein Roger Karlsen, Morten Abel, Jon Skolmen, Reidar Sørensen</t>
  </si>
  <si>
    <t>Eine einsame Insel: Hier verbringen die seit kurzem verheirateten Lene und Einar ihre Ferien. Die Tage sind geprägt von Harmonie und Glück, und außer Jugendfreund Björn bewohnt niemand sonst das Eiland. Als Einar und Björn zum Fischen rausfahren, taucht plötzlich Lenes ehemaliger Liebhaber Gaute auf und bringt alles durcheinander. Der Mann möchte seinen Liebeskummer loswerden und trinkt viel zuviel. Regungslos landet er in Lenes Bett, die sich aus dieser zweideutigen Situation hilft, indem sie ihn vor der Rückkehr des furchtbar eifersüchtigen Ehemanns versteckt. Eine fatale Entscheidung, die für große Turbulenzen auf der einsamen Insel führt. Denn der Ex ist plötzlich tot…</t>
  </si>
  <si>
    <t>Ferien total verrückt</t>
  </si>
  <si>
    <t>Tiny Toon Adventures: How I Spent My Vacation</t>
  </si>
  <si>
    <t>tt0105598</t>
  </si>
  <si>
    <t>Charlie Adler, Tress MacNeille, Joe Alaskey, Don Messick, Jonathan Winters</t>
  </si>
  <si>
    <t>Tiny Toons Abenteuer: Total verrückte Ferien ist ein amerikanischer Direct-to-Video-Zeichentrickfilm von Warner Bros. Animation und Amblin Entertainment. Der Film wurde 1992 u. a. in den USA und Deutschland auf Video veröffentlicht. Der Film, in dem die Charaktere der Zeichentrickserie Tiny Toon Abenteuer (Original: Tiny Toon Adventures) auftreten, zeigt, was die Tiny Toons in ihren Sommerferien erleben.</t>
  </si>
  <si>
    <t>Ferien und andere Katastrophen</t>
  </si>
  <si>
    <t>C'est pas ma faute !</t>
  </si>
  <si>
    <t>tt0196420</t>
  </si>
  <si>
    <t>Thierry Lhermitte, Gautier Kusnierek, Arielle Dombasle, Jacques Perrin, Martin Lamotte</t>
  </si>
  <si>
    <t>Martin fährt gemeinsam mit seinem Freund Vincent und dessen Eltern in Urlaub, den diese, wie in jedem Jahr, im Hotel Nautilus verbringen. Für die Kinder ein Paradies: dort gibt es jede Menge Freunde und ein tolles Baumhaus. Allerdings wartet eine Überraschung auf die Clique, denn "ihr" Baumhaus ist bereits besetzt. Eine Gruppe Gleichaltriger aus dem benachbarten Ferienlager hat sich dort breit gemacht. Nun beginnt ein erbitterter Kampf um das Haus. Dabei hat Martin die besten Ideen, wie sie die Besetzer vertreiben können. Leider geht der Kampf ganz anders aus als geplant, denn Martin wird vom Pech verfolgt und er gerät zwischen die Fronten.</t>
  </si>
  <si>
    <t>Fighting with My Family</t>
  </si>
  <si>
    <t>tt6513120</t>
  </si>
  <si>
    <t>Dwayne Johnson, Lena Headey, Vince Vaughn</t>
  </si>
  <si>
    <t>Ricky Knight hat dem alten Kleinverbrecherleben abgeschworen und verdient sein Geld nun mit Wrestling. Mit Ehefrau Julia und den Kindern Zak und Paige hat er in der englischen Provinz ein mehr schlecht als recht laufendes kleines Wrestling-Geschäft. Für die ganze Familie ist Wrestling mehr als nur ein Sport. Zak und Paige träumen von der großen Karriere und eines Tages eröffnet sich die Chance: Beide können an einem Vorbereitungscamp für die WWE (World Wrestling Entertainment), der größten Organisation des Sports, die schon Stars wie Dwayne „The Rock“ Johnson hervorgebracht hat, teilnehmen. Doch nachdem Paige einen Platz im hart umkämpften Ausbildungsprogramm der WWE erhält, merkt sie, dass nur sie den Sprung schaffen wird, aber ihr Bruder nicht...</t>
  </si>
  <si>
    <t>First Class</t>
  </si>
  <si>
    <t>tt19637212</t>
  </si>
  <si>
    <t>Aldo Comas, Carola Etxart, Marc Patsy</t>
  </si>
  <si>
    <t>Die angehende Kunstpraktikantin Ana wird auf einer Last-Minute-Reise ihrer Chefin nach London unerwartet in die erste Klasse umgebucht. Gerade, als sie beginnt, sich an den komfortablen Lebensstil in der ersten Klasse zu gewöhnen, lernt sie den gutaussehenden und wohlhabenden William kennen. Sie beschließt, ihre Fantasien ein wenig länger auszuleben, als sie sollte.</t>
  </si>
  <si>
    <t>Fishermans Friends - Vom Kutter in die Charts</t>
  </si>
  <si>
    <t>Fisherman's Friends</t>
  </si>
  <si>
    <t>tt1648186</t>
  </si>
  <si>
    <t>Daniel Mays, James Purefoy, Tuppence Middleton, David Hayman, Dave Johns</t>
  </si>
  <si>
    <t>Musikmanager Danny und seine Kollegen aus London fallen in dem beschaulichen Fischerdorf Port Isaac peinlich auf. Die freiwilligen Seenotretter um Fischer Jim sehen Danny und seine Jungs überraschend schnell wieder: Die kauzigen Seemänner treten als Chor Fisherman’s Friends am Hafen auf und schmettern Shantys. Prompt wird Danny beauftragt, die Hobbysänger unter Vertrag zu nehmen. Dummerweise ist ihm nicht klar, dass seine neue Mission bloß ein Scherz ist. Und so quartiert sich Danny im Bed and Breakfast von Jims attraktiver Tochter Alwyn ein und heftet sich an die Gummistiefel der Fishermen. Das Werben um die 10 kornischen Fischer wird zu einem Kampf um den Respekt der Männer, die Familie, Freundschaft und die Gemeinschaft über Ruhm und Reichtum stellen. Während Danny immer tiefer in die traditionelle Lebensweise der Fischerfreunde gezogen wird, stellt sich ihm die Frage, was Erfolg im Leben wirklich bedeutet.</t>
  </si>
  <si>
    <t>Comedy, Drama, Music</t>
  </si>
  <si>
    <t>James Purefoy, Meadow Nobrega, David Hayman</t>
  </si>
  <si>
    <t>Flamin’ Hot</t>
  </si>
  <si>
    <t>Flamin' Hot</t>
  </si>
  <si>
    <t>tt8105234</t>
  </si>
  <si>
    <t>Jesse Garcia, Annie Gonzalez, Emilio Rivera</t>
  </si>
  <si>
    <t>Der Immigranten-Sohn Richard Montanez arbeitet als Hausmeister bei Frito-Lay. Mit seiner Idee \"Flamin' Hot Cheetos\" führt er das amerikanische Chips-Unternehmen zu seinem größten Erfolg.</t>
  </si>
  <si>
    <t>Free Guy</t>
  </si>
  <si>
    <t>US,CA</t>
  </si>
  <si>
    <t>tt6264654</t>
  </si>
  <si>
    <t>Ryan Reynolds, Jodie Comer, Taika Waititi</t>
  </si>
  <si>
    <t>Guy führt ein Leben als Kassierer in einer Bank, das vor allem von der täglichen Routine und dem Chaos und der Gewalt um ihn herum geprägt ist. Jeden Tag wird seine Bank aufs Neue überfallen, aber damit hat sich Guy abgefunden. Eines Tages findet er dann jedoch heraus, dass er in Wahrheit in einem brutalen Open-World-Videospiel namens „Free City“ lebt und ein sogenannter NPC ist – eine Videospielfigur, die nicht von einem menschlichen Spieler gesteuert wird. Verantwortlich für diese Erkenntnis sind die Programmierer Milly und Keys, die „Free City“ gehackt haben. Guy verliebt sich in Millys Avatar Molotovgirl, doch die Tatsache, dass sich ein NPC merkwürdig verhält, bleibt den Köpfen hinter dem Spiel natürlich nicht verborgen. Der Publisher Antwan möchte „Free City“ abschalten und nun ist es an Guy, sich und die anderen Videospielfiguren zu retten.</t>
  </si>
  <si>
    <t>Freunde fürs Leben - Truman</t>
  </si>
  <si>
    <t>Truman</t>
  </si>
  <si>
    <t>AR, ES</t>
  </si>
  <si>
    <t>tt3754940</t>
  </si>
  <si>
    <t>Ricardo Darín, Javier Cámara, Dolores Fonzi, Eduard Fernández, Àlex Brendemühl</t>
  </si>
  <si>
    <t>In ihrer Kindheit waren die Freunde Julián und Tomás einst unzertrennlich. Irgendwann haben sich die beiden dann allerdings weitestgehend aus den Augen verloren. Während der geschiedene Julián in Spanien geblieben ist und dort die Hochs und Tiefs einer Schauspielkarriere durchlebt hat, ist der Lehrer Tomás nach Kanada ausgewandert, wo er sich eine beschauliche Existenz mitsamt Job, Frau und Kindern aufgebaut hat. Als sich die beiden Männer eines Tages jedoch in Madrid wiedersehen, lebt ihre Freundschaft sofort wieder auf, so als wäre sie nie eingeschlafen. Gemeinsam verbringen die Zwei in der Stadt ein paar wundervolle Tage voller nostalgischer Erinnerungen und unvergesslicher Erlebnisse – immer in dem Wissen, dass dies wohl ihr letztes Wiedersehen sein wird, da Julián Krebs im Endstadium hat.</t>
  </si>
  <si>
    <t>Für das Leben eines Freundes</t>
  </si>
  <si>
    <t>A Horse from Heaven</t>
  </si>
  <si>
    <t>tt4738912</t>
  </si>
  <si>
    <t>Devan Key, Ryan O'Quinn, Donna Rusch, Ariana Guido, James Mulligan</t>
  </si>
  <si>
    <t>Kaum zu glauben, dass aus der verdreckten und verwilderten Hündin, der Sebastian hoch in den Bergen begegnet ist, inzwischen die wunderschöne weiße Belle geworden ist. Der Junge und die Hirtenhündin sind enge Freunde und haben schon viele Abenteuer bestanden. Als plötzlich der zwielichtige Joseph im Dorf auftaucht und von Opa César Belle und ihre Welpen fordert, ist Sebastian sofort alarmiert. Joseph hat Beweise, dass er der echte Besitzer der Hündin ist. Die Erwachsenen wissen keinen Ausweg. Jetzt sind Sebastians ganzer Mut und Eigensinn gefordert, denn Belle darf niemals mit ihren Jungen diesem geldgierigen, bösen Mann in die Hände fallen....</t>
  </si>
  <si>
    <t>Gefährliche Freundin</t>
  </si>
  <si>
    <t>tt0116398</t>
  </si>
  <si>
    <t>Katharina Thalbach, Corinna Harfouch, Nikolaus Paryla</t>
  </si>
  <si>
    <t>Zwei Freundinnen: Als die eine unter zweifelhaften Umständen wegen Mordes verhaftet wird, verkauft die andere die Geschichte an die Presse...</t>
  </si>
  <si>
    <t>Get Smart - Bruce und Lloyd völlig durchgeknallt</t>
  </si>
  <si>
    <t>Get Smart's Bruce and Lloyd Out of Control</t>
  </si>
  <si>
    <t>tt1018723</t>
  </si>
  <si>
    <t>Masi Oka, Nate Torrence, Jayma Mays, Marika Domińczyk, J.P. Manoux</t>
  </si>
  <si>
    <t>Bruce (Masi Oka) und Lloyd (Nate Torrence) sind zwei CONTROL-Technik-Freaks, die ihren Vorgesetzten (Larry Miller) mit einer ganz besonderen Erfindung erfreuen: Es geht um einen Umhang, der seinen Träger unsichtbar macht. Damit will der Chef seinem Zwillingsbruder bei der CIA (ebenfalls Larry Miller) endlich beweisen, dass bei CONTROL die besseren Leute arbeiten. Doch nach einer feucht-fröhlichen Party ist das gute Stück plötzlich verschwunden. Während die CIA-Techniker Howard (Bryan Callen) und Bob (Mitch Rouse) nun doch noch eine Chance sehen, ihrem Boss zum Sieg zu verhelfen, müssen Bruce und Lloyd einen Außeneinsatz absolvieren: Da fast alle Agenten kompromittiert sind und die letzten beiden brauchbaren gerade die Welt retten, müssen sie selbst ran. Die Spur des Umhangs führt zu einem südamerikanischen Diktator (Ruben Garfias) und dessen hübscher Agentin Isabelle (Marika Dominczyk)...</t>
  </si>
  <si>
    <t>Ghosted</t>
  </si>
  <si>
    <t>tt15326988</t>
  </si>
  <si>
    <t>Chris Evans, Ana de Armas, Adrien Brody</t>
  </si>
  <si>
    <t>Der bodenständige Cole verliebt sich Hals über Kopf in die rätselhafte Sadie - macht dann aber die schockierende Entdeckung, dass sie eine Geheimagentin ist. Bevor sie sich für ein zweites Date entscheiden können, werden Cole und Sadie in ein internationales Abenteuer hineingerissen und müssen die Welt retten.</t>
  </si>
  <si>
    <t>Gloria – Das Leben wartet nicht</t>
  </si>
  <si>
    <t>Gloria Bell</t>
  </si>
  <si>
    <t>tt6902696</t>
  </si>
  <si>
    <t>Julianne Moore, John Turturro, Michael Cera, Caren Pistorius, Brad Garrett</t>
  </si>
  <si>
    <t>Die Mittfünfzigerin Gloria fühlt sich seit ihrer Scheidung einsam. Ihre Kinder Anne und Peter haben längst ein eigenes Leben - er mit seinem neugeborenen Baby, sie mit ihren Yoga-Kursen und dem heißen neuen Surfer-Freund. Gloria, die das Tanzen liebt, beginnt deswegen, auf Single-Partys überall in Los Angeles zu gehen. Tagsüber kämpft sie sich durch ihren langweiligen Alltag im Büro und nachts schlägt sie sich die Nächte um die Ohren. Bei einer dieser nächtlichen Streifzüge lernt sie Arnold kennen. Zunächst scheint es für Gloria nun bergauf zu gehen, doch sie ist sich nicht sicher, ob sie ihrem neu gefundenen Glück trauen kann – vor allem. als sie herausfindet, dass der ebenfalls geschiedene Arnold sie vor seinen Töchtern verheimlicht ...</t>
  </si>
  <si>
    <t>Go</t>
  </si>
  <si>
    <t>Go!</t>
  </si>
  <si>
    <t>Richard Roxburgh, Frances O’Connor, Dan Wyllie, Cooper van Grootel, William Lodder</t>
  </si>
  <si>
    <t>Ein unerschrockener Teenager stürzt sich mithilfe guter Freunde und eines mürrischen Trainers in den endorphingesteuerten Sport der Gokart-Hochgeschwindigkeitsrennen.</t>
  </si>
  <si>
    <t>Good Boys</t>
  </si>
  <si>
    <t>tt6977338</t>
  </si>
  <si>
    <t>Jacob Tremblay, Keith L. Williams, Brady Noon</t>
  </si>
  <si>
    <t>Dabei fängt alles so harmlos an. Die drei Freunde Max, Thor und Lucas versuchen ihre Nachbarsmädchen mittels einer Drohne auszuspionieren, um Erfahrungen zu sammeln. Doch die Mädchen ertappen sie dabei und kassieren den Flugroboter ein. Nun setzen die Jungs alles daran, die teure Drohne zurückzuholen, koste es, was es wolle.  Die drei schwänzen also die Schule und lassen auf ihrer verzweifelten Mission keinen noch so gedankenlosen Fehltritt aus. Sie geraten in ein studentisches Paintball-Match, lassen aus Versehen ein paar Drogen mitgehen, und es dauert nicht lange, bis ihnen sowohl die Cops als auch eine Horde furchteinflößender Teenage-Girls auf den Fersen sind.</t>
  </si>
  <si>
    <t>Good Bye, Lenin!</t>
  </si>
  <si>
    <t>Good Bye Lenin!</t>
  </si>
  <si>
    <t>tt0301357</t>
  </si>
  <si>
    <t>Daniel Brühl, Katrin Sass, Chulpan Khamatova</t>
  </si>
  <si>
    <t>Kurz vor dem Ende der DDR fällt die engagierte Sozialistin Christiane Kerner ins Koma, weil sie beobachtet, wie ihr Sohn Alexander während einer Anti-DDR-Demonstration festgenommen wird. Als sie nach dem Fall der Mauer wieder erwacht, muss sie geschont werden. Um sie nicht aufzuregen, versucht die Familie, zu der auch Tochter Ariane gehört, den nicht mehr existierenden Staat in der Wohnung zu simulieren. Das Unterfangen erweist sich jedoch als schwierige Mission. Da die typischen DDR-Produkte nach der Wende keine Hochkonjunktur haben, müssen Alexander und Ariane alle Hebel in Bewegung setzen, um sie noch aufzutreiben. Alexander dreht eigene Berichte des DDR-Fernsehens, um seiner Mutter vorzugaukeln, dass es noch existiert. Die Realität außerhalb der Wohnung und die idealisierte Version der DDR, die Alexander erschafft, offenbaren die schwierige Zeit, in der sich nicht nur Christiane befindet.</t>
  </si>
  <si>
    <t>Goodbye, Mr. Chips</t>
  </si>
  <si>
    <t>tt0031385</t>
  </si>
  <si>
    <t>Robert Donat, Greer Garson, Terry Kilburn</t>
  </si>
  <si>
    <t>Seit Sir Francis Drakes Zeiten sind in der Brookfield School ängstliche englische Knaben eingeschult worden... um einige Jahre später als gebildete junge Männer abzugehen, die sich die Bürde des Empire auf die Schultern laden. Englands Elite hat in Brookfield Tradition - und diese Tradition wird von dem alternden Schulleiter verkörpert, den man liebevoll "Mr. Chips" nennt. Nach mehr als dreißig Jahren in Amt und Würden bereitet sich "Mr. Chips" nun auf den Abschied von seinem Institut vor. Wehmütig aber auch voller Humor erinnert er sich an seinen Dienstantritt als stocksteifer Lehrer. Und er resümiert die zahllosen Begegnungen mit den jungen Menschen, ihre Träume, Wünsche und seine Liebe zur jungen Katherine die ihn schließlich in einen mitfühlenden, warmherzigen Pädagogen verwandeln.</t>
  </si>
  <si>
    <t>Greenfingers – Harte Jungs und zarte Triebe</t>
  </si>
  <si>
    <t>Greenfingers</t>
  </si>
  <si>
    <t>tt0203540</t>
  </si>
  <si>
    <t>Clive Owen, Helen Mirren, David Kelly, Warren Clarke, Danny Dyer</t>
  </si>
  <si>
    <t>Eigentlich passen sie überhaupt nicht zusammen: Der verschlossene Colin Briggs, wegen Totschlags im Edgefield-Gefängnis, und die scheue Primrose Woodhouse, die im Schatten ihrer dominanten Mutter Georgina steht, Englands Botanik-Expertin Nummer eins. Schuld an allem ist der unheilbar kranke Fergus, der Colin im Knast zu Weihnachten eine kleine Tüte mit Veilchensamen schenkt. Als sich im Frühjahr auf dem Gefängnisrasen die ersten Blüten zeigen, beschließt Anstaltsdirektor Hodge, dass Colin, Fergus und drei weitere seiner inhaftierten Schützlinge die bisher triste Knast-Botanik in eine blühende Landschaft verwandeln sollen...</t>
  </si>
  <si>
    <t>Groupies bleiben nicht zum Frühstück</t>
  </si>
  <si>
    <t>tt1620466</t>
  </si>
  <si>
    <t>Anna Fischer, Kostja Ullmann, Inka Friedrich, Nina Gummich, Josef Mattes</t>
  </si>
  <si>
    <t>Durch Zufall lernt die 17-jährige Lila den charismatischen Chriz kennen und verliebt sich sofort Hals über Kopf in ihn. Lila kommt gerade erst aus Amerika zurück, wo sie das letzte Jahr als Austauschschülerin gelebt hat. Sie weiß nicht, dass in Deutschland inzwischen eine Band namens "Berlin Mitte" eine Massenhysterie unter den weiblichen Teenies auslöst. Vor allem Chriz, ihr Leadsänger, sorgt für Ohnmachtsanfälle und schlaflose Nächte bei unzähligen Mädchen und jungen Frauen - so auch bei Lilas jüngeren Schwester Luzy.Als Lila schließlich erfährt, in wen sie sich da verliebt hat, lassen die Komplikationen nicht lange auf sich warten.</t>
  </si>
  <si>
    <t>Grüsse von Mike</t>
  </si>
  <si>
    <t>De Groeten van Mike!</t>
  </si>
  <si>
    <t>Abenteuer, Familie</t>
  </si>
  <si>
    <t>tt2403851</t>
  </si>
  <si>
    <t>Bracha van Doesburgh, Maas Bronkhuyzen, Faas Wijn, Carine Crutzen, Leona Philippo</t>
  </si>
  <si>
    <t>Der zehnjährige Mike wartet nach seiner Genesung im Krankenhaus auf seine Mutter. Als diese ihn betrunken abholen will, alarmiert das Krankenhaus das Jugendamt. So darf Mike erst zurück zu seiner Mutter nach Hause, wenn sie sich wieder um ihn kümmern kann. Mike weiß von ihren Problemen und will nun beweisen, dass er gut und gerne auf sich selbst aufpassen kann. Gemeinsam mit seinem Bettnachbarn Vincent plant er, den Plänen des Jugendamts zu entgehen und bereitet seine Flucht vor.</t>
  </si>
  <si>
    <t>Hampstead Park - Aussicht auf Liebe</t>
  </si>
  <si>
    <t>Hampstead</t>
  </si>
  <si>
    <t>tt5153236</t>
  </si>
  <si>
    <t>Diane Keaton, Brendan Gleeson, James Norton, Lesley Manville, Jason Watkins</t>
  </si>
  <si>
    <t>Die eigenwillige Amerikanerin Emily Walters passt nur auf den ersten Blick in die gediegene Nachbarschaft Hampsteads und findet ihre affektierten Freundinnen zunehmend öde. Als Emily eines Tages zufällig beobachtet, wie ein Fremder im Park von einer Gruppe Schläger attackiert wird, beschließt sie, zu handeln: Sie ruft die Polizei und kümmert sich um ihn. Sofort ist sie fasziniert von dem kauzigen Donald Horner, der so gar nicht ihrem bisherigen Männerbild entspricht. Donald, der bereits seit 17 Jahren in einer selbstgezimmerten, schäbigen Hütte im weitläufigen Park lebt, soll daraus vertrieben werden und einem Luxusbauprojekt weichen. Entschlossen und zum großen Entsetzen ihrer Freunde stellt sie sich im Kampf um sein Zuhause auf die Seite des Außenseiters. Für alle überraschend entspinnt sich eine ungewöhnliche Liebesgeschichte um das ungleiche Pärchen – fern von gesellschaftlichen Konventionen und Zwängen, die den beiden den Weg in eine neue Welt eröffnet.</t>
  </si>
  <si>
    <t>Hangover</t>
  </si>
  <si>
    <t>tt0069764</t>
  </si>
  <si>
    <t>Christine Hagen, Diana Kjær, Jörn Donner</t>
  </si>
  <si>
    <t>Hangover 2</t>
  </si>
  <si>
    <t>The Hangover Part II</t>
  </si>
  <si>
    <t>tt1411697</t>
  </si>
  <si>
    <t>Bradley Cooper, Ed Helms, Zach Galifianakis, Justin Bartha, Ken Jeong</t>
  </si>
  <si>
    <t>Phil, Alan, Doug und Stu reisen nach Bangkok, wo Stu eine junge Thailänderin heiraten will. Am Tag vor der Hochzeit machen sich Phil, Alan und Stu mit Teddy, dem kleinen Bruder der Braut, auf, um den Junggesellenabschied zu feiern. Am nächsten Morgen wachen die drei Freunde in einem schäbigen Hotelzimmer auf. Alan wurden die Haare rasiert, Stu hat eine Tätowierung im Gesicht, ein kleiner Affe leistet ihnen Gesellschaft. Sie können sich an nichts erinnern, und Teddy ist spurlos verschwunden.</t>
  </si>
  <si>
    <t>Hangover 3</t>
  </si>
  <si>
    <t>The Hangover Part III</t>
  </si>
  <si>
    <t>tt1951261</t>
  </si>
  <si>
    <t>Zwei Jahre nach den Ereignissen in Hangover 2 führen Phil, Stu und Doug wieder ein ruhiges Leben. Die Tattoos wurden entfernt, Ermittlungsakten bereinigt. Für Alan ändert sich jedoch alles, als sein Vater stirbt und er in eine schwere psychische Lebenskrise stürzt. Mit irrsinnigen Ideen versucht er sich von Frust und Trauer loszureißen. Die drei Freunde beschließen, sich dem trauernden Alan anzunehmen und gemeinsam mit ihm erneut eine Reise nach Las Vegas zu unternehmen um ihn auf andere Gedanken zu bringen.  Der Aufenthalt läuft allerdings komplett aus dem Ruder. Die Gruppe gerät an einen heimtückischen Gangsterboss, der Doug entführt und für dessen Freilassung 21 Millionen US-Dollar von Mr. Chow fordert.</t>
  </si>
  <si>
    <t>Happiest Season</t>
  </si>
  <si>
    <t>tt8522006</t>
  </si>
  <si>
    <t>Kristen Stewart, Mackenzie Davis, Mary Steenburgen</t>
  </si>
  <si>
    <t>Abby's Vorhaben, ihrer Freundin Harper einen Heiratsantrag während der Weihnachtsfeiertage zu machen, rückt plötzlich in weite Ferne, als Harper ihr auf dem Weg zu ihrer Familie offenbart, daß ihre konservativen Eltern nichts von Harpers sexueller Orientierung sowie ihrer Beziehung zu Abby wissen.</t>
  </si>
  <si>
    <t>Hart auf Sendung</t>
  </si>
  <si>
    <t>Pump Up the Volume</t>
  </si>
  <si>
    <t>tt0100436</t>
  </si>
  <si>
    <t>Christian Slater, Samantha Mathis, Annie Ross, Scott Paulin, Mimi Kennedy</t>
  </si>
  <si>
    <t>Der schüchterne Mark Hunter ist gerade mit seinen Eltern von New York in ein kleines Kaff in Arizona gezogen und hat Schwierigkeiten, neue Freunde zu finden. Seine Eltern schenken ihm einen Kurzwellensender, damit er mit seiner alten Clique in Kontakt bleiben kann, doch der Teenager hat eine bessere Idee: Ein eigener Piratensender! Unter dem Pseudonym "Happy Harry mit dem Harten" macht er seinem angestauten Frust jeden Abend nach Einbruch der Dunkelheit gehörig Luft. Um die Sendung bildet sich schon bald ein kleiner Kult, besonders unter seinen Schulkameraden hat er bald zahlreiche Fans, die jedoch nichts von seiner wahren Identität wissen. Der Schulleitung ist allerdings weniger begeistert, denn seine heftigen Scherze gehen oft weit unter die Gürtellinie. Als sich einer von Marks Zuhörern das Leben nimmt, eskaliert die Situation...</t>
  </si>
  <si>
    <t>Heathers</t>
  </si>
  <si>
    <t>tt0097493</t>
  </si>
  <si>
    <t>Winona Ryder, Christian Slater, Shannen Doherty</t>
  </si>
  <si>
    <t>Der Name Heather verbindet die drei heißesten aber auch hochnäsigsten Schülerinnen der High School von Westerburg. Zu ihrer Clique gehört die hübsche Veronica, die von den Heathers nur geduldet wird, aber aus Prestigegründen ihre Nähe sucht. Das ändert sich, als sie den Außenseiter Jason ‚J. D‘ Dean. kennenlernt. Zu zweit vergiften sie die führende Heather und stellen den Mord als Selbstmord dar. Ebenso ergeht es zwei Jungs aus dem Footballteam. Veronica erkennt, dass auch J. D. sie nur ausnutzen will. Nachdem sie ihren eigenen Selbstmord vorgetäuscht hat, vereitelt sie in letzter Minute J. D.s Plan, die Schule in die Luft zu sprengen.</t>
  </si>
  <si>
    <t>Heimatgeschichten - Ein rettender Engel</t>
  </si>
  <si>
    <t>HERRliche Zeiten</t>
  </si>
  <si>
    <t>Herrliche Zeiten</t>
  </si>
  <si>
    <t>tt7028470</t>
  </si>
  <si>
    <t>Oliver Masucci, Katja Riemann, Samuel Finzi</t>
  </si>
  <si>
    <t>Gut situiert und etwas gelangweilt lebt das Ehepaar Claus und Evi Müller-Todt in ihrer vornehmen Villa. Auf der Suche nach einer neuen Haushalts Hilfe, schaltet Claus in bester Rotweinlaune eine Anzeige: ,,Sklave/in gesucht". Nach zahlreichen kuriosen Gestalten in Lack und Leder, stehen eines Tages der gebildete Bartos und seine Frau Lana vor der Tür. Gepflegt und dienstfertig, begeben sich beide freiwillig in ein Herr-Knecht-Verhältnis. Schnell finden die Müller-Todts Gefallen am Verwöhnprogramm ihres neuen Hauspersonals und wähnen sich im Paradies. Doch das Blatt wendet sich.</t>
  </si>
  <si>
    <t>High Society - Gegensätze ziehen sich an</t>
  </si>
  <si>
    <t>tt5985052</t>
  </si>
  <si>
    <t>Emilia Schüle, Jannis Niewöhner, Caro Cult, Iris Berben, Katja Riemann</t>
  </si>
  <si>
    <t>Anabel ist die Tochter einer superreichen Industriellenfamilie, die von Mutter Trixi angeführt wird. Als wohlhabendes Mädchen ist Anabel vom Reichtum verwöhnt, hat stets nichts anderes im Sinn als die nächste große Party. Doch dann wird bekannt, dass sie als Baby mit Aura vertauscht wurde. Prompt landet Anabel bei ihrer wahren Familie mit Mama Carmen Schlonz, zwei Geschwistern und einem illegalen Untermieter. Statt Prunk nun Plattenbau angesagt! Dann bekommt Anabel auch noch Ärger mit dem Polizisten Yann und gerät bei der Jobsuche, zu der sie nun gezwungen ist, ausgerechnet an den supererfolgreichen Start-up-Gründer Benjamin Schwarz der etwas andere Vorstellungen von der ausgeschriebenen Stelle hat als Anabel…</t>
  </si>
  <si>
    <t>Hocus Pocus 2</t>
  </si>
  <si>
    <t>tt11909878</t>
  </si>
  <si>
    <t>Bette Midler, Sarah Jessica Parker, Kathy Najimy</t>
  </si>
  <si>
    <t>Vor 29 Jahren entzündete jemand die schwarzflammige Kerze und erweckte die Sanderson-Schwestern aus dem 17. Jahrhundert wieder zum Leben. Jetzt sind sie auf Rache aus. Diesmal müssen drei Highschool-Schülerinnen die gefräßigen Hexen daran hindern, vor der Morgendämmerung in der Halloween-Nacht neues Unheil über Salem zu bringen.</t>
  </si>
  <si>
    <t>I love my Dad - Ein Papa zum Knutschen</t>
  </si>
  <si>
    <t>Ibiza - Ein Urlaub mit Folgen</t>
  </si>
  <si>
    <t>Ibiza</t>
  </si>
  <si>
    <t>tt7942936</t>
  </si>
  <si>
    <t>Christian Clavier, Mathilde Seigner, Léopold Buchsbaum, JoeyStarr, Olivier Marchal</t>
  </si>
  <si>
    <t>Philippe, ein charmanter, aber eher traditionell eingestellter Orthopäde, beginnt eine Beziehung mit der deutlich jüngeren Carole. Sie ist in ihren Vierzigern, Mutter von zwei Teenagern und hat sich vor Kurzem von ihrem Mann getrennt. Um die Gunst der Kinder zu gewinnen, macht Philippe einen Deal mit dem Stiefsohn in spe: Wenn Julien sein Abitur schafft, darf er das Urlaubsziel bestimmen. Et voilà: Mit dem Abi in der Tasche geht es auf nach Ibiza! Dort erwartet Philippe der erste Schock – Drogendealer an jeder Ecke, dröhnende Beats und überall Party. Doch Philippe lässt sich nicht unterkriegen und versucht alles, um von Caroles Kindern akzeptiert zu werden. Im wahrsten Sinne ein Urlaub mit Folgen.</t>
  </si>
  <si>
    <t>Ibiza Ein Urlaub mit Folgen!</t>
  </si>
  <si>
    <t>Ideal Home - Ein Vater kommt selten allein</t>
  </si>
  <si>
    <t>Ideal Home</t>
  </si>
  <si>
    <t>tt5460880</t>
  </si>
  <si>
    <t>Paul Rudd, Steve Coogan, Jack Gore, Alison Pill, Jake McDorman</t>
  </si>
  <si>
    <t>Der erfolgsverwöhnte und etwas durchgeknallte Celebrity-Koch Erasmus und sein treuer und bodenständiger Freund Paul führen ein glückliches sorgenfreies und ausschweifendes Leben. Sie sind unzertrennlich und verbringen beruflich und privat jede Minute zusammen. Da ist es nicht verwunderlich, dass zwischen den beiden auch mal die Fetzen fliegen. Ihre Liebe aber scheint daran mehr und mehr zu wachsen. Bis eines Abends der 10-jährige Bill aus dem Nichts auftaucht und behauptet Erasmus Enkel zu sein.</t>
  </si>
  <si>
    <t>Ihr seid herzlich eingeladen</t>
  </si>
  <si>
    <t>You're Cordially Invited</t>
  </si>
  <si>
    <t>tt21227864</t>
  </si>
  <si>
    <t>Will Ferrell, Reese Witherspoon, Geraldine Viswanathan, Meredith Hagner, Jimmy Tatro</t>
  </si>
  <si>
    <t>Als zwei Hochzeiten versehentlich am selben Tag und am selben Ort gebucht werden, müssen beide Familien dafür sorgen, dass es trotzdem ein unvergessliches Fest wird. Wild entschlossen und zu allem bereit liefern sich der Vater der einen Braut und die Schwester der anderen Braut ein chaotisches Rennen, um eine grandiose Feier für ihre Liebsten zu organisieren.</t>
  </si>
  <si>
    <t>Im Dutzend noch billiger</t>
  </si>
  <si>
    <t>Cheaper by the Dozen</t>
  </si>
  <si>
    <t>tt6705162</t>
  </si>
  <si>
    <t>Gabrielle Union, Zach Braff, Erika Christensen, Timon Kyle Durrett, Journee Brown</t>
  </si>
  <si>
    <t>Zoey und Paul Baker haben insgesamt zehn Kinder, die sie aus ihren jeweiligen vorherigen Beziehungen mitgebracht und in eine gemeinsame neue Ehe überführt haben. Das Leben als Großfamilie ist zwar nicht immer einfach, dennoch sind Zoey, Paul und ihre zehn Kinder zumeist glücklich und bewältigen die kleinen und großen Krisen und Probleme des Alltags. Nebenher müssen sie jedoch auch noch das Familienunternehmen Baker's Breakfast managen, ein Frühstücksrestaurant, das für Pauls unwiderstehliche Soße bekannt ist. Nun soll Baker's Breakfast größer werden, dafür muss die Familie in ein größeres Haus in einem wohlhabenden Vorort ziehen. Wie sich jedoch herausstellt, sind die Kinder davon allerdings weniger begeistert als gedacht. Der Haussegen in der Familie Baker hängt schief und es ist an Paul, ihn wieder geradezurücken...</t>
  </si>
  <si>
    <t>Im Taxi mit Madeleine</t>
  </si>
  <si>
    <t>Une belle course</t>
  </si>
  <si>
    <t>tt14586118</t>
  </si>
  <si>
    <t>Line Renaud, Dany Boon, Alice Isaaz, Gwendoline Hamon, Hadriel Roure</t>
  </si>
  <si>
    <t>Die 92-jährige Madeleine (Line Renaud) ruft ein Taxi, um in das Altersheim zu gelangen, in dem sie von nun an leben soll. Sie bittet Charles (Dany Boon), einen etwas desillusionierten Fahrer, an den Orten vorbeizufahren, die in ihrem Leben eine Rolle gespielt haben, um sie ein letztes Mal zu sehen. Nach und nach taucht in den Straßen von Paris eine ungewöhnliche Vergangenheit auf, die Charles zutiefst bewegt. Er vertraut sich Madeleine daraufhin an, erzählt ihr davon, dass er ziemlich tief in Schulden steckt und nun auch noch kurz davor ist, seinen Führerschein zu verlieren. Und in der Ehe läuft es auch alles andere als rund. Madeleine ist nach 92 Jahren jedoch mit allen Wassern gewaschen und teilt ihre Lebensweisheiten mit Charles – der beginnt, die Dinge anders zu sehen.</t>
  </si>
  <si>
    <t>Imaginary Heroes</t>
  </si>
  <si>
    <t>tt0373024</t>
  </si>
  <si>
    <t>Sigourney Weaver, Jeff Daniels, Emile Hirsch</t>
  </si>
  <si>
    <t>Die Familie Travis erlebt eine erschütternde Tragödie, die sie an ihre Grenzen führt. Für Sohn Tim ist das Leben ein einziger Alptraum. Sein Vater Ben zieht sich immer mehr zurück und behandelt Frau und Kinder wie Fremde. Seine Mutter Sandy verbirgt ihre Gefühle hinter beißendem Sarkasmus und betäubt sich mit Joints, während sie versucht, ein Geheimnis zu bewahren, das die ganze Familie bedroht. Mit einer Mischung aus Pathos, Humor und Selbsterkenntnis lernen die Familienmitglieder, einander zu akzeptieren - trotz ihrer Schwächen...</t>
  </si>
  <si>
    <t>Immer Ärger mit Grandpa</t>
  </si>
  <si>
    <t>The War with Grandpa</t>
  </si>
  <si>
    <t>tt4532038</t>
  </si>
  <si>
    <t>Robert De Niro, Uma Thurman, Rob Riggle, Oakes Fegley, Laura Marano</t>
  </si>
  <si>
    <t>Der Sechstklässler Peter ist so ziemlich ein durchschnittliches Kind – er mag Computerspiele, hängt gern zusammen mit seinen Freunden ab und liebt seine Air Jordans. Doch als sein kürzlich verwitweter Großvater Ed bei Peters Familie einzieht, muss der Junge seinen wertvollsten Besitz von allen, sein Schlafzimmer, aufgeben. Peter will eine solche Ungerechtigkeit nicht ertragen und erfindet eine Reihe immer ausgefeilterer Streiche, um den Eindringling zu vertreiben, aber Opa Ed wird nicht kampflos bleiben.</t>
  </si>
  <si>
    <t>Irgendwie schwanger</t>
  </si>
  <si>
    <t>Kinda Pregnant</t>
  </si>
  <si>
    <t>tt30253036</t>
  </si>
  <si>
    <t>Amy Schumer, Jillian Bell, Brianne Howey, Will Forte, Lizze Broadway</t>
  </si>
  <si>
    <t>Als Lainys Plan, zu heiraten und eine Familie zu gründen, den Bach runtergeht, schnallt sie einen falschen Babybauch um, lügt – und verliebt sich unerwartet in ihren Traummann.</t>
  </si>
  <si>
    <t>Isi &amp; Ossi</t>
  </si>
  <si>
    <t>tt9806322</t>
  </si>
  <si>
    <t>Livia Renner, Nayla Sophie Brehmer, Christina Hecke</t>
  </si>
  <si>
    <t>Unterschiedlicher könnten Isi und Ossi kaum sein: Sie ist Milliardärstochter aus Heidelberg, er ein von Geldsorgen geplagter Boxer aus dem Nachbarort Mannheim. Als sie aufeinandertreffen, wittern beide die Chance, den anderen auszunutzen: Sie datet den mittellosen Boxer, um ihre Eltern zu provozieren, damit diese ihre langersehnte Kochausbildung in New York finanzieren. Er glaubt, dem reichen Töchterchen das Geld aus der Tasche ziehen zu können, das er für seinen ersten Profikampf braucht. Aus ihren Vorhaben wird schnell ein emotionales Chaos, das alles, was die beiden über Geld, Karriere und Liebe zu wissen glauben, gehörig auf den Kopf stellt.</t>
  </si>
  <si>
    <t>Jackass Forever</t>
  </si>
  <si>
    <t>tt11466222</t>
  </si>
  <si>
    <t>Johnny Knoxville, Steve-O, Chris Pontius</t>
  </si>
  <si>
    <t>Johnny Knoxville dreht zum letzten Mal durch! Der berühmte Draufgänger erlebt in diesem gigantischen Jackass-Spektakel den intensivsten Bullenritt seiner Karriere. Begleitet wird er bei seinen verrückten, Schmerz verursachenden Adrenalinkicks sowohl von Langzeitlegenden wie Steve-O als auch von neuen Gesichtern wie Stuntman Zach Holmes und Surfer Sean „Poopies“ McInerney.</t>
  </si>
  <si>
    <t>Jerry und Marge - Die Lottoprofis</t>
  </si>
  <si>
    <t>Jerry &amp; Marge Go Large</t>
  </si>
  <si>
    <t>tt8323668</t>
  </si>
  <si>
    <t>Bryan Cranston, Annette Bening, Rainn Wilson, Larry Wilmore, Michael McKean</t>
  </si>
  <si>
    <t>Die bemerkenswerte wahre Geschichte, wie der Rentner Jerry Selbee ein mathematisches Schlupfloch in der Lotterie von Massachusetts entdeckt und mit Hilfe seiner Frau Marge 27 Millionen Dollar gewinnt und das Geld verwendet, um ihre kleine Stadt in Michigan wiederzubeleben.</t>
  </si>
  <si>
    <t>Jesse Stone - Knallhart</t>
  </si>
  <si>
    <t>Jesse Stone: Night Passage</t>
  </si>
  <si>
    <t>Drama, Thriller, TV-Film</t>
  </si>
  <si>
    <t>tt0498360</t>
  </si>
  <si>
    <t>Tom Selleck, Saul Rubinek, Viola Davis, Kohl Sudduth, Stephen Baldwin</t>
  </si>
  <si>
    <t>Frisch wegen Trunkenheit aus dem Polizeidienst von L.A. gefeuert, heuert der ausgebrannte Jesse Stone in der Ostküstengemeinde Paradise als neuer Dorfsheriff an. Dort heißt man ihn trotz der alten Geschichten herzlich willkommen, was Stone bald misstrauisch macht, zumal sei Vorgänger schon am zweiten Tag nach seiner Ankunft einen gewaltsamen Tod erleidet. Es stellt sich heraus, dass schmutziges Geld im Dorf gewaschen wird. Jetzt muss Stone beweisen, dass er nicht der Versager ist, als den man ihn geholt hat.</t>
  </si>
  <si>
    <t>Joy Ride - The Trip</t>
  </si>
  <si>
    <t>Joy Ride</t>
  </si>
  <si>
    <t>tt15268244</t>
  </si>
  <si>
    <t>Ashley Park, Sherry Cola, Sabrina Wu, Stephanie Hsu, Debbie Fan</t>
  </si>
  <si>
    <t>Die Anwältin Audrey soll in China einen großen Deal unter Dach und Fach bringen. Nur spricht sie kaum die Sprache und muss deshalb zu drastischen Mitteln greifen: Lolo, ihre beste Freundin seit die beiden Kinder waren, soll als Übersetzerin fungieren. Drastisch ist das, weil Lolo als unkonventioneller Freigeist einfach nicht gut mit Regeln kann und will. Also braucht es noch mehr Support, weshalb Lolos Cousine Deadeye eingeflogen und kurzerhand auch noch die alte College-Freundin Kat eingesackt wird. Damit ist Chaos programmiert und der Deal steht auf der Kippe.</t>
  </si>
  <si>
    <t>Jungle Cruise</t>
  </si>
  <si>
    <t>tt0870154</t>
  </si>
  <si>
    <t>Dwayne Johnson, Emily Blunt, Edgar Ramírez</t>
  </si>
  <si>
    <t>Lily reist von London, England, in den Amazonas-Dschungel und nimmt die fragwürdigen Dienste des Skippers Frank Wolff in Anspruch. Er soll sie auf der La Quila, seinem baufälligen, aber charmanten Boot, flussabwärts bringen. Lily ist entschlossen, dort einen uralten Baum mit beispiellosen Heilkräften zu finden. Über ihn wird gesagt, er könne die Zukunft der Medizin verändern. Bei dieser epischen Suche stößt das ungleiche Duo auf unzählige Gefahren und übernatürliche Kräfte, die in der trügerischen Schönheit des üppigen Regenwaldes lauern. Aber während sie die Geheimnisse des verschollenen Baumes aufdecken, steht für Lily und Frank immer mehr auf dem Spiel, und ihr Schicksal – und das der Menschheit – befindet sich in der Schwebe.</t>
  </si>
  <si>
    <t>Juniors freier Tag</t>
  </si>
  <si>
    <t>Baby's Day Out</t>
  </si>
  <si>
    <t>tt0109190</t>
  </si>
  <si>
    <t>Joe Mantegna, Lara Flynn Boyle, Joe Pantoliano, Brian Haley, Cynthia Nixon</t>
  </si>
  <si>
    <t>Das ganz große Geld soll's diesmal werden für das Gangstertrio rund um Eddie. Nach Diebstählen und anderen Gaunereien ist jetzt die Entführung von Baby Bink, dem Nachwuchs einer schwerreichen Fabrikanten-Familie, auf dem Programm. Zuerst läuft auch alles nach Plan: als Baby-Fotograf getarnt taucht Eddie im Haus seines Opfers auf; kann Baby Binks Mutter Laraine sogar überzeugen, den Raum kurz zu verlassen; sich den Säugling schnappen und türmen. Doch dann beginnt für die Möchtegern- Gangster ein Abenteuer, mit dem keiner gerechnet hätte. Baby Binks ist für sein Alter pfiffiger als erwartet und lässt seine Kidnapper reihenweise ziemlich mies aus der Wäsche gucken. Ihm jedenfalls macht es einen Heidenspaß - es ist schließlich Juniors freier Tag!</t>
  </si>
  <si>
    <t>Kalte Füsse</t>
  </si>
  <si>
    <t>Kalte Füße</t>
  </si>
  <si>
    <t>tt5217990</t>
  </si>
  <si>
    <t>Hendrik Flacke, Nicole Gütling, Franziska Lather</t>
  </si>
  <si>
    <t>Durch eine Verwechslung findet sich der Kleinkriminelle Denis plötzlich in der Position des Krankenpflegers für den Schlaganfallpatienten Raimund wieder. Dabei wollte er nur in dessen Villa einbrechen, um endlich seine Schulden bei einigen Ganoven zu begleichen. Stattdessen sitzt er nun im herrschaftlichen Anwesen des reichen Unternehmers fest, der seit dem Anfall nicht mehr sprechen kann und an den Rollstuhl gefesselt ist. Als dann auch noch Raimunds Enkeltochter Charlotte auftaucht, wird es Denis endgültig zu viel. Doch an Flucht ist nicht zu denken, ein gewaltiger Schneesturm tobt in der Region. Und so muss er wohl oder übel die Rolle des Krankenpflegers spielen – sehr zu Raimunds Unmut, der sich mit allen Mitteln gegen den Eindringling wehrt. Denn im Gegensatz zu Charlotte hat Raimund den Ganoven Denis sofort durchschaut. Ein Katz-und-Maus-Spiel beginnt, in dem der kernige Senior und der gewiefte Junior ihre Mittel grandios zum Einsatz bringen...</t>
  </si>
  <si>
    <t>Keanu – Her mit dem Kätzchen</t>
  </si>
  <si>
    <t>Keanu</t>
  </si>
  <si>
    <t>tt4139124</t>
  </si>
  <si>
    <t>Jordan Peele, Keegan-Michael Key, Keanu Reeves, Tiffany Haddish, Method Man</t>
  </si>
  <si>
    <t>Die Allentown Brothers schalten eine ganze hispanische Drogengang aus. Dabei kann das Kätzchen des Bosses in letzter Minute entkommen und läuft dem demoralisierten Rell zu. Er tauft das Tier Keanu und ihre Freundschaft baut ihn wieder auf. Doch nach wenigen Wochen ist Keanu verschwunden. Rells Cousin Clarence, ein braver Familienvater, hilft ihm bei der Suche nach Keanu. Die Spur führt sie in den Stripclub des gefährlichen Cheddar. Der will Keanu nur zurückgeben, wenn die Cousins eine Drogenlieferung für ihn abwickeln.</t>
  </si>
  <si>
    <t>Keinohrhasen</t>
  </si>
  <si>
    <t>tt0960790</t>
  </si>
  <si>
    <t>Til Schweiger, Jürgen Vogel, Nora Tschirner, Matthias Schweighöfer, Armin Rohde</t>
  </si>
  <si>
    <t>Klatsch- und Boulevard-Reporter Ludo ist zuweilen etwas "kreativ" bei der Gestaltung seiner Artikel und schrammt damit oft nur haarscharf an Ärger vorbei. Als er jedoch bei einer Hochzeit (im wahrsten Sinne des Wortes) unangemeldet hereinplatzt ist das Maß voll. Ludo landet vor Gericht und die Richterin verdonnert ihn zu 300 Stunden Sozialarbeit in einem Kindergarten. Unglück im Unglück: Die Leiterin dort ist Anna, die als Kind mit Brille und Zahnspange gesegnet, lange unter den bissigen Kommentaren von Mädchenschwarm Ludo leiden musste. Sie erkennt ihn, er sie nicht. Für Ludo bricht eine Zeit der Leiden an - und für Anna die Zeit der Rache? Oder kommt es für beide ganz anders?</t>
  </si>
  <si>
    <t>Kevins Cousin allein im Supermarkt</t>
  </si>
  <si>
    <t>Career Opportunities</t>
  </si>
  <si>
    <t>tt0101545</t>
  </si>
  <si>
    <t>Frank Whaley, Jennifer Connelly, Dermot Mulroney, Kieran Mulroney, John M. Jackson</t>
  </si>
  <si>
    <t>Der Tagträumer Jim nimmt einen Job als Nachtwächter in einem Kaufhaus an. Per Zufall trifft er nachts auf seine attraktive Nachbarin, die sich im Kaufhaus vor ihrem Vater versteckt hat und die Nacht dort alleine verbringen wollte. Im Verlauf ihrer zufälligen Zweisamkeit kommen sich die beiden näher. Doch die junge Romanze wird von zwei Einbrechern gestört ...</t>
  </si>
  <si>
    <t>Kindergarten Cop</t>
  </si>
  <si>
    <t>tt0099938</t>
  </si>
  <si>
    <t>Arnold Schwarzenegger, Penelope Ann Miller, Pamela Reed</t>
  </si>
  <si>
    <t>Der Polizist John Kimble kann nach langer Zeit endlich den gefährlichen Drogendealer Cullen Crisp dingfest machen. Wichtigste Zeugin im Prozess gegen den Verbrecher ist dessen Ex-Frau Rachel, die mit ihrem Sohn Cullen jr. aber schon vor Jahren geflohen ist. Die Spur führt in einen Kindergarten, in den sich Kimble als verdeckt ermittelnder Kindergärtner einschleust. Schnell muss er feststellen, dass ihm die Vorschulkinder mehr abverlangen als mancher Schwerverbrecher. Aber als geschulter Polizist weiß Kimble, wie man sich Respekt verschafft. Während er versucht Crisps Ex-Frau und deren Sohn aufzuspüren, kümmert er sich um die Ordnung im Kindergarten. Seine kleinen Schützlinge sollen schließlich etwas fürs Leben lernen.</t>
  </si>
  <si>
    <t>King Uncle</t>
  </si>
  <si>
    <t>IND</t>
  </si>
  <si>
    <t>tt0107321</t>
  </si>
  <si>
    <t>Jackie Shroff, Shah Rukh Khan, Nagma</t>
  </si>
  <si>
    <t>Der reiche aber verbitterte Geschäftsmann Ashok Bansal lebt mit seinem jüngeren Bruder Anil sowie seiner Schwester Sunita unter einem Dach. Als Familienoberhaupt führt er ein strenges Regiment, die Hausangestellten und seine Geschwister leiden gleichermaßen unter seiner tyrannischen Art. Als er dem rebellischen Anil verbietet, seine große Liebe Kavita zu heiraten, verlässt dieser im Streit das Haus. Seine Schwester drängt Ashok in eine arrangierte Ehe, obwohl sie einen anderen liebt. Erst als das freche Waisenmädchen Munna sein Leben durcheinander wirbelt, beginnt das kalte Herz des Millionärs zu schmelzen, und er erkennt den wahren Wert von Familie.</t>
  </si>
  <si>
    <t>Kleine Giganten</t>
  </si>
  <si>
    <t>Little Giants</t>
  </si>
  <si>
    <t>tt0110364</t>
  </si>
  <si>
    <t>Rick Moranis, Ed O'Neill, Devon Sawa, Shawna Waldron, Todd Bosley</t>
  </si>
  <si>
    <t>Jack ist ein aufgeweckter Junge. Mit unerschöpflichem Eifer und unglaublichen Einfällen hält er seine Umgebung auf Trab. Und plant bereits den ganz großen Durchbruch, um die familiären Geldsorgen ein für allemal aus der Welt zu schaffen. Doch diesmal hat er die Rechnung ohne den Zufall gemacht: als eine verrückte Wissenschaftlerin versehentlich ein paar Samenkörner verstreut, beginnt für Jack das größte Abenteuer seines Lebens. Auf einem gigantischen Bohnenstrauch...</t>
  </si>
  <si>
    <t>Kleine Lügen auf Bewährung</t>
  </si>
  <si>
    <t>Crazy on the Outside</t>
  </si>
  <si>
    <t>tt1196134</t>
  </si>
  <si>
    <t>Tim Allen, Sigourney Weaver, Ray Liotta, J.K. Simmons, Julie Bowen</t>
  </si>
  <si>
    <t>Tommy hat drei Jahre wegen Videopiraterie im Gefängnis verbüßt. Wieder in Freiheit stellt er sich grundsätzliche Fragen, wie es weitergehen soll. Tommy kommt bei der Familie seiner Schwester Viki unter, die ihm auf dem Weg zur Tugend tatkräftige Starthilfe leisten will. Eine ehrbare Existenz aufzubauen, erweist sich jedoch als ungeahnt schwierig.</t>
  </si>
  <si>
    <t>Kopflos - 8 Köpfe im Koffer</t>
  </si>
  <si>
    <t>8 Heads in a Duffel Bag</t>
  </si>
  <si>
    <t>tt0118541</t>
  </si>
  <si>
    <t>Joe Pesci, Andy Comeau, Kristy Swanson, Todd Louiso, George Hamilton</t>
  </si>
  <si>
    <t>Acht Schädel ermordeter Kontrahenten möchte Mafiakurier Tommy der netten Geste wegen persönlich dem Boss ins Haus liefern. Dann jedoch macht ihm das Schicksal in Gestalt einer übereifrigen Stewardess einen Strich durch die Rechnung, und das brisante Gepäck fährt statt dessen mit Student Charlie in Urlaub zu Braut Laurie und den Schwiegereltern. Dass Laurie und Charlie gerade eine Krise durchleben und die Schwiegermama in spe auch ohne Leichen im Keller schon zur Hysterie neigt, macht die Rückholaktion für Tommy nicht leichter.</t>
  </si>
  <si>
    <t>Kundschafter des Friedens</t>
  </si>
  <si>
    <t>tt5076054</t>
  </si>
  <si>
    <t>Henry Hübchen, Antje Traue, Michael Gwisdek</t>
  </si>
  <si>
    <t>Siebenundzwanzig Jahre nach dem Mauerfall ist der Alltag des einst legendären Top-Spions der DDR-Auslandsaufklärung, Jochen Falk, ziemlich eintönig geworden. Doch da bittet der ehemalige Erzfeind BND überraschend um seine Hilfe. Falk wittert die Chance, eine offene Rechnung mit dem West-Agenten Kern zu begleichen und stimmt dem Einsatz zu.</t>
  </si>
  <si>
    <t>Kundschafter des Friedens 2</t>
  </si>
  <si>
    <t>tt34986623</t>
  </si>
  <si>
    <t>Henry Hübchen, Katharina Thalbach, Thomas Thieme</t>
  </si>
  <si>
    <t>Einst waren sie die Crème de la Crème unter den Geheimagenten, die Kundschafter des Friedens haben sogar Fidel Castro beim Staatsbesuch an der Ostsee das Leben gerettet. Ausgerechnet auf Kuba schlittern die pensionierten Auslandsspione der DDR jetzt noch einmal in ein großes neues Abenteuer, als sie anlässlich der Beerdigung ihres alten Mentors in ihren Idealen herausgefordert werden, um die letzte Bastion des Sozialismus‘ vor dem nahenden Ausverkauf zu bewahren. Und dabei müssen sie tief in die Trickkiste ihrer Spionage-Kunst greifen und nochmal alles geben. Sie bekommen es mit fiesen Geschäftemachern, Verrat auf höchster Ebene und nicht zuletzt ihren bisher größten Gegnern zu tun: Vollpension und Cuba Libre.</t>
  </si>
  <si>
    <t>Küss mich, Mistkerl!</t>
  </si>
  <si>
    <t>The Hating Game</t>
  </si>
  <si>
    <t>tt8718158</t>
  </si>
  <si>
    <t>Lucy Hale, Austin Stowell, Corbin Bernsen, Sakina Jaffrey, Damon Daunno</t>
  </si>
  <si>
    <t>Der Einzige, der der ambitionierten Lucy zur Beförderung auf den Chefposten in ihrer gerade fusionierten Literatur-Verlagsfirma im Weg steht, ist ihr nicht minder smarter, attraktiver Kollege und Erzfeind Josh. Lucy und Josh, die sich den Vorraum zur Chefetage teilen müssen und sich auf den ersten Blick hassen, schließen den Deal, dass derjenige von ihnen kündigt, der die Beförderung nicht bekommt. Schon bald aber müssen sich die beiden fragen, ob die unerbittliche Bürorivalität zwischen ihnen nicht nur ein Spiel ist, als beide plötzlich doch mehr füreinander empfinden. Ist es für Josh nur Kalkül, um die nächste Karrierestufe zu erreichen oder stecken doch echte Gefühle dahinter?</t>
  </si>
  <si>
    <t>Küssen verboten! – Honeymoon mit Hindernissen</t>
  </si>
  <si>
    <t>You May Not Kiss the Bride</t>
  </si>
  <si>
    <t>tt1381418</t>
  </si>
  <si>
    <t>Dave Annable, Katharine McPhee, Rob Schneider, Mena Suvari, Tia Carrere</t>
  </si>
  <si>
    <t>Bryan Lighthouse ist ein unbedarfter Zeitgenosse, der seinen Lebensunterhalt als Haustierfotograf bestreitet. Der kroatische Gangsterboss Nikitin wählt ausgerechnet ihn aus, seine Tochter Masha zu heiraten, sodass sie die amerikanische Staatsbürgerschaft annehmen kann. Unter Druck willigt Bryan ein, und befindet sich schon wenig später auf Flitterwochen im Südpazifik. Dort wird Masha von Feinden ihres Vaters entführt. Bryan entdeckt, dass er sich in die ihm aufgezwängte Braut verliebt hat, und macht sich an ihre Rettung.</t>
  </si>
  <si>
    <t>La Boum</t>
  </si>
  <si>
    <t>La Boum éternelle: Histoire d'un grand film sans prétention</t>
  </si>
  <si>
    <t>Documentary, History, Music</t>
  </si>
  <si>
    <t>tt26423826</t>
  </si>
  <si>
    <t>Arthur Teboul, Juliette Armanet, Pénélope Bagieu</t>
  </si>
  <si>
    <t>Lady Business</t>
  </si>
  <si>
    <t>Like a Boss</t>
  </si>
  <si>
    <t>Tiffany Haddish, Rose Byrne, Salma Hayek Pinault, Karan Soni, Jacob Latimore</t>
  </si>
  <si>
    <t>Die zwei besten Freundinnen Mia und Mel haben ein Kosmetikunternehmen von Grund auf aufgebaut und sind seitdem finanziell total überfordert. Schon bald macht sich das auch auf ihrem Konto bemerkbar: Sie sind überschuldet und führen ein Leben im Dispo. Da erhalten sie von der Ikone der Kosmetikbranche Claire Luna ein Übernahmeangebot, das verlockend ist, aber die Freundschaft von Mel und Mia auf eine harte Probe stellt. Das Geschäft mit der Schönheit wird sehr hässlich...</t>
  </si>
  <si>
    <t>Lanny dreht auf</t>
  </si>
  <si>
    <t>Better Off Dead...</t>
  </si>
  <si>
    <t>tt0088794</t>
  </si>
  <si>
    <t>John Cusack, Amanda Wyss, Diane Franklin, Aaron Dozier, Curtis Armstrong</t>
  </si>
  <si>
    <t>Nachdem Lane ein sympathischer, aber leistungsschwacher Schüler einer kalifornischen Highschool von seiner großen Jugendliebe Beth verlassen wird, die ihn für einen aufgeblasenen Skifahrer abserviert hat, sieht er nur noch einen einzigen Ausweg: Selbstmord. Seine zunehmend erfolglosen Versuche aber enden nur in Schmerzen und Peinlichkeit.</t>
  </si>
  <si>
    <t>Letzte Chance für Harry</t>
  </si>
  <si>
    <t>tt0181653</t>
  </si>
  <si>
    <t>Harald Juhnke, Günter Pfitzmann, Christiane Hörbiger</t>
  </si>
  <si>
    <t>Kaum in Berlin angekommen, wird der kanadische Manager Simon Spradow angefahren und verliert das Bewusstsein. Clochard Harry Strehle  greift sich den Mantel des vermeintlich Toten - samt der Papiere und Kreditkarten. Ohne zu ahnen, welche Probleme er sich damit einhandelt, schlüpft Harry in seine neue Identität…</t>
  </si>
  <si>
    <t>Liebe auf vier Pfoten</t>
  </si>
  <si>
    <t>tt0787071</t>
  </si>
  <si>
    <t>Susanne Michel, Florian Fitz, Siegfried Rauch</t>
  </si>
  <si>
    <t>Weil ihr Freund ein Workaholic ist, fährt Claudia allein in die Hütte in der Lausitz. Hier laufen ihr zwei kleine, verwaiste Luchse zu. Die Raubkätzchen öffnen auch dem muffeligen Hüttenvermieter Mark das Herz - und so startet eine Romanze, der sich natürlich noch ein paar Hindernisse in den Weg stellen.</t>
  </si>
  <si>
    <t>Liebe bringt alles ins Rollen</t>
  </si>
  <si>
    <t>Tout le monde debout</t>
  </si>
  <si>
    <t>BE, FR</t>
  </si>
  <si>
    <t>tt6838702</t>
  </si>
  <si>
    <t>Franck Dubosc, Alexandra Lamy, Elsa Zylberstein, Gérard Darmon, Caroline Anglade</t>
  </si>
  <si>
    <t>Jocelyn ist ein erfolgreicher Geschäftsmann. Er ist eitel, egoistisch und ein notorischer Lügner. Frauen sind für ihn nichts anderes als ständig wechselnde Trophäen. Um sie zu erobern, ist Jocelyn jede Täuschung recht. Seine Gefühle versteckt er hinter einer Fassade aus Oberflächlichkeit und Selbstbetrug. Als er eines Tages der attraktiven Julie begegnet, nutzt er einen Zufall und lässt sie in dem Glauben, er sitze im Rollstuhl. Vielleicht schafft er es ja über Julies Mitleid in ihr Bett? Anfänglich scheint das zu funktionieren. Bis Julie ihm eines Tages ihre Schwester Florence vorstellt, die tatsächlich an den Rollstuhl gefesselt ist.</t>
  </si>
  <si>
    <t>Liebe im Gepäck</t>
  </si>
  <si>
    <t>Love on Iceland</t>
  </si>
  <si>
    <t>tt11274564</t>
  </si>
  <si>
    <t>Kaitlin Doubleday, Colin Donnell, Patti Murin, Preston Sadleir, Kate Easton</t>
  </si>
  <si>
    <t>Die Podcast-Produzentin Chloe ist ein echter Workaholic. Um für eine neue Reihe auf zündende Ideen zu kommen, reist sie - angeregt durch einen Gast beim Podcast - nach Island. Mit dabei sind auch ihre beste Freundin Isabella und ein befreundetes New Yorker Ehepaar. Kurz nach der Ankunft in Reykjavik erwartet Chloe eine Überraschung. Ihre einstige Liebe, der Fotograf Charlie, wurde von den Freunden eingeladen, mit Ihnen Urlaub zu machen, ganz wie in früheren Zeiten, als sie zusammen studiert haben.</t>
  </si>
  <si>
    <t>Little</t>
  </si>
  <si>
    <t>Regina Hall, Issa Rae, Marsai Martin, Tone Bell, Mikey Day</t>
  </si>
  <si>
    <t>Jordan Sanders ist eine moderne Karrierefrau - bossy, bitchy, latent überspannt und nie müde, stets und ständig ihre Mitarbeiter zu schikanieren. Ihr perfektes Leben gerät aus den Fugen, als sie eines Morgens in ihrer luxuriösen Penthouse-Wohnung aufwacht und plötzlich wieder dreizehn ist, ausgerechnet vor einer „lebenswichtigen“ Präsentation, bei der alles auf dem Spiel steht.  Jordans jüngeres Ich weiht nur ihre Assistentin April in ihr verzwicktes Geheimnis ein. Natürlich ist April loyal, nutzt aber auch endlich ihre Chance, mit ihrem Bitch-Boss einmal Klartext zu reden. Als wäre das nicht schon stressig genug, zwingt auch noch das Jugendamt die „kleine“ Jordan die Schulbank zu drücken. Ihr Ärger darüber verfliegt aber schnell, als sie den unheimlich heißen Klassenlehrer trifft.</t>
  </si>
  <si>
    <t>Live is Life</t>
  </si>
  <si>
    <t>Live Is Life</t>
  </si>
  <si>
    <t>tt12923028</t>
  </si>
  <si>
    <t>Adrián Baena, Juan del Pozo, Raúl del Pozo</t>
  </si>
  <si>
    <t>Sommer 1985. Wie jedes Jahr reist Rodri von Katalonien nach Galicien und trifft dort seine vier Freunde wieder. Als reale Probleme ihre Freundschaft zu untergraben beginnen, begeben sich die fünf auf ein nächtliches Abenteuer auf der Suche nach einem mythischen Objekt.</t>
  </si>
  <si>
    <t>Lockdown mit Hindernissen</t>
  </si>
  <si>
    <t>The End of Us</t>
  </si>
  <si>
    <t>tt13772442</t>
  </si>
  <si>
    <t>Ben Coleman, Alison G. Vingiano, Derrick DeBlasis, Gadiel Del Orbe, Kate Peterman</t>
  </si>
  <si>
    <t>Es läuft nicht gut bei Leah und Nick – die beiden beschließen, ihre Beziehung zu beenden. Womit sie jedoch nicht gerechnet haben: ein neues Virus breitet sich rasant auf der Welt aus! Die Regierung verhängt daher einen strengen Lockdown. Leah hat Mitleid mit dem Ex und erlaubt ihm, weiterhin in ihrer Wohnung zu leben. Während die Quarantäne andauert, fühlt Leah sich immer mehr zu ihrem charmanten Kollegen Tim hingezogen. Nick hingegen beschließt, den Lockdown als Chance zu nutzen, um Leah zurückzugewinnen.</t>
  </si>
  <si>
    <t>Love &amp; Order - Im Zweifel für die Liebe</t>
  </si>
  <si>
    <t>Love, Fall &amp; Order</t>
  </si>
  <si>
    <t>tt10887504</t>
  </si>
  <si>
    <t>Erin Cahill, Gregory Harrison, Trevor Donovan, Jan Broberg Felt, Hailey Smith</t>
  </si>
  <si>
    <t>Hank ist ein Farmer aus Vermont und hat eigentlich mit der Herbstsaison alle Hände voll zu tun. Doch dann gerät er in einen Grundstücksstreit mit seiner Nachbarin Margie. Hanks Tochter Claire erfährt davon und kehrt in ihre Heimat zurück, um zu helfen. Sie arbeitet in New York als erfolgreiche Immobilienanwältin und ist sicher, das Problem schnell lösen zu können. Doch in ihrer alten Heimat warten auch Unvorhergesehenheiten, die den Streit noch mal komplizierter machen.</t>
  </si>
  <si>
    <t>Love Wedding</t>
  </si>
  <si>
    <t>Love, Weddings &amp; Other Disasters</t>
  </si>
  <si>
    <t>Diane Keaton, Jeremy Irons, Maggie Grace, Diego Boneta, Andrew Bachelor</t>
  </si>
  <si>
    <t>Während Jessie ihre erste Hochzeit als Wedding Planer ausrichtet und sich dabei in den Musiker Mack verliebt, nimmt Jimmy, der Bruder des Bräutigams Robert, an einer bekannten Dating-Show teil, die er schließlich mit einer Spielpartnerin, der russischen Stripperin Svetlana, gewinnt. Was als verhasste Zweckgemeinschaft beginnt, entwickelt sich zu einer Romanze, während die Medien immer ein Auge auf die beiden haben. Aber auch der Catering-Profi Lawrence erlebt mit der blinden Schönheit Sara eine ganz neue Liebe. Und Ritchie, der die Hochzeitsgäste in seinem Boot zur Trauung fährt, findet auf der Hochzeitsfeier wieder mit Cinderella zusammen…</t>
  </si>
  <si>
    <t>Love, Rosie - Für immer vielleicht</t>
  </si>
  <si>
    <t>Love, Rosie</t>
  </si>
  <si>
    <t>GB, DE</t>
  </si>
  <si>
    <t>Liebesfilm, Drama, Komödie</t>
  </si>
  <si>
    <t>tt1638002</t>
  </si>
  <si>
    <t>Lily Collins, Sam Claflin, Christian Cooke, Tamsin Egerton, Suki Waterhouse</t>
  </si>
  <si>
    <t>Rosie und Alex sind beste Freunde. Seit ihrer Kindheit. Schon allein deswegen können sie niemals ein Paar werden – oder doch? In Sachen Liebe stehen sich die beiden mal selbst, mal gegenseitig im Weg. Ein gescheiterter Annäherungsversuch hier, eine verpasste Gelegenheit da, und schon sendet das Schicksal die beiden in völlig unterschiedliche Richtungen. Können verschiedene Kontinente, ungewollte Schwangerschaften, desaströse Liebesaffären, Ehen, Untreue und Scheidungen das Band dieser Freundschaft zerreißen? Können Männer und Frauen überhaupt beste Freunde sein? Und gibt es wirklich nur eine Chance für die große Liebe?</t>
  </si>
  <si>
    <t>Lucy ist jetzt Gangster</t>
  </si>
  <si>
    <t>tt11307462</t>
  </si>
  <si>
    <t>Valerie Arnemann, Violetta Arnemann, Franziska Wulf</t>
  </si>
  <si>
    <t>Die hinreißend brave und liebenswürdige Lucy (10) hat beschlossen, eine Bank auszurauben. Dabei wäre sie vor ein paar Wochen nicht mal bei Rot über die Straße gegangen! Aber drastische Situation verlangen eben drastische Maßnahmen und so wird aus Lucy Lucyfer ein richtig gefallener Engel</t>
  </si>
  <si>
    <t>Lyle - Mein Freund, das Krokodil</t>
  </si>
  <si>
    <t>Lyle, Lyle, Crocodile</t>
  </si>
  <si>
    <t>tt14668630</t>
  </si>
  <si>
    <t>Shawn Mendes, Winslow Fegley, Javier Bardem, Constance Wu, Scoot McNairy</t>
  </si>
  <si>
    <t>Nach dem Umzug der Familie Primm nach New York findet ihr junger Sohn Josh es schwierig, sich an die neue Schule zu gewöhnen und neue Freunde zu finden. All das ändert sich, als er Lyle entdeckt – ein singendes Krokodil, das gerne badet, Kaviar liebt und gute Musik. Und das oben auf dem Dachboden seines neuen Hauses lebt. Die beiden werden schnell beste Freunde.</t>
  </si>
  <si>
    <t>Mac Millionär – Zu clever für 'nen Blanko-Scheck</t>
  </si>
  <si>
    <t>Blank Check</t>
  </si>
  <si>
    <t>tt0109287</t>
  </si>
  <si>
    <t>Brian Bonsall, Karen Duffy, James Rebhorn, Jayne Atkinson, Michael Faustino</t>
  </si>
  <si>
    <t>Der elfjährige Preston leidet unter den Hänseleien seiner Brüder. Der Traum vom eigenen Geld und Haus geht in Erfüllung, als er mit dem Gangster Quigley zusammenstößt. Um die Einmischung der Polizei zu verhindern, stellt dieser dem Dreikäsehoch einen Scheck aus, vergißt aber in der Eile, einen Betrag einzusetzen. Die größte Summe, die Preston einfällt, ist eine Mio. Dollar. Und damit läßt es sich der kleine Krösus erst einmal gutgehen - bis der erboste Quigley mit seinen Schergen in Prestons Villa auftaucht.</t>
  </si>
  <si>
    <t>Mama, ich und wir zwei</t>
  </si>
  <si>
    <t>Only the Lonely</t>
  </si>
  <si>
    <t>tt0102598</t>
  </si>
  <si>
    <t>John Candy, Maureen O'Hara, Ally Sheedy, Kevin Dunn, Milo O’Shea</t>
  </si>
  <si>
    <t>Mama ist die Beste – das ist das Motto des nicht mehr ganz jungen Danny. Aber als dem dicken Polizisten die schüchterne Theresa über den Weg läuft, steht seine Welt Kopf. Vor lauter Liebe vergisst er aber etwas ganz Wichtiges: Seine Mama!</t>
  </si>
  <si>
    <t>Manhattan Queen</t>
  </si>
  <si>
    <t>Second Act</t>
  </si>
  <si>
    <t>tt2126357</t>
  </si>
  <si>
    <t>Jennifer Lopez, Vanessa Hudgens, Leah Remini, Milo Ventimiglia, Treat Williams</t>
  </si>
  <si>
    <t>Maya ist Anfang 40 und ziemlich frustriert. Sie hat sich im größten Supermarkt von Queens bis zur stellvertretenden Filialleiterin hochgearbeitet, doch den Chefposten kann sie sich ohne vernünftigen Schulabschluss abschminken. Da bekommt sie eine zweite Chance: Ohne ihr Wissen poliert der Sohn ihrer besten Freundin Joan Mayas Lebenslauf auf und verpasst ihr gleich auch noch den passenden Social Media-Auftritt. Prompt erhält sie eine Einladung zu einem Vorstellungsgespräch nach Manhattan, und ehe sie sich versieht, findet sie sich als Marketing-Beraterin mit eigenem Büro bei einem Kosmetikkonzern wieder. Maya erfindet sich von Grund auf neu, um der Welt zu zeigen, dass Cleverness mindestens so wertvoll ist wie ein College-Diplom. Doch wie lange kann sie ihre falsche Identität aufrechterhalten?</t>
  </si>
  <si>
    <t>Marley &amp; Ich</t>
  </si>
  <si>
    <t>Bob Marley &amp; The Wailers - Legend</t>
  </si>
  <si>
    <t>Peter Tosh, Bunny Wailer, Junior Braithwaite, Beverley Kelso, Cherry Smith</t>
  </si>
  <si>
    <t>Bob Marleys Jahrhundertalbum „Legend“ feiert sein 30-jähriges Jubiläum. Es dokumentiert das bemerkenswerte Lebenswerk der bedeutendsten Persönlichkeit im Reggae-Genre. Diese Song-Sammlung ist essentiell in jeder Reggae-Sammlung. „Legend“ ist immer noch das populärste Reggae-Album aller Zeiten.</t>
  </si>
  <si>
    <t>Marry Me – Verheiratet auf den ersten Blick</t>
  </si>
  <si>
    <t>Marry Me</t>
  </si>
  <si>
    <t>tt10223460</t>
  </si>
  <si>
    <t>Jennifer Lopez, Owen Wilson, Maluma, John Bradley, Sarah Silverman</t>
  </si>
  <si>
    <t>Popdiva Kat Valdez und Newcomer Bastian  sind das heißeste VIP-Paar der Welt und haben mit ihrer gemeinsamen Hitsingle "Marry Me" gerade die Spitze der Charts im Sturm erobert. Da ist es nur logisch, dass sie ihre Traumhochzeit möglichst öffentlichkeitswirksam und live vor einem Millionenpublikum feiern. Auch der geschiedene Mathelehrer Charlie Gilbert wird von seiner Tochter Lou und seiner besten Freundin Parker  zu diesem Megaevent gezerrt. Doch als Kat unmittelbar vor der Trauung erfährt, dass ihr Verlobter sie mit ihrer Assistentin betrogen hat, sieht sie sich gezwungen, eine spontane Entscheidung zu treffen. Als ihr Blick auf den ahnungslosen Charlie in der Menge fällt, entscheidet sie aus einem Impuls heraus, ihn zu heiraten.</t>
  </si>
  <si>
    <t>Nicolas Cage, Pedro Pascal, Tiffany Haddish</t>
  </si>
  <si>
    <t>Mean Girls – Der Girls Club</t>
  </si>
  <si>
    <t>Mean Girls</t>
  </si>
  <si>
    <t>tt11762114</t>
  </si>
  <si>
    <t>Angourie Rice, Reneé Rapp, Auliʻi Cravalho, Jaquel Spivey, Avantika</t>
  </si>
  <si>
    <t>Direkt an ihrem ersten Schultag wird Cady von den „Plastics“ – einer elitären Clique einflussreicher und beliebter Mädchen, angeführt von der skrupellosen Alpha-Blondine Regina George und ihren treuen Untergebenen Gretchen und Karen – an der Spitze der sozialen Nahrungskette willkommen geheißen. Als sie jedoch den großen Fehler begeht, sich in Reginas Ex-Flamme Aaron zu verlieben, beginnt ein wahrer Zickenkrieg. Während Cady mithilfe der verstoßenen Außenseitern Janis und Damian einen fiesen Rachefeldzug plant, um die hinterhältige Plastic-Bitch zur Strecke zu bringen, muss sie lernen, sich im Highschool-Dschungel selbst treu zu bleiben.</t>
  </si>
  <si>
    <t>Mein Bester und ich</t>
  </si>
  <si>
    <t>Their Finest</t>
  </si>
  <si>
    <t>FR, SE, GB</t>
  </si>
  <si>
    <t>Liebesfilm, Kriegsfilm, Drama</t>
  </si>
  <si>
    <t>Gemma Arterton, Sam Claflin, Bill Nighy, Jack Huston, Helen McCrory</t>
  </si>
  <si>
    <t>London im Zweiten Weltkrieg: Catrin Cole wird vom British Ministry of Information damit beauftragt, das Drehbuch zu einem Propagandafilm zu überarbeiten und dem Skript eine weibliche Note zu verpassen. Schnell erweckt Catrin mit ihrer lebhaften Art die Aufmerksamkeit des schneidigen Filmemachers Tom Buckley dem sie unter normalen Umständen wohl nie über den Weg gelaufen wäre. Während der Krieg um sie herum tobt, arbeiten Catrin, Buckley und ihre bunt zusammengewürfelte Filmcrew fieberhaft daran, einen Film zu drehen, der das Herz der ganzen Nation erwärmt und dafür sorgt, dass die Menschen wieder Mut schöpfen. Während Catrins Freund, der Künstler Ellis ihre neu gefundene Arbeit naserümpfend betrachtet, ist sie bald Feuer und Flamme für den Job, der hinter der Kamera aber nicht nur viel Spaß, sondern auch großes Drama zu bieten hat – ganz wie die Geschichten, die sie für die Leinwand schreibt.</t>
  </si>
  <si>
    <t>Mein Hund Skip</t>
  </si>
  <si>
    <t>My Dog Skip</t>
  </si>
  <si>
    <t>tt0156812</t>
  </si>
  <si>
    <t>Frankie Muniz, Diane Lane, Kevin Bacon, Caitlin Wachs, Harry Connick Jr.</t>
  </si>
  <si>
    <t>Willies bester Freund heißt Skip--und ist ein Hund. Der schüchterne 9-jährige bekommt den talentierten Terrier zum Geburtstag geschenkt. Dank Skips beeindruckender, aber auch unkonventioneller Hilfe werden aus den fiesen Rabauken der Nachbarschaft schnell dicke Freunde. Gemeinsam bestehen die beiden gruselige Mutproben und überraschen dabei düstere Ganoven. Selbst das schönste Mädchen der Schule ist beeindruckt und interessiert sich plötzlich für Willie. Mein Hund Skip ist die herzerwärmend und humorvolle Verfilmung einer wahren Geschichte, die Jung und Alt gleichermaßen begeistern wird.</t>
  </si>
  <si>
    <t>Mein Partner mit der kalten Schnauze 2</t>
  </si>
  <si>
    <t>K-911</t>
  </si>
  <si>
    <t>Action, Komödie, Krimi</t>
  </si>
  <si>
    <t>tt0177876</t>
  </si>
  <si>
    <t>Jim Belushi, Christine Tucci, James Handy, Wade Williams, Scotch Ellis Loring</t>
  </si>
  <si>
    <t>Auch an Helden nagt der Zahn der Zeit und Dooleys gnadenloser Chef verordnet den etwas aus der Form geratenen Hund und Herrchen eine echte Roßkur: Fitnesstraining, strenge Diät und – neue Partner. Die diensteifrige Polizistin Welles und ihr guterzogener Dobermann Zeus sind hochmotiviert, an mustergültiger Disziplin kaum zu übertreffen und somit natürlich ein schmerzhafter Dorn im Auge des gemütlichen Männer-Teams! Aber Gegensätze ziehen sich bekanntlich an und spätestens, als ein psychopathischer Killer gnadenlos Jagd auf Dooley macht, lernen die beiden Freunde fürs Leben die sechs zusätzlichen, schlanken und durchtrainierten Beine dann doch zu schätzen. Schließlich kann das verschmitzte Cop-Duo eines wieder mal unmißverständlich klar machen: Ein erfahrener und abgebrühter Cop, ob nun haarig oder nicht, ist jedem noch so durchtrainierten Frischling immer eine feuchte Nasenlänge voraus!</t>
  </si>
  <si>
    <t>Mein Partner mit der kalten Schnauze 3</t>
  </si>
  <si>
    <t>K-9: P.I.</t>
  </si>
  <si>
    <t>tt0328007</t>
  </si>
  <si>
    <t>Jim Belushi, Gary Basaraba, Jody Racicot, Blu Mankuma, Christopher Shyer</t>
  </si>
  <si>
    <t>Back in Action! – Thomas Dooley und sein vierbeiniger Partner Jerry Lee kämpfen in dieser neuen action-geladenen Komödie wieder gegen das Verbrechen. Auf der Zielgraden zum Ruhestand kann Dooley ein friedliches Leben schon fast mit Händen greifen. Aber das Schicksal lässt ihn mitten in einen bewaffneten Überfall auf ein High-Tech Computerunternehmen stolpern. Plötzlich ist er ein Hauptverdächtiger: seine Pension wird zurückgehalten, bis die echten Täter geschnappt sind! Dooley und Jerry Lee müssen wohl oder übel als Privatdetektive in eigener Sache ermitteln. Die Suche nach den wahren Verbrechern bringt sie auf die Spur gestohlener Mikrochips, mieser Betrüger und ebenso gefährlicher wie schöner Frauen.</t>
  </si>
  <si>
    <t>Meine Geburtstags-Romanze</t>
  </si>
  <si>
    <t>My Birthday Romance</t>
  </si>
  <si>
    <t>tt13099852</t>
  </si>
  <si>
    <t>Ali Cobrin, Jesse Hutch, Charles Cottier, P. Lynn Johnson, Garry Chalk</t>
  </si>
  <si>
    <t>Callie Fitzgerald kann es nicht mehr hören: Bei jedem Familienessen fragen ihre Eltern, ob sich an ihrem Singlestatus mittlerweile etwas geändert hat – und scheuen sich auch nicht davor, ihr laufend neue Partnervorschläge zu machen. Callie ist genervt. Warum gehen eigentlich alle davon aus, dass man nur in einer Beziehung glücklich sein kann?</t>
  </si>
  <si>
    <t>Meine kleine Bäckerei der Träume</t>
  </si>
  <si>
    <t>Love is a Piece of Cake</t>
  </si>
  <si>
    <t>tt11707320</t>
  </si>
  <si>
    <t>Lindsey Gort, Greyston Holt, Julia Benson, Lindsay Winch, Jaime M. Callica</t>
  </si>
  <si>
    <t>Jessie ist Bäckerin aus Leidenschaft und führt die angesagte Konditorei „Miriam’s Sweet Treats“ in der Tradition ihrer Großmutter. Als eines Tages die erfolgreiche Designerin Suzanne im Laden steht und eine extravagante Torte für ihre bevorstehende Hochzeit in Auftrag gibt, tritt damit auch Suzannes unverschämt gut aussehender Bruder Aidan in Jessies Leben und wirbelt es gehörig durcheinander.</t>
  </si>
  <si>
    <t>Meine schrecklich verwöhnte Familie</t>
  </si>
  <si>
    <t>Pourris gâtés</t>
  </si>
  <si>
    <t>tt13079150</t>
  </si>
  <si>
    <t>Gérard Jugnot, Camille Lou, Artus, Louka Meliava, François Morel</t>
  </si>
  <si>
    <t>Bislang haben Philippe, Stella und Alexandre ein sorgloses und verwöhntes Leben auf Kosten ihres Vaters Francis Bartek geführt. Doch nun reicht es dem erfolgreichen Geschäftsmann und Millionär mit seinen verzogenen und längst erwachsenen Kindern und er beschließt ihnen eine Lektion zu erteilen, damit sie endlich auf eigenen Füßen zu stehen lernen. Er tut so, als wäre er pleite und würde noch dazu von der Polizei gesucht. Nun müssen Philippe, Stella und Alexandre zum ersten Mal in ihrem Leben selbst Verantwortung übernehmen und für ihren Unterhalt arbeiten…</t>
  </si>
  <si>
    <t>Midnight in Paris</t>
  </si>
  <si>
    <t>tt1605783</t>
  </si>
  <si>
    <t>Owen Wilson, Rachel McAdams, Kathy Bates</t>
  </si>
  <si>
    <t>Ein Wunschtraum geht für den Amerikaner Gil in Erfüllung, als er mit seiner Verlobten Inez, ein Mädchen aus wohlhabendem Hause, seinen Urlaub in Paris verbringen kann. Seit seiner Jugend schwärmt Gil von der dortigen Künstlerszene der Zwanzigerjahre. Wenn er nur damals hätte leben können! Hemingway, Fitzgerald, Gertrude Stein – das sind die Idole des erfolgreichen Hollywood-Drehbuchautoren, der sich sehnlichst wünscht, als ernst zu nehmender Schriftsteller zu reüssieren. Inez hat kein Verständnis für seine Schwärmerei. Eines Abends bricht Gil alleine auf und verirrt sich bei seinem Streifzug durch die Straßen der Stadt der Liebe. Punkt Mitternacht geschieht etwas Wundersames: Gil wird von einer Limousine aufgelesen, die ihn geradewegs in die Roaring Twenties transportiert, zu all den legendären Künstlern, die er immer schon bewundert hat! Mit einem Mal ist nichts mehr so, wie es vorher war …</t>
  </si>
  <si>
    <t>Millions</t>
  </si>
  <si>
    <t>tt0366777</t>
  </si>
  <si>
    <t>Alex Etel, James Nesbitt, Daisy Donovan</t>
  </si>
  <si>
    <t>Eines Tages gerät das reichlich komplizierte Leben der Brüder Anthony und Damian noch weiter aus den Fugen. Als sich Damian im Reihenhaus-Garten, gleich neben dem Bahngleis, aus Umzugskartons eine Burg baut, fällt ihm nämlich ein Sack voll Geld vor die Füße. Die Beute aus einem Raubüberfall ist ein Geschenk des Himmels, glaubt der tief religiöse Damian. Anthony hingegen hält das Geld für einen mysteriösen Schatz. Egal, jetzt muss es gewechselt oder ausgegeben werden, auch wenn die echten Besitzer da anderer Meinung sind.</t>
  </si>
  <si>
    <t>Miss Merkel – Mord auf dem Friedhof</t>
  </si>
  <si>
    <t>Miss Merkel - Mord auf dem Friedhof</t>
  </si>
  <si>
    <t>tt31180070</t>
  </si>
  <si>
    <t>Katharina Thalbach, Tim Kalkhof, Thorsten Merten</t>
  </si>
  <si>
    <t>Im beschaulichen Klein-Freudenstadt geschieht ein weiterer Mord. Und wieder ist Angela Merkel mittendrin.</t>
  </si>
  <si>
    <t>Miss Sixty</t>
  </si>
  <si>
    <t>tt3478536</t>
  </si>
  <si>
    <t>Iris Berben, Edgar Selge, Carmen-Maja Antoni</t>
  </si>
  <si>
    <t>Die renommierte Molekularbiologin Luise wird von ihrem Chef und Ex-Lover mit 60 in den vorzeitigen Ruhestand geschickt, weil sie einer Kollegin den Daumen gebrochen hat. Zum Abschied bekommt sie die vor Jahren von ihr eingefrorenen Eizellen. Das bringt sie auf die Idee, in gesegnetem Alter noch Mutter zu werden. Die eigene Mutter hält sie für verrückt, aber Luise hat sich schon einen geeigneten Samenspender ausgeguckt. Dumm nur, dass dessen Vater ihr über den Weg läuft und amouröse Komplikationen nicht ausbleiben.</t>
  </si>
  <si>
    <t>Mit Liebe umgarnt</t>
  </si>
  <si>
    <t>A Love Yarn</t>
  </si>
  <si>
    <t>CDN,NZ</t>
  </si>
  <si>
    <t>tt12786794</t>
  </si>
  <si>
    <t>Anna Hutchison, Simon Arblaster, Olivia Tennet, Annie Whittle, Bronwyn Bradley</t>
  </si>
  <si>
    <t>Die Welt von Sophie Dale, der Besitzerin eines malerischen neuseeländischen Garnladens, gerät aus den Fugen, als sie erfährt, dass ihr wichtigster Garnlieferant, King Farms, die Produktion einstellt. Zu ihrer großen Überraschung ist der charmante, aber festgefahrene Samuel King extra aus New York angereist, um das Geschäftsmodell der Farm zu überprüfen. Sophie, die verzweifelt versucht, ihren Laden am Laufen zu halten, überredet Samuel, ihr zwei Wochen Zeit zu geben, um die Grundlagen des Garnspinnens zu erlernen und genug Geld aufzubringen, um die Mühle selbst zu kaufen.</t>
  </si>
  <si>
    <t>Mittendrin und kein Entkommen</t>
  </si>
  <si>
    <t>Monsieur Claude und sein großes Fest</t>
  </si>
  <si>
    <t>Qu'est-ce qu'on a tous fait au Bon Dieu ?</t>
  </si>
  <si>
    <t>tt10405142</t>
  </si>
  <si>
    <t>Christian Clavier, Chantal Lauby, Ary Abittan, Medi Sadoun, Frédéric Chau</t>
  </si>
  <si>
    <t>Dritter Teil der Filmreihe über das französische Ehepaar Claude und Marie Verneuil und dessen Töchter, die mit Männern aus aller Welt verheiratet sind.  Claude hat sich inzwischen mit seinen Schwiegersöhnen abgefunden. Doch müssen sie wirklich überall da sein, wo er auch ist? Die Nähe zu seiner angeheirateten Familie macht ihm zu schaffen. Doch anlässlich des 40. Ehejubiläums von Claude und seiner Frau Marie Verneuil planen die Töchter ein großes Fest. Es ist als Überraschung gedacht und soll im Haus von Claude und Marie in Chinon stattfinden. Natürlich dürfen die Schwiegereltern der vier Frauen nicht fehlen. Was Monsieur Claude allerdings davon hält, nicht nur mit den Schwiegereltern einer Tochter auskommen zu müssen, sondern sich gleich den Eltern jedes Schwiegersohns für ein paar Tage auszuliefern, bleibt abzuwarten. Chaos ist vorprogrammiert und es verspricht ein turbulentes Familientreffen zu werden, bei dem die Welten aufeinanderprallen.</t>
  </si>
  <si>
    <t>Monsieur Claude und seine Töchter</t>
  </si>
  <si>
    <t>Qu'est-ce qu'on a fait au Bon Dieu ?</t>
  </si>
  <si>
    <t>tt2800240</t>
  </si>
  <si>
    <t>Monsieur Claude und seine Frau Marie sind ein zufriedenes Ehepaar in der französischen Provinz und haben vier ziemlich schöne Töchter. Am glücklichsten sind sie, wenn die Familientraditionen genau so bleiben wie sie sind. Erst als sich drei ihrer Töchter mit einem Muslim, einem Juden und einem Chinesen verheiraten, geraten sie unter Anpassungsdruck. In die französische Lebensart weht der raue Wind der Globalisierung und jedes gemütliche Familienfest gerät zum interkulturellen Minenfeld. Musik in den Elternohren ist da die Ankündigung der jüngsten Tochter, einen – Halleluja! – französischen Katholiken zu heiraten. Doch als sie ihrem vierten Schwiegersohn, dem schwarzen Charles, gegenüberstehen, reißt Claude und Marie der Geduldsfaden…</t>
  </si>
  <si>
    <t>Monsieur Claude und seine Töchter 2</t>
  </si>
  <si>
    <t>Qu'est-ce qu'on a encore fait au Bon Dieu ?</t>
  </si>
  <si>
    <t>tt6556670</t>
  </si>
  <si>
    <t>Monsieur Claude will allen Heimatländern seiner bunten Schwiegerschar einen Besuch abzustatten. In der französischen Provinz finden die Verneuils es aber doch am schönsten. Und so freuen sich Claude und Marie auf ihr Großeltern-Dasein in heimatlicher Gemütlichkeit. Abermals haben sie die Rechnung ohne ihre Töchter gemacht. Als die ihnen erklären, dass mit diesen Ehemännern im konservativen Frankreich auf keinen grünen Zweig zu kommen ist und sie deshalb mit Kind und Kegel im Ausland ihr Glück suchen werden, sind die Gesichter der Großbürger plötzlich sehr lang.</t>
  </si>
  <si>
    <t>Mother's Day - Liebe ist kein Kinderspiel</t>
  </si>
  <si>
    <t>Mother's Day</t>
  </si>
  <si>
    <t>tt4824302</t>
  </si>
  <si>
    <t>Jennifer Aniston, Julia Roberts, Kate Hudson, Jason Sudeikis, Sarah Chalke</t>
  </si>
  <si>
    <t>Rund um den Muttertag nehmen die Geschichten mehrerer Mütter ihren Lauf, die auf unterschiedliche Weise miteinander verwoben sind. Sandy ist alleinerziehend und muss damit zurechtkommen, dass ihr Ex-Mann Henry wieder heiratet und seine Braut mit Anfang 20 wesentlich jünger als sie ist, dass selbst ihre eigenen Söhne auf dumme Gedanken kommen. Jesse und Gabi wiederum haben ihren Eltern schon seit Jahren einige pikante Details aus ihren Leben verheimlicht und geraten durch einen plötzlichen Besuch in Erklärungsnot. Die erfolgreiche Fernsehmoderatorin Miranda scheint hingegen die Liebe aus ihrem Leben verbannt zu haben – lieber verkauft sie magische Steine an ihre Kunden. Sie alle müssen sich auf neue Wege einlassen, um einen harmonischen Muttertag verbringen zu können und ihr Leben wieder auf die Reihe zu bekommen.</t>
  </si>
  <si>
    <t>Mr. Collins' zweiter Frühling</t>
  </si>
  <si>
    <t>Danny Collins</t>
  </si>
  <si>
    <t>Musik, Komödie, Drama</t>
  </si>
  <si>
    <t>tt1772288</t>
  </si>
  <si>
    <t>Al Pacino, Annette Bening, Christopher Plummer, Jennifer Garner, Bobby Cannavale</t>
  </si>
  <si>
    <t>Der alteingesessene Rocker Danny Collin führt seit Jahren ein ausschweifendes, rücksichtsloses Leben. Doch das ändert sich mit seinem 64. Geburtstag von Grund auf. An diesem Tag entdeckt Dannys Manager Frank Grubman einen 40 Jahre alten Brief, den John Lennon einst an Danny geschrieben und den der Rocker bisher nicht gelesen hat. Danny holt sein Versäumnis nach und möchte sein Leben daraufhin völlig umkrempeln. Er will endlich seinen leiblichen Sohn Tom treffen, was er jahrelang versäumt hat – und er will eine gute Beziehung zu ihm und seiner Frau Samantha  aufbauen. Dafür reist er nach New Jersey, wo er auch die charmante Mary die Besitzerin eines kleinen Hotels, kennenlernt. Ob sich John Lennons Botschaft, der zufolge es letztlich nur auf die Liebe ankommt, am Ende tatsächlich als wahr herausstellen wird?</t>
  </si>
  <si>
    <t>Mr. Mom</t>
  </si>
  <si>
    <t>tt0085970</t>
  </si>
  <si>
    <t>Michael Keaton, Teri Garr, Frederick Koehler</t>
  </si>
  <si>
    <t>Jack verliert seinen Job und findet keinen neuen. Wer soll jetzt die drei Kinder ernähren? Also geht Ehefrau Caroline arbeiten und Jack wird Vollzeitmama. Das bisschen Haushalt … stürzt ihn jedoch komplett ins Desaster.</t>
  </si>
  <si>
    <t>Mr. Monk’s Last Case</t>
  </si>
  <si>
    <t>Mr. Monk's Last Case: A Monk Movie</t>
  </si>
  <si>
    <t>tt27145269</t>
  </si>
  <si>
    <t>Tony Shalhoub, Traylor Howard, Jason Gray-Stanford</t>
  </si>
  <si>
    <t>Privatdetektiv Adrian Monk kehrt zurück, um einen letzten, sehr persönlichen Fall zu lösen: Seine Stieftochter Molly, eine Filmkritikerin, ist glücklich liiert mit ihrem Reporter-Kollegen Griffin Briggs und will diesen nun heiraten. Alle Vorbereitungen laufen, doch kurz vor der Eheschließung stirbt ihr Zukünftiger bei einem Bungee-Sprung. Molly wendet sich an ihren Stiefvater und bittet ihn, zu ermitteln, denn sie glaubt nicht an einen Unfall – der Milliardär Rick Eden hatte offenbar in den letzten Wochen vergeblich versucht, ihren Beinahe-Ehemann zu bestechen, nachdem der ihn verdächtigt hatte, einen Mord begangen zu haben. Adrian Monk setzt alles daran, zu beweisen, dass Eden für die beiden Todesfälle verantwortlich ist, doch seine zahlreichen Neurosen stehen ihm dabei mitunter im Wege.</t>
  </si>
  <si>
    <t>Mrs.Mills von nebenan</t>
  </si>
  <si>
    <t>Mme Mills, une voisine si parfaite</t>
  </si>
  <si>
    <t>Sophie Marceau, Pierre Richard, Nicolas Vaude, Bastien Ughetto, Léna Bréban</t>
  </si>
  <si>
    <t>Hélène (Sophie Marceau) führt ein tristes Leben als Herausgeberin kitschiger Liebesromane. Doch als eines Tages die alte und herrlich exzentrische Amerikanerin Mrs. Mills (Pierre Richard) in das Appartement nebenan einzieht, kommt plötzlich wieder Schwung in ihren Alltag. Die beiden ungleichen Frauen freunden sich in Windeseile an und Mrs. Mills wird schließlich sogar das neue Werbegesicht für Hélènes Verlag – und das bringt großen Erfolg. Doch eigentlich verfolgt die alte Dame einen ganz anderen Plan. Und ist sie überhaupt eine Dame?</t>
  </si>
  <si>
    <t>Nancy Drew Girl Detective</t>
  </si>
  <si>
    <t>Nancy Drew</t>
  </si>
  <si>
    <t>Familie, Abenteuer, Krimi, Mystery, Komödie</t>
  </si>
  <si>
    <t>tt0479500</t>
  </si>
  <si>
    <t>Emma Roberts, Max Thieriot, Josh Flitter, Rachael Leigh Cook, Kay Panabaker</t>
  </si>
  <si>
    <t>Mit ihrem Vergrößerungsglas und dem Fingerabdruck-Puder in der Hand verlässt Nancy Drew 'River Heights', um nach Hollywood aufzubrechen - aber nicht etwas um den Jungen aus Smallville zu treffen, wie ihr Freund Ned befürchtet. Nein, sie ist unterwegs, um eines der größten Geheimnisse aufzuklären, die es je in der Vergangenheit gegeben hat: den Tod des Filmstars Dehlia Draycott. En noch größeres Geheimnis aber ist, wie sich unsere kesse, Karomuster liebende Spürnase in der Welt der gemeinen SMS-schreibenden Teen-Queen der Hollywood-High-School einfügen wird...</t>
  </si>
  <si>
    <t>Nicht ohne Eltern</t>
  </si>
  <si>
    <t>Nicht ohne meine Eltern</t>
  </si>
  <si>
    <t>tt0201799</t>
  </si>
  <si>
    <t>Jophi Ries, Claudia Michelsen, André Kaminski</t>
  </si>
  <si>
    <t>Noch einmal Ferien</t>
  </si>
  <si>
    <t>Nos jours heureux</t>
  </si>
  <si>
    <t>tt0478566</t>
  </si>
  <si>
    <t>Jean-Paul Rouve, Marilou Berry, Omar Sy, Lannick Gautry, Julie Fournier</t>
  </si>
  <si>
    <t>Kochwarenfachverkäuferin Georgia träumt vom Dasein als Gourmetköchin und einer Beziehung mit ihrem Schwarm und Kollegen Sean als die Diagnose Hirntumor ihr Leben völlig aus der Bahn wirft. Um die letzten Tage zu genießen und einfach noch einmal so richtig auf den Putz zu hauen, jettet sie nach Europa, steigt unter falschem Namen im besten Grand Hotel am Platze ab und leistet sich feurige Affären mit Politikern, Sterne-Köchen und schließlich gar dem Besitzer ihrer Kaufhauskette.</t>
  </si>
  <si>
    <t>Normal ist anders</t>
  </si>
  <si>
    <t>Now and Then – Damals und heute</t>
  </si>
  <si>
    <t>Now and Then</t>
  </si>
  <si>
    <t>tt0114011</t>
  </si>
  <si>
    <t>Christina Ricci, Rosie O'Donnell, Thora Birch, Melanie Griffith, Gaby Hoffmann</t>
  </si>
  <si>
    <t>Die werdende Mutter Chrissy trifft sich nach langer Zeit mit ihren Jugendfreundinnen Samantha, Teeny und Roberta in ihrer alten Heimat wieder. Gemeinsam schwelgen sie in Erinnerungen an ihre Erlebnisse in den 1970ern, als sie noch zusammen die Gegend unsicher machten.</t>
  </si>
  <si>
    <t>Nur eine Stunde Ruhe</t>
  </si>
  <si>
    <t>Une heure de tranquillité</t>
  </si>
  <si>
    <t>tt3667648</t>
  </si>
  <si>
    <t>Christian Clavier, Carole Bouquet, Valérie Bonneton, Rossy de Palma, Stéphane De Groodt</t>
  </si>
  <si>
    <t>Michels grosse Leidenschaft ist der Jazz. Als er eines schönen Morgens auf einem Flohmarkt auf eine seltene Schallplatte stösst, muss er sie unbedingt haben. Voller Vorfreude begibt er sich mit der erworbenen Rarität nach Hause, um allein und in aller Ruhe den sanften Klängen zu lauschen. Doch aus der gewünschten Ruhe wird leider nichts. Zuallererst macht ihm seine Frau ein furchtbares Geständnis. Dann taucht auch noch sein unzuverlässiger und launenhafter Sohn auf. Michels Mutter stört seine Ruhe mit ständigen Telefonanrufen und zu allem Überfluss schmeissen seine Nachbarn am selben Tag eine riesige Party für die gesamte Nachbarschaft. Damit endlich Ruhe einkehrt, schreckt Michel auch nicht vor Lug und Betrug zurück. Doch verlangt es ihm einiges ab, den ohnehin schon chaotischen Tag nicht komplett in einer Katastrophe enden zu lassen.</t>
  </si>
  <si>
    <t>Oh la la Wer ahnt denn sowas</t>
  </si>
  <si>
    <t>Cocorico</t>
  </si>
  <si>
    <t>tt19381382</t>
  </si>
  <si>
    <t>Christian Clavier, Didier Bourdon, Sylvie Testud, Marianne Denicourt, Julien Pestel</t>
  </si>
  <si>
    <t>Die Familie Bouvier-Sauvage blickt voller Stolz auf eine lange aristokratische Ahnenreihe zurück. Als die einzige Tochter bekannt gibt, den Sohn eines einfachen Peugeot-Händlers heiraten zu wollen, ist man wenig entzückt. Beim ersten Aufeinandertreffen der Schwiegereltern in spe merken beide Seiten schnell, dass sie nicht nur Wein- und Autovorlieben, sondern ganze Welten trennen. Zu allem Überfluss hat das künftige Brautpaar DNA-Tests in Auftrag gegeben, die mehr über die Abstammung der Anwesenden verraten. Oh la la, nun droht die Stimmung vollends zu kippen, denn die Testergebnisse könnten so manchen Stammbaum zu Fall und die Hochzeit zum Platzen bringen.</t>
  </si>
  <si>
    <t>Oh, Moses!</t>
  </si>
  <si>
    <t>Wholly Moses</t>
  </si>
  <si>
    <t>tt0081751</t>
  </si>
  <si>
    <t>Dudley Moore, Laraine Newman, James Coco, Paul Sand, Jack Gilford</t>
  </si>
  <si>
    <t>Die Geschichte des erfolglosen Herschel, dem der erfolgreiche Moses stets um eine Nasenlänge voraus ist. Gagreiche Parodie auf Moses und die Pharaonen, Sodom und Gomorrha und andere bekannte Bibelgeschichten.</t>
  </si>
  <si>
    <t>Old Dogs – Daddy oder Deal</t>
  </si>
  <si>
    <t>Old Dogs</t>
  </si>
  <si>
    <t>tt0976238</t>
  </si>
  <si>
    <t>John Travolta, Robin Williams, Kelly Preston, Conner Rayburn, Ella Bleu Travolta</t>
  </si>
  <si>
    <t>Obwohl sie kaum unterschiedlicher sein könnten, sind Charlie und Dan seit der Schule beste Freunde. Doch nicht nur privat ergänzen sich Frauenheld Charlie und Perfektionist Dan großartig. Gemeinsam haben sie nach der Schule eine erfolgreiche Sportmarketing-Agentur aufgebaut. Nun stehen sie kurz vor dem Abschluss eines großen Deals mit einem japanischen Großkonzern, was der Höhepunkt ihrer Karriere werden soll.Doch dann platzt plötzlich Vicki zum zweiten Mal in Dans Leben. Das erste Mal war vor sieben Jahren auf einem Florida-Trip, auf den Dan direkt nach seiner Scheidung von Charlie geschleift wurde. Ihre Begegnung in Florida dauerte jedoch nur wenige Stunden. Das reichte gerade mal dazu, sich zu betrinken, zu heiraten und nach dem bösen Erwachen die Ehe wieder annullieren zu lassen. Und - wie Dan jetzt erfahren muß - um Zwillinge zu zeugen.</t>
  </si>
  <si>
    <t>Old School – Wir lassen absolut nichts anbrennen</t>
  </si>
  <si>
    <t>Old School</t>
  </si>
  <si>
    <t>tt0302886</t>
  </si>
  <si>
    <t>Luke Wilson, Will Ferrell, Vince Vaughn, Jeremy Piven, Ellen Pompeo</t>
  </si>
  <si>
    <t>Frank, Mitch und Beanie, drei frustrierte College-Freunde in ihren Dreißigern, finden ihr Alltagsleben so langweilig, dass sie beschließen, die gute alte Zeit wieder aufleben zu lassen. Daher organisiert Beanie eine Bombenfete in Mitchs neuem Haus, das sich auf dem College-Gelände befindet. Als der Schuldirektor, ein von ihnen einst gehänselter Ex-Klassenkamerad, davon erfährt, versucht er, Mitch den Mietvertrag kündigen zu lassen. Doch das Trio gründet kurzerhand eine Studentenverbindung, und die Party geht zunächst unbekümmert weiter.</t>
  </si>
  <si>
    <t>On The Line</t>
  </si>
  <si>
    <t>On the Line</t>
  </si>
  <si>
    <t>tt14824590</t>
  </si>
  <si>
    <t>Mel Gibson, William Moseley, Alia Seror-O'Neill</t>
  </si>
  <si>
    <t>Während einer nächtlichen Radio-Talksendung kidnappt ein anonymer Anrufer die kleine Tochter und Ehefrau des Moderators Elvis Cooney (Mel Gibson) und droht ihm, sie zu töten. Um seine Familie zu retten, muss der raubeinige Talkmaster ein sadistisches Überlebensspiel bestreiten, bei dem mehrere Unbeteiligte im Gebäude des Senders getötet werden. Der nicht immer freundliche Cooney hat nur einen Ausweg: er muss seine Vergangenheit durchforsten, um die Identität des Killers zu ermitteln. Gespannt verfolgt die ganze Stadt im Radio, wie sich der perfide Wettstreit zu einem für alle Beteiligten unerwarteten Ende entwickelt.</t>
  </si>
  <si>
    <t>Operation Fortune</t>
  </si>
  <si>
    <t>Operation Fortune: Ruse de Guerre</t>
  </si>
  <si>
    <t>tt7985704</t>
  </si>
  <si>
    <t>Jason Statham, Aubrey Plaza, Cary Elwes</t>
  </si>
  <si>
    <t>Superspion Orson Fortune soll einen brisanten Waffendeal aufklären und den Verkauf einer neuen hochgefährlichen Technologie verhindern. Widerstrebend wird er dabei mit einigen der weltbesten Agenten auf Mission geschickt. Als Ablenkungsmanöver rekrutieren sie Hollywoods größten Filmstar Danny Francesco und begeben sich auf internationalen Undercover-Einsatz. Ihr Ziel: ein milliardenschwerer Waffenhändler, der hinter dem Deal steckt und das Schicksal der Welt in seinen Händen hält…</t>
  </si>
  <si>
    <t>Our Little Secret</t>
  </si>
  <si>
    <t>tt31022050</t>
  </si>
  <si>
    <t>Lindsay Lohan, Ian Harding, Kristin Chenoweth</t>
  </si>
  <si>
    <t>Zwei zerstrittene Verflossene stellen fest, dass ihre Partner Geschwister sind, müssen Weihnachten unter einem Dach verbringen und ihre alte Liebe verborgen halten.</t>
  </si>
  <si>
    <t>Paulie – Ein Plappermaul macht seinen Weg</t>
  </si>
  <si>
    <t>Paulie</t>
  </si>
  <si>
    <t>tt0125454</t>
  </si>
  <si>
    <t>Gena Rowlands, Tony Shalhoub, Cheech Marin, Bruce Davison, Trini Alvarado</t>
  </si>
  <si>
    <t>Die kleine Marie bekommt den Papagei Paulie geschenkt, der kurz darauf anfängt zu sprechen, was die Erwachsenen aber nicht mitbekommen dürfen. Paulie hilft Marie beim Sprechen, da diese ein wenig stottert. Die Eltern bemerken den Einfluß des Papageis auf das Kind und als es vom Dach stürzt, muß der Papagei aus dem Haus, obwohl sich Marie heftig dagegen wehrt. Für Paulie beginnt ein langer Weg voller Abenteuer, denn er will unbedingt zu dem kleinen Mädchen zurück.</t>
  </si>
  <si>
    <t>Paulie Ein Plappermaul macht seinen Weg</t>
  </si>
  <si>
    <t>Plan B für die Liebe</t>
  </si>
  <si>
    <t>The Back-Up Plan</t>
  </si>
  <si>
    <t>tt1212436</t>
  </si>
  <si>
    <t>Jennifer Lopez, Alex O'Loughlin, Michaela Watkins, Eric Christian Olsen, Anthony Anderson</t>
  </si>
  <si>
    <t>Als Zoe mit Anfang 30 immer noch keinen Mann gefunden hat, um mit ihm zusammen eine Familie zu gründen, setzt sie schließlich ihren "Plan B" in die Tat um - und lässt sich künstlich befruchten. Dass sie noch am selben Tag in einem New Yorker Taxi ihrem Mr. Right begegnet, war allerdings nicht geplant. Stan, ein smarter und äußerst charmanter Junggeselle, erobert Zoes Herz im Sturm, und die Romanze nimmt ihren Lauf. Zoes andere Umstände bereiten dem jungen Glück allerdings einige Schwierigkeiten: Wie erklärt Zoe, dass sie schwanger ist? Wie wird Stand mit dieser Situation umgehen? Und vor allem: Wird die frische Liebe diese Komplikationen überstehen?</t>
  </si>
  <si>
    <t>Plötzlich Familie</t>
  </si>
  <si>
    <t>Instant Family</t>
  </si>
  <si>
    <t>tt7401588</t>
  </si>
  <si>
    <t>Mark Wahlberg, Rose Byrne, Allyn Rachel, Isabela Merced, Julie Hagerty</t>
  </si>
  <si>
    <t>Das Ehepaar Pete und Ellie beschließt, eine Familie zu gründen, und nimmt daher drei Pflegekinder von einer Adoptionsagentur bei sich auf. Doch damit haben sich mehr eingebrockt, als sie gedacht hätten, denn die drei Kinder, die rebellische 15-Jährige Lizzy, der verplante Juan und die kleine Lita, stellen sich als echte Teufelsbraten heraus und haben zunächst keinerlei Interesse daran, sich von ihren Pflegeeltern bändigen und erziehen zu lassen. Und auch Pete und Ellie müssen feststellen, dass das Elterndasein viel komplizierter ist, als sie es sich vorgestellt hätten. Nach und nach wachsen die Fünf jedoch zu einer Patchwork-Großfamilie zusammen …</t>
  </si>
  <si>
    <t>Plötzlich Prinzessin</t>
  </si>
  <si>
    <t>tt1726059</t>
  </si>
  <si>
    <t>Anastasia, Horst Baron, Bärbel, Donna Colada</t>
  </si>
  <si>
    <t>Mit ihrem Wuschelkopf, der uncoolsten Brille seit der Erfindung des Kassengestells und der Begabung garantiert in jedes Fettnäpfchen zu treten, zählt Mia nicht gerade zu den beliebtesten Girls an ihrer Schule. Die Jungs ignorieren sie, von den Mädels wird sie verspottet und ihr heimlicher Schwarm - der angesagteste Typ der ganzen High School - hat nur Augen für das oberflächliche Girlie Lana. Niemand schenkt Mira besondere Beachtung - bis zu dem Tag, an dem sie aus heiterem Himmel eine unglaubliche Nachricht erhält: Sie ist eine echte Prinzessin! Ihre Großmutter Clarisse Renaldi ist eigens angereist, um Mia diese Botschaft zu überbringen und aus dem etwas trampeligen Teenager eine würdige Thronfolgerin zu machen. Doch Mia denkt nicht im Traum daran, ihre Boots gegen Edel-Pumps auszutauschen und schon bald steht Mia vor der schwierigsten Entscheidung ihres Lebens...</t>
  </si>
  <si>
    <t>Plötzlich Prinzessin 2</t>
  </si>
  <si>
    <t>The Princess Diaries 2: Royal Engagement</t>
  </si>
  <si>
    <t>tt0368933</t>
  </si>
  <si>
    <t>Anne Hathaway, Julie Andrews, Héctor Elizondo, John Rhys-Davies, Heather Matarazzo</t>
  </si>
  <si>
    <t>Der amerikanische Teenager Mia Thermopolis hat für fünf Jahren erfahren, dass sie eine europäische Prinzessin ist. Nun hat sie ihren College-Abschluss in der Tasche und ist bereit, ihr Amt in der kleinen europäischen Monarchie Genovien anzutreten. Kaum dort angekommen, muss sie jedoch erfahren, dass ihr ein Adelsvertreter versucht, die Krone streitig zu machen. Außerdem sieht ein genovisches Gesetz vor, dass die Thronanwärterin verheiratet sein muss, um Königin zu werden. Also muss Mia innerhalb von 30 Tagen einen adäquaten Bräutigam auftreiben.</t>
  </si>
  <si>
    <t>Puppy Love – Hunde zum Verlieben</t>
  </si>
  <si>
    <t>Puppy Love</t>
  </si>
  <si>
    <t>tt28182736</t>
  </si>
  <si>
    <t>Lucy Hale, Grant Gustin, Jane Seymour, Michael Hitchcock, Nore Davis</t>
  </si>
  <si>
    <t>Nach einer katastrophalen ersten Verabredung schwören das wilde Kind Nicole und der sozial ängstliche Max, die Nummern des jeweils anderen zu verlieren, bis sie erfahren, dass ihre Hunde sich gefunden haben und nun Welpen unterwegs sind! Das ungleiche Paar Nicole und Max ist gezwungen, verantwortungsvolle Co-Eltern zu werden, aber vielleicht finden sie am Ende selbst die Liebe.</t>
  </si>
  <si>
    <t>Queen Bees Im Herzen jung</t>
  </si>
  <si>
    <t>Queen Bees</t>
  </si>
  <si>
    <t>tt8338076</t>
  </si>
  <si>
    <t>Ellen Burstyn, James Caan, Ann-Margret, Jane Curtin, Christopher Lloyd</t>
  </si>
  <si>
    <t>Helen ist eine unabhängige Witwe, die in die Pine Grove Senior Community zieht und feststellt, dass es dort zugeht wie in der High School - voller Cliquen und flirtender Verehrer. Was sie zunächst vermeidet, führt sie zu genau dem, was ihr gefehlt hat: neue Freundschaften und eine neue Chance auf Liebe mit dem Neuankömmling Dan.</t>
  </si>
  <si>
    <t>Queenpins - Kriminell günstig</t>
  </si>
  <si>
    <t>Queenpins</t>
  </si>
  <si>
    <t>tt9054192</t>
  </si>
  <si>
    <t>Kristen Bell, Kirby Howell-Baptiste, Vince Vaughn, Paul Walter Hauser, Joel McHale</t>
  </si>
  <si>
    <t>Die gelangweilte und frustrierte Vorstadt-Hausfrau Connie (Kristen Bell) und ihre beste Freundin JoJo (Kirby Howell-Baptiste), verwandeln ein Hobby in eine millionenschwere Coupon-Fälschungs-Gaunerei. Nachdem sie einen Brief an den Konzern geschickt haben, der hinter einer abgelaufenen Cornflakes-Packung steckt, und als Entschuldigung Dutzende von Gratis-Gutscheinen erhalten haben, brütet das Duo ein illegales Coupon-Club-System aus, das Millionen von Megakonzernen ergaunert und Legionen von Coupon-Knipser-Kollegen mit Angeboten versorgt. Auf dem Weg zur totalen Coupon-Dominanz schließt sich der unglückliche Schadenverhüter Ken Miller (Paul Walter Hauser) von der örtlichen Supermarktkette mit dem entschlossenen U.S. Postal Inspector Simon Kilmurry (Vince Vaughn) zusammen, um die frischgebackenen „Queenpins“ des Pink Collar Crime zu verfolgen.</t>
  </si>
  <si>
    <t>Rehragout-Rendezvous</t>
  </si>
  <si>
    <t>tt27722620</t>
  </si>
  <si>
    <t>Sebastian Bezzel, Simon Schwarz, Lisa Maria Potthoff</t>
  </si>
  <si>
    <t>Im Hause Eberhofer hat die Anarchie Einzug gehalten: Oma hat beschlossen, die Hausarbeit künftig den restlichen Hausbewohnern zu überlassen, um ihre Rente genießen zu können. Während das Familienleben der Familie zunehmend chaotischer wird, muss Susi nun auch noch für den verhinderten Bürgermeister einspringen. Franz steht derweil vor einem neuen Mordfall, nachdem ein abgetrenntes Ohr und weitere Leichenteile auf einem nahgelegenen Acker entdeckt wurden.</t>
  </si>
  <si>
    <t>Reich um jeden Preis</t>
  </si>
  <si>
    <t>Ricchi a tutti i costi</t>
  </si>
  <si>
    <t>tt30494321</t>
  </si>
  <si>
    <t>Christian De Sica, Angela Finocchiaro, Claudio Colica, Dharma Mangia Woods, Darko Peric</t>
  </si>
  <si>
    <t>Als eine Großmutter auf einen frechen Verehrer mit zweifelhaften Absichten hereinfällt, schmiedet ihre Familie einen Plan, um ihr Leben und das eigene Erbe zu schützen.</t>
  </si>
  <si>
    <t>Rettungshund Ruby</t>
  </si>
  <si>
    <t>Rescued by Ruby</t>
  </si>
  <si>
    <t>tt11278476</t>
  </si>
  <si>
    <t>Grant Gustin, Scott Wolf, Kaylah Zander, Camille Sullivan, Tom McBeath</t>
  </si>
  <si>
    <t>Der State Trooper Dan möchte sich seinen großen Traum erfüllen und einer K-9-Eliteeinheit beitreten, der Hundestaffel des Such- und Rettungsteams. Dafür schließt er sich mit einem anderen Außenseiter zusammen: der cleveren, aber frechen Tierheimhündin Ruby, die die Hoffnung auf ein neues Zuhause beinahe schon aufgegeben hatte. Die einzigartige Verbindung zwischen Mensch und Tier hilft ihnen, sich ihrer bislang größten Herausforderung zu stellen...</t>
  </si>
  <si>
    <t>Risiken &amp; Nebenwirkungen</t>
  </si>
  <si>
    <t>Zu Risiken und Nebenwirkungen</t>
  </si>
  <si>
    <t>tt3209270</t>
  </si>
  <si>
    <t>David C. Bunners, Wiebke Frost, Robert Klatt</t>
  </si>
  <si>
    <t>Bei der Pilateslehrerin Kathrin wird nach einer Vorsorgeuntersuchung ein Nierenleiden festgestellt. Nun braucht sie dringend eine neue Niere. Also könnte ihr Mann Arnold eine seiner Nieren für seine Frau abtreten. Doch ganz so einfach ist es für ihn nicht. Der vielbeschäftigte Architekt hat Bedenken, steckt mitten in einem Großprojekt und erwägt sogar, sich zu weigern und damit seine Ehe aufs Spiel zu setzen. Wie gut, dass es ihren gemeinsamen besten Freund Götz gibt, der sofort seine Niere für Kathrin hergeben würde. Doch er hat nicht mit seiner Frau Diana gerechnet, die alles andere als einverstanden damit ist. Nun also stehen die Freunde vor zwei potenziellen Spendernieren, die zwei Ehen vor eine Zerreißprobe stellen...</t>
  </si>
  <si>
    <t>Rosie</t>
  </si>
  <si>
    <t>IE</t>
  </si>
  <si>
    <t>tt8247470</t>
  </si>
  <si>
    <t>Sarah Greene, Molly McCann, Darragh Mckenzie</t>
  </si>
  <si>
    <t>Ruth und Alex verliebt in New York</t>
  </si>
  <si>
    <t>5 Flights Up</t>
  </si>
  <si>
    <t>tt2933544</t>
  </si>
  <si>
    <t>Morgan Freeman, Diane Keaton, Carrie Preston, Cynthia Nixon, Alysia Reiner</t>
  </si>
  <si>
    <t>Das New Yorker Pärchen Ruth  und Alex  lebt schon eine halbe Ewigkeit in seinem Apartment in East Village und muss es nun, an diesem Wochenende, nach 45 Jahren räumen. Ruth ist eine ehemalige Lehrerin und Anhängerin von Chekhov, während Alex Künstler ist. Als sie gerade aufbrechen wollen, bleibt der Truck eines Gastanks in einem Midtown-Tunnel stecken und löst damit eine Massenpanik aus. Die Menschen fürchten, dahinter könnte ein terroristischer Anschlag stecken. Währenddessen wird auch noch der geliebte Hund der Cohens, Dorothy, krank, den sie in eine nahegelegene Tierklinik bringen. Zu der Zeit, als die anderen Leute ungeduldig darauf warten, dass die Situation mit dem Truck geklärt wird, bangen die Cohens um ihren Hund und müssen sich damit auseinandersetzen, ihr vertrautes Heim für immer zu verlassen.</t>
  </si>
  <si>
    <t>Schlafsack für zwei</t>
  </si>
  <si>
    <t>tt0456644</t>
  </si>
  <si>
    <t>Nina Kronjäger, Jörg Schüttauf, Martin Stührk</t>
  </si>
  <si>
    <t>"Wichtigtuer!" - "Großstadtzicke!" Schon nach der ersten Begegnung ist klar: Tom und Michaela gehören zusammen, sie wissen es nur noch nicht. Der Naturbursche und die Großstadtpflanze schlagen sich als alleinerziehende Singles durchs Leben. Tom leitet Survivalkurse für ein Nobelhotel, Michaela will ebendort den Job als Freizeitmanagerin ergattern. Schwerste Hürde: Unter Toms Führung muss sie ein paar Tage und Nächte in der brandenburgischen Wildnis bestehen…</t>
  </si>
  <si>
    <t>Schleuderprogramm</t>
  </si>
  <si>
    <t>tt2356572</t>
  </si>
  <si>
    <t>Annette Frier, Pasquale Aleardi, Peter Franke</t>
  </si>
  <si>
    <t>Die Diva stürzt von einem Tag auf den anderen aus dem Olymp der Opernwelt, als sie ihrem kranken Vater Karl zur Hilfe eilt und eine Vorstellung in der Kölner Oper abbricht. Das Publikum und vor allem das Management sind erbost, hat doch "die Herbst" mit ihren Launen und Forderungen seit Jahren die Direktoren der großen Häuser drangsaliert. Die zweite Besetzung soll nun ihre Chance bekommen.</t>
  </si>
  <si>
    <t>Schöne Witwen küssen besser</t>
  </si>
  <si>
    <t>tt0446461</t>
  </si>
  <si>
    <t>Iris Berben, Peter Sattmann, Sophie Schütt</t>
  </si>
  <si>
    <t>Hochstaplerin Corinna nutzt die günstige Gelegenheit und schlüpft in die Rolle einer Baronswitwe. So verschafft sie sich Zutritt zu den Gemächern eines Milliardärs in Nizza. An der Cote D’Azur angekommen, begegnet sie prompt einer Konkurrentin. Die Betrügerinnen buhlen um den Milliardär bzw. um den, den sie dafür halten. Dann taucht auch noch die echte Witwe auf.</t>
  </si>
  <si>
    <t>Seitensprung in Manhattan</t>
  </si>
  <si>
    <t>The Daytrippers</t>
  </si>
  <si>
    <t>tt0116041</t>
  </si>
  <si>
    <t>Hope Davis, Pat McNamara, Anne Meara, Parker Posey, Liev Schreiber</t>
  </si>
  <si>
    <t>Die New Yorker Grundschullehrerin Eliza D'Amico lebt im Glauben an eine glückliche und erfüllte Ehe mit ihrem Mann Louis, einem erfolgreichen Verlagsmanager. In Abwesenheit ihres Mannes findet Eliza beim Aufräumen einen in Reimform abgefassten Brief, der wie eine Liebeserklärung an Louis aussieht. Entsetzt fährt Eliza zu ihren außerhalb New Yorks wohnenden Eltern, um den Rat ihrer Mutter Rita und ihres Vaters Jim einzuholen. Dabei geben auch ihre sarkastische Schwester Jo sowie deren Möchtegern-Schriftsteller-Freund Carl ihren Kommentar ab. Rita überzeugt ihre Tochter davon, sofort nach New York City aufzubrechen, wo Louis arbeitet, um ihn mit dem Brief zu konfrontieren. Bei klirrender Kälte steigen alle fünf in den klapprigen Familienkombi und fahren nach Manhattan. Unglücklicherweise ist Louis auf Grund eines Geschäftstermins nicht im Büro. Auf der ereignisreichen und turbulenten Suche nach Louis kommt es zu diversen Auseinandersetzungen zwischen den Familienmitgliedern.</t>
  </si>
  <si>
    <t>Shotgun Wedding - Ein knallhartes Team</t>
  </si>
  <si>
    <t>Shotgun Wedding</t>
  </si>
  <si>
    <t>tt9686790</t>
  </si>
  <si>
    <t>Jennifer Lopez, Josh Duhamel, Lenny Kravitz, Jennifer Coolidge, Sônia Braga</t>
  </si>
  <si>
    <t>Diesen Tag werden Darcy und Tom nicht so schnell vergessen. Für ihre geplante Hochzeit vor Traumkulisse fliegen die beiden mit ihren recht eigenwilligen Familien auf die Philippinen. Während sich die Angehörigen unter Palmen schon bald in Disharmonie üben, taucht ausgerechnet auch noch Darcys Ex Sean auf. Der Familiensegen hängt schief und das Paar bekommt kalte Füße. Als wäre das nicht genug, werden die Partygäste plötzlich als Geisel genommen. Jetzt liegt es an Darcy und Tom, alle zu retten - wenn sie sich vorher nicht gegenseitig an die Gurgel gehen.</t>
  </si>
  <si>
    <t>Sind wir endlich fertig</t>
  </si>
  <si>
    <t>Are We Done Yet?</t>
  </si>
  <si>
    <t>tt0422774</t>
  </si>
  <si>
    <t>Ice Cube, Nia Long, John C. McGinley, Aleisha Allen, Philip Bolden</t>
  </si>
  <si>
    <t>Nicks dreister Plan ist schließlich aufgegangen, und er hat die attraktive Suzanne geehelicht. Das taufrische Paar zieht nun von der Stadt aufs Land, um Suzannes beiden Kindern ein besseres Leben zu bieten. Das Traumhaus in idyllischer Natur muss nur noch renoviert werden. Hätte Nick bloß nicht Bauunternehmer Chuck Mitchell Jr. damit beauftragt! Der treibt ihn mit seiner chaotischen Arbeitseinstellung zur Weißglut. Und dann freundet er sich auch noch mit Suzanne und den Kindern an. Nick kocht vor Wut ...</t>
  </si>
  <si>
    <t>Siste Act 2 - In.göttlicher Mission</t>
  </si>
  <si>
    <t>Sister Act 2: Back in the Habit</t>
  </si>
  <si>
    <t>Musik, Komödie</t>
  </si>
  <si>
    <t>Whoopi Goldberg, Kathy Najimy, Lauryn Hill, Sheryl Lee Ralph, Maggie Smith</t>
  </si>
  <si>
    <t>Delores hat sich nach ihrem ersten Auftritt als Schwester Mary Clarence zu einem Star in Las Vegas gemausert. Als ihre alten Freundinnen - Schwester Mary Patrick, Mary Lazarus und Mary Robert sie um Hilfe bitten, zögert sie nicht lange: Die Kinder der St. Francis High School sind echte Chaoten und nehmen den Musikunterricht überhaupt nicht ernst. Das ändert sich, als Delores neue Sitten einführt und einen erstklassigen Chor mit den Schülern auf die Beine stellt, der die finanziell angeschlagene Schule retten soll. Zusammen mit ihrer neuen Lehrerin geben die Schüler alles, den Musikwettbewerb zu gewinnen...</t>
  </si>
  <si>
    <t>Sodbrennen</t>
  </si>
  <si>
    <t>Heartburn</t>
  </si>
  <si>
    <t>Meryl Streep, Jack Nicholson, Jeff Daniels, Maureen Stapleton, Stockard Channing</t>
  </si>
  <si>
    <t>Zwischen den beiden Journalisten Rachel und Mark funkt es auf einer Hochzeit gewaltig und schon schnell beschließen sie ebenfalls zu heiraten. Zusammen richten sie sich ein heruntergekommenes Haus ein und bekommen ein Baby, doch dann macht Rachel eine schreckliche Entdeckung: Mark scheint sie zu betrügen und zwar mit einer ihrer Freundinnen. Sie packt überstürzt ihre Sachen und reist mit ihrer Tochter nach New York zu ihrem Vater, in der Hoffnung, dass Mark sich bei ihr meldet und auf Knien eine Entschuldigung hervorbringt. Doch als sie abermals schwanger wird, hofft sie sehnsüchtig, dass Mark zu ihr zurückkehrt. Die beiden finden über Umwege wieder zueinander, jedoch ist und bleibt die Beziehung angespannt, was sich auch in äußerst schlüpfrigen und pikanten Gesprächen vor ihren Freunden widerspiegelt. Hat ihre Liebe noch eine Chance?</t>
  </si>
  <si>
    <t>Spoiler Alarm</t>
  </si>
  <si>
    <t>Spoiler Alert</t>
  </si>
  <si>
    <t>tt7775720</t>
  </si>
  <si>
    <t>Jim Parsons, Ben Aldridge, Sally Field, Bill Irwin, Josh Pais</t>
  </si>
  <si>
    <t>In einem Club lernt der Journalist Michael einen jungen Mann namens Kit kennen. Die beiden verlieben sich ineinander und führen ein glückliches Leben als homosexuelles Paar im New York der 2000er. Jahre später sind Michael und Kit immer noch zusammen, doch Ärzte stellen bei Kit einen tödlichen Krebs fest…</t>
  </si>
  <si>
    <t>Summer School</t>
  </si>
  <si>
    <t>tt0094072</t>
  </si>
  <si>
    <t>Mark Harmon, Kirstie Alley, Robin Thomas</t>
  </si>
  <si>
    <t>Freddy trifft am letzten Schultag ein harter Schlag. Statt mit einer aufregenden Blondine nach Hawaii zu fliegen, muß er eine Englischklasse übernehmen, die er auf eine Wiederholungsprüfung vorbereiten soll! Und das als Sportlehrer! In der Nachbarsklasse unterrichtet die attraktive Robin Geschichte und erklärt sich bereit, ihm die wichtigsten Unterichtsmethoden im Schnellverfahren beizubringen. Doch Freddy kommt mit der Chaotenklasse gar nicht zurecht, in der Freaks, Träumer, eine Schwangere und ein Haufen Lernunwilliger sind, die ihm das Leben zur Hölle machen…</t>
  </si>
  <si>
    <t>Süßer September</t>
  </si>
  <si>
    <t>tt4129562</t>
  </si>
  <si>
    <t>Caroline Peters, Mišel Matičević, Regula Grauwiller, Samuel Schneider, Anatole Taubman</t>
  </si>
  <si>
    <t>Männer haben einen schweren Stand bei Rebecca, Paare sowieso. In einer Bar trifft sie auf den Seelenverwandten Bruno, der auch schon lange mit der Liebe abgeschlossen zu haben scheint. Rebecca und Bruno werden Freunde.  Im sicheren Glauben, jeweils nicht der Typ des anderen zu sein, philosophieren sie über die Liebe und die unzumutbaren Opfer, die eine Paarbeziehung fordert. Nur, können Männer und Frauen wirklich einfach Freunde sein?  Bevor sie die Frage abschließend klären können, mischt sich die Vergangenheit ein: Brunos Ex tritt wieder in sein Leben und Rebecca kommt mit ihrem "besten Freund" Johann zusammen. Aber irgendetwas stimmt nicht.  Desillusioniert bricht sie kurzerhand nach New York auf, entschlossen, nicht zurückzukehren. Doch dann ist es die Distanz, die sie erkennen lässt, was sie glücklich macht.</t>
  </si>
  <si>
    <t>Sydney White – Campus Queen</t>
  </si>
  <si>
    <t>Sydney White</t>
  </si>
  <si>
    <t>tt0815244</t>
  </si>
  <si>
    <t>Amanda Bynes, Sara Paxton, Matt Long, Jeremy Howard, Danny Strong</t>
  </si>
  <si>
    <t>Sydney White hat ihr Studium gerade begonnen und tritt derselben Frauenverbindung bei, der bereits ihre Mutter angehörte. Schon bald hat sie die Intrigen ihrer Verbindungsschwestern satt und verbündet sich mit einer Gruppe von sieben Aussenseitern. Zusammen mit ihren neuen Freunden erklärt sie den etablierten Studentenvereinigungen den Kampf und setzt sich für die bisher Benachteiligten auf ihrem Campus ein. Dabei trifft sie auch auf ihren Traumprinzen...</t>
  </si>
  <si>
    <t>Tango und Cash</t>
  </si>
  <si>
    <t>Tango &amp; Cash</t>
  </si>
  <si>
    <t>tt0098439</t>
  </si>
  <si>
    <t>Sylvester Stallone, Kurt Russell, Teri Hatcher, Jack Palance, Brion James</t>
  </si>
  <si>
    <t>Die L.A. Cops Tango und Cash haben in dem Gangsterboss Perret einen unversöhnlichen Feind. Anstatt sie umzubringen, lässt er die hochdekorierten Polizisten in eine raffinierte Falle laufen. Dem FBI erscheint es, als seien Tango und Cash korrupte Drogendealer und Mörder. Die beiden werden zu einer Gefängnisstrafe verurteilt und in die Hölle hinter Gittern geschickt. Hier warten einige Ganoven nur darauf, sich an den beiden Cops zu rächen ...</t>
  </si>
  <si>
    <t>Tea with the Dames - Ein unvergesslicher Nachmittag</t>
  </si>
  <si>
    <t>Nothing Like a Dame</t>
  </si>
  <si>
    <t>Maggie Smith, Judi Dench, Eileen Atkins, Joan Plowright, Robert Altman</t>
  </si>
  <si>
    <t>Die vier Schauspielerinnen Eileen Atkins, Judi Dench, Joan Plowright und Maggie Smith verbindet eine mehr als 50-jährige Freundschaft, sie sind allesamt in den Adelsstand der „Dame“ gehoben worden, dem weiblichen Pendant zur Ritterwürde, und gehören ganz nebenbei auch zu den berühmtesten Darstellerinnen Großbritanniens, die zum Zeitpunkt der Dreharbeiten zusammengerechnet auf 250 Jahre Schauspielerei zurückblicken. Ab und zu treffen sie sich auf dem Land und sprechen gemeinsam über ihre Anfänge auf der Theaterbühne und ihre Erfahrungen vor der Kamera. Begleitet vom preisgekrönten Regisseur Roger Michell („Notting Hill“) erzählen Atkins, Dench, Plowright und Smith von ihren schwierigen Kollegen, ihren Ex-Ehemännern und dem immer noch bestehenden Lampenfieber. Am Ende stellen die Damen dann aber noch einmal klar: Mit diesem Film ziehen sie bestimmt keinen Schlussstrich unter ihre Karrieren. Sie werden unermüdlich bis zum Ende arbeiten.</t>
  </si>
  <si>
    <t>The Breakfast Club</t>
  </si>
  <si>
    <t>tt0088847</t>
  </si>
  <si>
    <t>Emilio Estevez, Judd Nelson, Molly Ringwald</t>
  </si>
  <si>
    <t>Samstag morgen in einer amerikanischen High-School: normalerweise bleiben an diesem Tag die Schüler daheim, aber fünf von ihnen müssen aus verschiedenen Gründen zum Nachsitzen antreten. Es sind: Der rebellische Freak John Bender, die Dame mit dem Namen für Kühe, Claire, das nerdige Mädchen Allison, der Streber Brian und der Muskelprotz Andrew. Eigentlich wollte Richard Vernon, der Lehrer, der sie zu dieser unfreiwilligen Freizeitgestaltung gezwungen hat, die Schüler bestrafen, indem er sie dazu zwingt, an diesem Tag über sich nachzudenken, aber es kommt ganz anders als er es sich erhofft hat. Nach anfänglichen Streitereien zwischen den Jugendlichen lernen diese sich nämlich besser kennen und freunden sich über alle bestehenden Vorurteile und “gesellschaftlichen Verpflichtungen” hinweg an.</t>
  </si>
  <si>
    <t>The Family Plan</t>
  </si>
  <si>
    <t>tt16431870</t>
  </si>
  <si>
    <t>Mark Wahlberg, Michelle Monaghan, Ciarán Hinds</t>
  </si>
  <si>
    <t>Dan Morgan ist vieles: Hingebungsvoller Ehemann, liebender Vater und sehr erfolgreicher Autoverkäufer. Er ist aber auch ein ehemaliger Attentäter. Als ihn seine Vergangenheit einholt, ist er gezwungen, seine völlig ahnungslose Familie auf einen Roadtrip mitzunehmen, der seinesgleichen sucht.</t>
  </si>
  <si>
    <t>The French Dispatch</t>
  </si>
  <si>
    <t>tt8847712</t>
  </si>
  <si>
    <t>Benicio Del Toro, Adrien Brody, Tilda Swinton</t>
  </si>
  <si>
    <t>Die Mitarbeiter einer europäischen Zeitung beschließen, eine Jubiläumsausgabe herauszugeben, in der die drei besten Storys des letzten Jahrzehnts herausgehoben werden: Die Story über einen zu lebenslanger Haft verurteilten Künstler, eine über Studentenunruhen und über eine von einem Koch aufgeklärte Entführung.</t>
  </si>
  <si>
    <t>The Hitmans Bodyguard</t>
  </si>
  <si>
    <t>The Hitman's Bodyguard</t>
  </si>
  <si>
    <t>BG, CA, FR, HK, US, GB</t>
  </si>
  <si>
    <t>tt1959563</t>
  </si>
  <si>
    <t>Ryan Reynolds, Samuel L. Jackson, Gary Oldman, Salma Hayek Pinault, Elodie Yung</t>
  </si>
  <si>
    <t>Der weltbeste Bodyguard wird engagiert, um ausgerechnet das Leben seines Erzfeindes zu schützen – eines weltweit berüchtigten Killers. Der unaufhaltsame Bodyguard und der manipulative Auftragsmörder versuchen seit Jahren sich gegenseitig auszuschalten, und müssen nun die nächsten total abgefahrenen 24 Stunden gemeinsam durchstehen. Bei ihrer unfassbar toughen Reise von England nach Den Haag müssen sie Highspeed-Autorennen und absurde Bootsverfolgungsjagden meistern und sich dem gnadenlosen osteuropäischen Diktator, der Blut sehen will, entgegenstellen.</t>
  </si>
  <si>
    <t>The Holdovers</t>
  </si>
  <si>
    <t>tt14849194</t>
  </si>
  <si>
    <t>Paul Giamatti, Da'Vine Joy Randolph, Dominic Sessa</t>
  </si>
  <si>
    <t>Niemand mag den Lehrer Paul Hunham (Paul Giamatti) – weder seine Schüler noch seine Kollegen, noch der Schulleiter. Alle finden seine Aufgeblasenheit und Starrheit nervtötend. Da er keine Familie hat und in den Weihnachtsferien 1970 nirgendwo hingehen kann, bleibt Paul trotzdem in der Schule, um die Schüler zu beaufsichtigen, die nicht nach Hause fahren können. Nach ein paar Tagen ist nur noch ein Schüler übrig, ein 15-Jähriger namens Angus (Dominic Sessa), ein guter Schüler, der wegen seines schlechten Benehmens jedoch immer von der Schule zu fliegen droht. Zu Paul und Angus gesellt sich die Chefköchin Mary (Da'Vine Joy Randolph) – eine afroamerikanische Frau, die sich um die Söhne von Privilegierten kümmert und deren eigener Sohn kürzlich im Vietnamkrieg gefallen ist. Diese drei sehr unterschiedlichen Schiffbrüchigen bilden eine unwahrscheinliche Weihnachtsfamilie, die während zwei sehr verschneiten Wochen in Neuengland komische Missgeschicke erlebt.</t>
  </si>
  <si>
    <t>The Instigators</t>
  </si>
  <si>
    <t>tt24169886</t>
  </si>
  <si>
    <t>Matt Damon, Casey Affleck, Hong Chau</t>
  </si>
  <si>
    <t>Rory und Cobby sind ein ungleiches Duo: Ein verzweifelter Vater und ein Ex-Knacki, die für einen Raubüberfall eine unfreiwillige Verbindung eingehen. Als die Sache schiefgeht, tun sie sich mit einer ungewöhnlichen Komplizin - Rorys Therapeutin - zusammen, um der Polizei, korrupten Beamten und einem rachsüchtigen Gangsterboss zu entkommen.</t>
  </si>
  <si>
    <t>The Kid Detective</t>
  </si>
  <si>
    <t>Comedy, Crime, Drama</t>
  </si>
  <si>
    <t>tt8980602</t>
  </si>
  <si>
    <t>Kaitlyn Chalmers-Rizzato, Adam Brody, Kaleb Horn</t>
  </si>
  <si>
    <t>Einst war Abe Applebaum als Kinder-Detektiv eine Berühmtheit, doch heute mit 32 Jahren löst er, überwiegend verkatert und voller Selbstmitleid, immer noch eher triviale Rätsel: Bis eines Tages eine naive Klientin auftaucht und ihm seinen ersten „erwachsenen“ Fall bringt - er soll herausfinden, wer ihren Freund umgebracht hat.</t>
  </si>
  <si>
    <t>The Kings Man - The Beginning</t>
  </si>
  <si>
    <t>The King's Man</t>
  </si>
  <si>
    <t>tt6856242</t>
  </si>
  <si>
    <t>Ralph Fiennes, Gemma Arterton, Rhys Ifans, Matthew Goode, Tom Hollander</t>
  </si>
  <si>
    <t>Der junge Conrad wird vom Duke of Oxford in die Welt der britischen Spionage eingeführt. Dabei trifft er auf zahlreiche historische Figuren wie den britischen General Herbert Kitchener und den serbischen Attentäter Gavrilo Princip sowie den mysteriösen und gefährlichen Russen Grigori Rasputin, der gemeinsam mit dem mysteriösen Hirten und den Monarchen George V., Wilhelm II. und Nikolaus II. eine Verschwörung ausgeheckt hat, die die Welt ins Verderben stürzen könnte …</t>
  </si>
  <si>
    <t>The Kitchen Queens of Crime</t>
  </si>
  <si>
    <t>The Kitchen</t>
  </si>
  <si>
    <t>Action, Krimi, Drama</t>
  </si>
  <si>
    <t>Melissa McCarthy, Tiffany Haddish, Elisabeth Moss, Domhnall Gleeson, Bill Camp</t>
  </si>
  <si>
    <t>1978: Zwischen der 8th Avenue und dem Hudson-River erstreckt sich das New Yorker Viertel Hell's Kitchen, dessen 20 Häuserblocks von der irischen Mafia kontrolliert werden. Inmitten der Pfandleihhäuser, Pornoläden und zwielichtigen Pubs war das Leben noch nie einfach – geschweige denn sicher. Als eines Tages die drei Gangster Rob, Kevin und Jimmy vom FBI abgeführt werden, bleiben ihre drei Ehefrauen Kathy, Ruby und Claire im Viertel zurück. Und die sind nun nicht nur auf sich allein gestellt, sondern haben auch noch ein paar offene Rechnungen und müssen obendrein ihre bedrohten Kinder schützen. Das Trio nimmt fortan die Angelegenheiten der irischen Mafia trotz Unerfahrenheit in die eigenen Hände, was sie von Schlägereien, Mord bis zur skrupellosen Verdrängung der Konkurrenz auch gekonnt umsetzen. Sie tun alles dafür, dass das Viertel bald nur noch ihnen gehört...</t>
  </si>
  <si>
    <t>The Out-Laws</t>
  </si>
  <si>
    <t>tt11274492</t>
  </si>
  <si>
    <t>Adam Devine, Pierce Brosnan, Ellen Barkin</t>
  </si>
  <si>
    <t>Der erfolgreiche Bankangestellte Owen Browning (Adam Devine) fiebert der Hochzeit mit Parker (Nina Dobrev), der Liebe seines Lebens, entgegen. Die Schwiegereltern Billy und Lilly McDermott (Pierce Brosnan, Ellen Barkin) sind gerade in die Stadt gekommen und nun stehen die letzten Arbeitsstunden an. Als plötzlich die Bank von den berüchtigten Out-Laws Banditen überfallen wird, steht Owens Welt auf dem Kopf. Da sich daraufhin die Schwiegereltern seltsam verhalten, bekommt Owen einen schrecklichen Verdacht: Sind ausgerechnet seine Schwiegereltern in spe die legendären Verbrecher? Die aufkommenden Streitigkeiten zwischen den Brownings (Julie Hagerty, Richard Kind) und den McDermotts sorgen darüber hinaus für jede Menge Chaos, mit dem Owen fertig werden muss. Schließlich sollte das der schönste Tag in seinem Leben werden.</t>
  </si>
  <si>
    <t>The Paper Tigers</t>
  </si>
  <si>
    <t>tt6060444</t>
  </si>
  <si>
    <t>Yuji Okumoto, Roger Yuan, Jae Suh Park</t>
  </si>
  <si>
    <t>Längst vergessen sind die glorreichen Tage der "Three Tigers", von deren erstaunlichen Kung-Fu-Künsten einst die ganze Welt sprach. Scheidungsprobleme, Gelenkschmerzen und Übergewicht bestimmen mittlerweile den Alltag von Danny, Hing und Jim. Doch der Funke des Ehrenkodex erwacht wieder, als gemunkelt wird, dass ihr alter Master Cheung gar nicht an einem Herzanfall starb, sondern durch die sogenannte Poison-Fingers-Technik getötet wurde, die nur äußerst wenige im Kung-Fu-Olymp beherrschen. Wild entschlossen nehmen die Three Tigers ihren ganzen Mut zusammen und reaktivieren längst vergessene Muskelpartien, um den Mörder zur Strecke zu bringen.  Etwas sentimentale US-Actionkomödie ohne Stars, aber mit sympathischen Fguren.</t>
  </si>
  <si>
    <t>The Very Excellent Mr Dundee</t>
  </si>
  <si>
    <t>The Very Excellent Mr. Dundee</t>
  </si>
  <si>
    <t>tt8560172</t>
  </si>
  <si>
    <t>Paul Hogan, Dorothy Adams, Trudy Ager</t>
  </si>
  <si>
    <t>Paul Hogan spielt Paul Hogan: Einen alternden Hollywood-Star, der einfach nur seine Ruhe haben will. Doch wenn dir ständig jemand anbietet, einen neuen »Crocodile Dundee«-Film zu drehen oder dich doch endlich wahlweise um deine Familie, deine Freunde oder dein Image zu kümmern, ist es mit der Ruhe nicht so einfach! Zumal überall Fettnäpfchen lauern, in die Paul zielsicher hineintritt. Keine gute Ausgangsposition für eine bevorstehende Ehrung: Die Königin von England will ihn nämlich zum Ritter schlagen...</t>
  </si>
  <si>
    <t>Thelma – Rache war nie süßer</t>
  </si>
  <si>
    <t>To the Moon</t>
  </si>
  <si>
    <t>tt11372516</t>
  </si>
  <si>
    <t>Will Brill, Madeleine Morgenweck, Scott Friend</t>
  </si>
  <si>
    <t>To Wong Foo</t>
  </si>
  <si>
    <t>To Wong Foo, Thanks for Everything! Julie Newmar</t>
  </si>
  <si>
    <t>tt0114682</t>
  </si>
  <si>
    <t>Wesley Snipes, Patrick Swayze, John Leguizamo</t>
  </si>
  <si>
    <t>Vida Boheme und Noxeema Jackson nehmen an einem Drag-Queen-Wettbewerb teil, der sie direkt nach Hollywood zur Endausscheidung des Landes führen soll. Der erste Preis ist eine Flugreise in die Stadt der Träume. Die beiden gewinnen, aber noch bevor sie den Flughafen erreichen, lernen sie die verzweifelte Chi Chi Rodriguez kennen. Um sie mitnehmen zu können, tauschen sie das Flugticket gegen ein Auto ein. Auf ihrer Reise quer durch die USA müssen sie in einem Provinznest rasten, was die Rednecks in helle Aufregung versetzt.</t>
  </si>
  <si>
    <t>Toc Toc</t>
  </si>
  <si>
    <t>tt6060156</t>
  </si>
  <si>
    <t>Paco León, Alexandra Jiménez, Rossy de Palma</t>
  </si>
  <si>
    <t>Filmadaption des gleichnamigen Theaterstücks um eine Gruppe Patienten, die im Warteraum auf ihren Psychologen warten. Da er sich verspätet, müssen sie allein mit ihren Manien und Obsessionen auskommen...</t>
  </si>
  <si>
    <t>Totally Killer - Gefährliches Spiel mit der Zeit</t>
  </si>
  <si>
    <t>Totally Killer</t>
  </si>
  <si>
    <t>tt11426232</t>
  </si>
  <si>
    <t>Kiernan Shipka, Olivia Holt, Troy Leigh-Anne Johnson, Kelcey Mawema, Jonathan Potts</t>
  </si>
  <si>
    <t>Jamie hat zwar Mitleid mit ihrer Mutter Pam, kann deren alten Geschichten über einen Serienkiller, der vor 35 Jahren fast alle ihre Freunde abgeschlachtet hat, nicht mehr hören. Die Dinge ändern sich, als der sogenannte „Sweet Sixteen“-Killer plötzlich wieder da ist und nun Jamie und ihre Clique terrorisiert. Durch ein Zeitparadoxon reist Jamie auf der Flucht vor dem maskierten Mörder zurück ins Jahr 1987, wo sie mit den damaligen Ereignissen konfrontiert wird, ihr aber niemand Glauben schenkt. Ihre einzige Verbündete wird die Teenager-Version ihrer Mutter und gemeinsam versucht das ungewöhnliche Mutter-Tochter-Gespann, den Killer ein für alle Mal unschädlich zu machen.</t>
  </si>
  <si>
    <t>Triangle of Sadness</t>
  </si>
  <si>
    <t>tt7322224</t>
  </si>
  <si>
    <t>Thobias Thorwid, Harris Dickinson, Charlbi Dean</t>
  </si>
  <si>
    <t>Mit sorgsam inszenierten Instagramfotos nehmen die Models Carl und Yaya ihre Follower auf eine Reise durch ihre perfekte (Mode-)Welt mit – und zwar rund um die Uhr. Als das junge Paar die Einladung zu einer Luxuskreuzfahrt annimmt, treffen sie an Bord der Megayacht auf russische Oligarchen, skandinavische IT-Milliardäre, britische Waffenhändler, gelangweilte Ehefrauen und einen Kapitän, der im Alkoholrausch Marx zitiert. Zunächst verläuft der Törn zwischen Sonnenbaden, Smalltalk und Champagnerfrühstück absolut selfietauglich. Doch während des Captain’s Dinners zieht ein Sturm auf und das Paar findet sich auf einer einsamen Insel wieder, zusammen mit einer Gruppe von Milliardären und einer Reinigungskraft des Schiffes. Plötzlich ist die Hierarchie auf den Kopf gestellt, denn die Reinigungskraft ist die Einzige, die Feuer machen und fischen kann.</t>
  </si>
  <si>
    <t>Triple Trouble</t>
  </si>
  <si>
    <t>tt0007476</t>
  </si>
  <si>
    <t>Charles Chaplin, Edna Purviance, Billy Armstrong</t>
  </si>
  <si>
    <t>Während Colonel Nutt mit Sprengstoff experimentiert, tritt ein neuer Hausmeister in seinen Haushalt ein. Der ungeschickte Hausmeister macht dem restlichen Personal das Leben schwer.</t>
  </si>
  <si>
    <t>Tuesday</t>
  </si>
  <si>
    <t>tt14682800</t>
  </si>
  <si>
    <t>Julia Louis-Dreyfus, Lola Petticrew, Leah Harvey</t>
  </si>
  <si>
    <t>Tuesday ist ein sterbender Teenager. Sie möchte sich ihrer Mutter Zora annähern und freundet sich mit "Death" an, dem buchstäblichen Tod, der auf der Erde den Körper eines Papageis angenommen hat. Tuesday hofft, dass ihr neuer Freund ihr ihren letzten Wunsch erfüllt.</t>
  </si>
  <si>
    <t>Und dann kam Dad</t>
  </si>
  <si>
    <t>About My Father</t>
  </si>
  <si>
    <t>tt8373206</t>
  </si>
  <si>
    <t>Sebastian Maniscalco, Robert De Niro, Leslie Bibb, Anders Holm, David Rasche</t>
  </si>
  <si>
    <t>Sebastian wird von der superreichen und exzentrischen Familie seiner Freundin Ellie zum standesgemäßen Familienwochenende eingeladen. Allerdings ausgerechnet über den Feiertag, den er normalerweise mit seinem Vater Salvo verbringt. Da schlägt Ellie kurzerhand vor, ihn einfach mitzunehmen. Doch Salvo ist das absolute Gegenteil von Ellies Familie: ein traditionsbewusster, italienischer Immigrant, der sein Geld nicht ohne Stolz als Friseur verdient. Und so prallen zwei Welten aufeinander, wie sie unterschiedlicher nicht sein könnten. Dies führt zu reichlich Chaos und Sebastian und seinen Vater Salvo am Ende zur Erkenntnis, dass das Beste an Familie schlichtweg ALLES ist.</t>
  </si>
  <si>
    <t>Undercover Blues- Ein absolut cooles Trio</t>
  </si>
  <si>
    <t>Undercover Grandpa</t>
  </si>
  <si>
    <t>tt3891538</t>
  </si>
  <si>
    <t>Dylan Everett, James Caan, Greta Onieogou</t>
  </si>
  <si>
    <t>Jake Bouchard ist ein schüchterner Teenager, der endlich ein Date mit seinem Schwarm, der wunderschonen Angie bekommen hat. Doch leider hält Jakes' Glückssträhne nicht lange an: Ausgerechnet jetzt wird Angie unter mysteriösen Umständen gekidnappt. In seiner Verzweiflung wendet sich der siebzehnjährige Jake an seinen Großvater, der ein wohlgehütetes Geheimnis lüftet; während des zweiten Weltkriegs war der jetzige Veteran Teil einer ganz besonderen Einheit namens „The Devil’s Scum“. Der Großvater trommelt seine alte Truppe kurzerhand wieder zusammen, um bei der Suche nach dem jungen Mädchen zu helfen. Ob die in die Jahre gekommenen Soldaten der Entführung auf die Spur kommen?</t>
  </si>
  <si>
    <t>Unterwegs mit Jacqueline</t>
  </si>
  <si>
    <t>La Vache</t>
  </si>
  <si>
    <t>tt4505208</t>
  </si>
  <si>
    <t>Fatsah Bouyahmed, Lambert Wilson, Jamel Debbouze, Julia Piaton, Hajar Masdouki</t>
  </si>
  <si>
    <t>Fatah ist ein glücklich verheirateter Familienvater, der in einem kleinen Dorf in Algerien lebt. Der größte Reichtum, den er besitzt, ist seine Kuh Jacqueline. Er träumt davon, mit ihr in Paris an einem Wettbewerb teilzunehmen – und bekommt tatsächlich eine Einladung. Somit geht es für Fatah auf eine Wanderung von seiner Heimat über Marseille bis nach Paris, die natürlich nicht ohne Stolpersteine bleibt: In Marseille trifft Fatah seinen Schwager Hassan, der ihm eigentlich den weiteren Weg in die französische Hauptstadt weisen sollte – doch Hassan ist über Fatahs Überraschungsbesuch gar nicht erfreut, weil er sein Geheimnis in Gefahr sieht, mit einer Französin eine Familie zu haben. Also reist der unerwünschte Gast alleine weiter, macht die Bekanntschaft des freundlichen Adeligen Philippe und hat bald Ärger mit seiner zuhausegebliebenen Frau Naïma, weil im Suff gemachte Kussfotos versehentlich in der Heimat landen. War der Trip ein Fehler?</t>
  </si>
  <si>
    <t>Urlaubsreif</t>
  </si>
  <si>
    <t>Blended</t>
  </si>
  <si>
    <t>tt1086772</t>
  </si>
  <si>
    <t>Adam Sandler, Drew Barrymore, Kevin Nealon, Terry Crews, Wendi McLendon-Covey</t>
  </si>
  <si>
    <t>Lauren und Jim treffen sich zu einem romantischen Blind Date. Beide sind Single und haben neben gescheiterten Partnerschaften auch Kinder im Gepäck. Leider verläuft das Date katastrophal; sie entschließen sich, einander niemals wiederzusehen. Aufgrund einer Verwechslung der Kreditkarten im Restaurant muss Jim jedoch kurze Zeit später doch bei Lauren vorbeischauen. Dort erfahren beide, dass Laurens Schwester von ihrem Freund verlassen wurde und der gemeinsame Afrikaurlaub somit ins Wasser fällt. Wie der Zufall es will, ist dieser Freund Jims Boss. Jim beschließt, ihm die Reise nach Afrika abzukaufen - Lauren kommt auf die gleiche Idee und fliegt anstelle ihrer Schwester in den Urlaub. Im Resort treffen die beiden Familien dann aufeinander. Dabei stellen Jim und Lauren fest, dass sie mehr füreinander empfinden, als ihnen vorher klar war…</t>
  </si>
  <si>
    <t>Verrückt nach Steve</t>
  </si>
  <si>
    <t>All About Steve</t>
  </si>
  <si>
    <t>Bradley Cooper, Sandra Bullock, Thomas Haden Church, Ken Jeong, Katy Mixon</t>
  </si>
  <si>
    <t>Mary Horowitz ist exzentrisch und schrill - und arbeitet als Kreuzworträtsel-Autorin bei einer Tageszeitung. Als ihre Eltern ihr ein Blind Date organisieren, verliebt sie sich Hals über Kopf in den coolen Kameramann Steve, der jedoch schnell genervt ist und die Flucht ergreift. Mary lässt jedoch nicht locker und heftet sich an seine Fersen. Angestachelt wird sie dabei vom selbstverliebten Nachrichtenreporter Hartman Hughes, der mit Steve zusammenarbeitet und ihm nur zu gern das Leben schwer macht...</t>
  </si>
  <si>
    <t>Versprochen ist versprochen</t>
  </si>
  <si>
    <t>Versprochen Ist Versprochen</t>
  </si>
  <si>
    <t>Jarno Mindner, Esther Theisen, Lilli, Malte Wolters, Tobias Bartram</t>
  </si>
  <si>
    <t>Howard Langston ist ständig mit seiner Arbeit beschäftigt und enttäuscht damit seinen Sohn. Nachdem er die Karatevorführung seines Sohnes verpasst hat, schwört Howard, dies wiedergutzumachen, indem er ihm zu Weihnachten eine Actionfigur seines Lieblingsfernsehhelden kauft. Leider ist es Heiligabend, und der Turboman ist in allen Geschäften ausverkauft. Nun muss Howard kreuz und quer durch die ganze Stadt reisen und sich mit allen anderen messen, um eine Turbo Man-Actionfigur zu finden.</t>
  </si>
  <si>
    <t>Vielleicht, vielleicht auch nicht</t>
  </si>
  <si>
    <t>Vorbilder!</t>
  </si>
  <si>
    <t>Große Vorbilder der Weltgeschichte - Captain Cartridge</t>
  </si>
  <si>
    <t>tt3323408</t>
  </si>
  <si>
    <t>Thomas Fache, Manuel Francescon, Ole Franz</t>
  </si>
  <si>
    <t>Danny und Wheeler arbeiten als Promoter für Energydrinks, Danny bereits seit 10 Jahren, was ihm prompt eine Lebenskrise beschwert. Diese kostet ihn nicht nur seine Freundin Beth, sondern provoziert ihn auch dazu das Firmenauto in Wheelers Beisein zu schrotten. Die beiden werden vor die Wahl gestellt: 30 Tage Gefängnis oder 150 Sozialstunden bei Sturdy Wings. Diese Organisation teilt Erwachsene zur Betreuung von Kindern einteilt. Danny muss den Live-Rollenspieler Augie betreuen, Wheeler den vorlauten, frühreifen Ronnie. Allerdings stellt sich die Frage, ob Menschenhasser Danny und Chaot Wheeler überhaupt die besten Vorbilder sind...</t>
  </si>
  <si>
    <t>Was glücklich macht</t>
  </si>
  <si>
    <t>tt1285017</t>
  </si>
  <si>
    <t>Peter Sattmann, Jutta Speidel, Cornelia Schmaus</t>
  </si>
  <si>
    <t>Viele Jahre lang war Peter als Bauleiter in der ganzen Welt unterwegs. Nun tritt er in den Vorruhestand, eine Zeit, die er nutzen will, um einen Roman zu schreiben und mit seiner Frau Charlotte zu reisen. Sehr schnell aber ist der charmante Machertyp mit der neuen Lebenssituation überfordert: Charlotte, die noch immer erfolgreich im Berufsleben steht, hat kaum Zeit; mit seinem Roman kommt er auch nicht voran und überhaupt fällt ihm zu Hause die Decke auf den Kopf.</t>
  </si>
  <si>
    <t>Was ist schon normal</t>
  </si>
  <si>
    <t>Un p'tit truc en plus</t>
  </si>
  <si>
    <t>tt30795948</t>
  </si>
  <si>
    <t>Artus, Clovis Cornillac, Alice Belaïdi, Marc Riso, Céline Groussard</t>
  </si>
  <si>
    <t>Nach einem Raubüberfall flüchten Paulo und sein Vater vor der Polizei und finden ausgerechnet Unterschlupf in einem Reisebus, der junge Erwachsene mit Behinderung an ihren Urlaubsort in die Berge bringen soll. Paulo und sein Vater geben sich kurzerhand als der fehlende Mitreisende Sylvain und dessen Betreuer aus – eine fast perfekte Tarnung. Mit der Flucht vor der Polizei beginnt ein außergewöhnliches Abenteuer, das alle Beteiligten vor ungeahnte Herausforderungen stellt - jede Menge Spaß, neue Freundschaften und viel Herz inklusive.</t>
  </si>
  <si>
    <t>Weihnachtsjagd- Das Fest der Spiele</t>
  </si>
  <si>
    <t>8-Bit Christmas</t>
  </si>
  <si>
    <t>tt11540284</t>
  </si>
  <si>
    <t>Neil Patrick Harris, Winslow Fegley, Steve Zahn, June Diane Raphael, Bellaluna Resnick</t>
  </si>
  <si>
    <t>Der Weihnachtswunsch des neunjährigen Nintendo-Fans Jake Doyle stößt bei seinen Eltern auf taube Ohren. Nicht nur ihm soll das begehrte Nintendo Entertainment System verweigert werden, sondern Eltern aus ganz Chicago boykottieren die Spielkonsole, nachdem es einen unschönen Vorfall gab, bei dem ein aufgedrehter Hund von einem Bildschirm zerquetscht wurde. Jake kann das so nicht hinnehmen und beschließt, die Sache selbst in die Hand zu nehmen. Doch schon bald läuft die Sache völlig aus dem Ruder.</t>
  </si>
  <si>
    <t>Welcome to the Jungle</t>
  </si>
  <si>
    <t>tt2193265</t>
  </si>
  <si>
    <t>Jean-Claude Van Damme, Adam Brody, Rob Huebel</t>
  </si>
  <si>
    <t>"Teambuilding" - da kriegt Agenturchef Crawford leuchtende Augen. Und deshalb schickt er seine einfallslosen Leute, die sich allenfalls in Zickenkriegen ermüden, auf eine einsame Insel. Dort sollen sie unter Führung des knallharten Militaryman Stone zu einem echten Team zusammenwachsen. Doch aus der trendigen Incentivereise wird der Ernstfall, als der Pilot stirbt und auch Stone verschwindet. Ganz auf sich allein gestellt fallen bei den Großstädtern bald sämtliche zivilisatorischen Hemmungen und Hüllen. Nur der schüchterne Chris sucht mit drei Kollegen ernsthaft einen Ausweg, während Büroekel Phil sich zum Inselkönig ausrufen läßt und seine Untertanen mit halluzinogenen Pflanzen und Gruppensex bei Laune hält ...</t>
  </si>
  <si>
    <t>Wenn Liebe so einfach wäre</t>
  </si>
  <si>
    <t>It's Complicated</t>
  </si>
  <si>
    <t>tt1230414</t>
  </si>
  <si>
    <t>Meryl Streep, Alec Baldwin, Steve Martin, John Krasinski, Caitlin FitzGerald</t>
  </si>
  <si>
    <t>Die Bäckerin und Koch-Akrobatin Jane Adler führt ein sauberes Single-Leben in Santa Barbara. Nach einem tête-à-tête mit ihrem Ex-Mann Jake gerät der bürgerliche Alltag jedoch gehörig durcheinander. Der alternde Anwalt hat die Nase voll von seiner neuen Flamme Agness, auf Kinder mit der nörgeligen Dame kann er gut verzichten. Der überraschende Rückfall des Ex-Ehepaares wächst zur Affäre aus, die vorerst selbst ihren Kindern verschwiegen wird. Zu allem Überfluss betritt dann auch noch Innenarchitekt Adam die Bühne und macht Jane schöne Augen. Als der Schwiegersohn in spe Wind von der elterlichen Revue bekommt, ist das Beziehungsgeflecht längst zum babylonischen Wirrwarr geworden...</t>
  </si>
  <si>
    <t>Wer ist Daddy</t>
  </si>
  <si>
    <t>Father Figures</t>
  </si>
  <si>
    <t>tt1966359</t>
  </si>
  <si>
    <t>Owen Wilson, Ed Helms, J.K. Simmons, Katt Williams, Terry Bradshaw</t>
  </si>
  <si>
    <t>Das eher ungleiche Zwillingsbruder-Paar Kyle und Peter muss mit großem Schrecken feststellen, dass ihre Mutter sie jahrelang belogen hat, was ihren leiblichen Vater angeht: Eigentlich dachten die beiden, dass dieser schon lange tot sei, doch nun erfahren sie auf einmal, dass ihr Vater noch immer am Leben ist. Es gibt jedoch ein Problem bei der Sache: Weder ihre Mutter noch die Brüder wissen, welcher der zahlreichen verflossenen Liebhaber ihrer Mutter denn nun ihr Vater ist, denn theoretisch kämen dafür eine ganze Menge Männer in Frage. Deshalb begeben sich Kyle und Peter kurzentschlossen auf einen Road-Trip quer durch die Vereinigten Staaten, um die potentiellen Väter abzuklappern und herauszufinden, bei welchem von ihnen es sich um ihren wahren Erzeuger handelt.</t>
  </si>
  <si>
    <t>Wer tötete Victor Fox</t>
  </si>
  <si>
    <t>Unconditional Love</t>
  </si>
  <si>
    <t>tt0219374</t>
  </si>
  <si>
    <t>Kathy Bates, Rupert Everett, Meredith Eaton, Lynn Redgrave, Dan Aykroyd</t>
  </si>
  <si>
    <t>Schlagerstar Victor Fox fällt in Chicago dem Mordanschlag eines geheimnisvollen Serienkillers zum Opfer. Mindestens ebenso betroffen von dieser Tat wie von den Scheidungsabsichten ihres Mannes reist die nunmehr etwas verstörte Hausfrau Grace nach England, um an der Beerdigung ihres Idols teilzunehmen. Dort gewinnt sie überraschend die Freundschaft von Victors homosexuellem Lebensgefährten Dirk und unterstützt diesen tatkräftig beim Versuch, a) Victors Erbe anzutreten zu dürfen und b) den Mörder zu finden.</t>
  </si>
  <si>
    <t>Wie beim ersten Mal</t>
  </si>
  <si>
    <t>Knocked Up</t>
  </si>
  <si>
    <t>tt0478311</t>
  </si>
  <si>
    <t>Seth Rogen, Katherine Heigl, Paul Rudd, Leslie Mann, Jason Segel</t>
  </si>
  <si>
    <t>Die erfolgreiche und hübsche Alison landet nach einem Barbesuch im Bett des arbeitslosen Slackers Ben, der gerade eine Webseite mit Promi-Nacktszenen starten will. Das Ergebnis des One-Night-Stands erfährt sie acht Wochen später: Sie ist schwanger, entscheidet sich für das Kind und setzt sich mit Ben in Verbindung, der aus allen Wolken fällt. Schließlich versuchen es beide dem Baby zuliebe mit einer Beziehung, und die Probleme beginnen.</t>
  </si>
  <si>
    <t>Wie ein einziger Tag</t>
  </si>
  <si>
    <t>The Notebook</t>
  </si>
  <si>
    <t>tt0332280</t>
  </si>
  <si>
    <t>Ryan Gosling, Rachel McAdams, Gena Rowlands, James Garner, Joan Allen</t>
  </si>
  <si>
    <t>Ein Mann liest in einem Pflegeheim einer unter Alzheimer leidenden Frau Geschichten aus einem alten Notizbuch vor. Diese erzählen von der Liebe zwischen Noah und Allie, Teenager unterschiedlicher Herkunft, die sich um 1940 in einem Küstenstädtchen in North Carolina kennen lernen, durch den Zweiten Weltkrieg getrennt werden, doch in der Überzeugung, füreinander bestimmt zu sein, schließlich wieder in die Heimat zurückkehren. Doch zunächst hat das Schicksal getrennte Wege für sie vorgesehen.</t>
  </si>
  <si>
    <t>Wild Target – Sein schärfstes Ziel</t>
  </si>
  <si>
    <t>Wild Target</t>
  </si>
  <si>
    <t>tt1235189</t>
  </si>
  <si>
    <t>Bill Nighy, Emily Blunt, Rupert Grint, Rupert Everett, Eileen Atkins</t>
  </si>
  <si>
    <t>Der äußerlich unauffällige, stets gepflegte und konzentrierte Junggeselle Victor Maynard gilt als unerreichter Meister in der Zunft der Auftragsmörder. Nun jedoch könnte er zum ersten Mal in seiner langen Karriere versagen, bringt er es doch nicht übers Herz, eine zur Vernichtung erkorene junge Kunstfälscherin um die Ecke zu bringen. Ja, anstatt sie zu töten, gewährt er ihr sogar Asyl und beschützt sie vor den zweitbesten Killern, die ihnen sein erboster Auftraggeber hinterher hetzt. Wie gut, dass ihn wenigstens ein frisch zugelaufener jugendlicher Lehrling unterstützt.</t>
  </si>
  <si>
    <t>Willkommen in Marwen</t>
  </si>
  <si>
    <t>Welcome to Marwen</t>
  </si>
  <si>
    <t>tt3289724</t>
  </si>
  <si>
    <t>Steve Carell, Leslie Mann, Merritt Wever, Janelle Monáe, Diane Kruger</t>
  </si>
  <si>
    <t>Nachdem der talentierte Maler Mark Hogancamp von fünf Hooligans verprügelt wurde, liegt er tagelang im Koma. Als er wiedererwacht, muss er nicht nur das Essen, Gehen oder Schreiben wieder lernen, darüber hinaus hat er auch keinerlei Erinnerung mehr an sein Leben vor dem folgenschweren Zwischenfall. Es ist nichts mehr so, wie es einmal war. Um mit seinem Trauma umzugehen, entwickelt er schließlich eine ganz eigene Form der Therapie: Er baut in seinem Garten ein Modell eines belgischen Dorfes aus der Zeit des Zweiten Weltkriegs nach, in dessen Welt er sich von nun an regelmäßig flüchtet. Darüber hinaus entwirft er auch zahlreiche Figuren, Puppen, die auf vertrauten Menschen aus Marks Leben basieren und das Dorf bewohnen. Gemeinsam mit ihnen erlebt er jede Menge wilde Abenteuer; doch je weiter er in die Welt seines Fantasiedorfs „Marwen“ eintaucht, desto mehr entfernt er sich von der Realität.</t>
  </si>
  <si>
    <t>Winn-Dixie – Mein zotteliger Freund</t>
  </si>
  <si>
    <t>Because of Winn-Dixie</t>
  </si>
  <si>
    <t>tt0317132</t>
  </si>
  <si>
    <t>Jeff Daniels, AnnaSophia Robb, Cicely Tyson, Eva Marie Saint, Dave Matthews</t>
  </si>
  <si>
    <t>Als die kleine Opal gemeinsam mit ihrem Vater in ein Vorstädtchen nach Florida zieht, hätte sie niemals gedacht, dass dieser Sommer ihr Leben von Grund auf verändern wird: Durch ihre Freundschaft mit dem treuen Hund Winn-Dixie gelingt es ihr nicht nur, die Bewohner für sich zu gewinnen, sondern auch die Banden mit ihrem Vater zu erneuern...</t>
  </si>
  <si>
    <t>With Love</t>
  </si>
  <si>
    <t>From Russia with Love</t>
  </si>
  <si>
    <t>tt0057076</t>
  </si>
  <si>
    <t>Emeraude Toubia, Mark Indelicato, Isis King</t>
  </si>
  <si>
    <t>James Bond soll in Istanbul eine russische Dechiffriermaschine von einer übergelaufenen Agentin erhalten. Das verlockende Angebot entpuppt sich jedoch als tödliche Falle.</t>
  </si>
  <si>
    <t>Wo die Lüge hinfällt</t>
  </si>
  <si>
    <t>Anyone But You</t>
  </si>
  <si>
    <t>tt26047818</t>
  </si>
  <si>
    <t>Sydney Sweeney, Glen Powell, Mia Artemis, Nat Buchanan, GaTa</t>
  </si>
  <si>
    <t>Bea und Ben wirken wie das perfekte Paar. Aber nach einem tollen ersten Date geschieht etwas, das ihre glühend heiße Anziehungskraft zu Eis erstarren lässt. Doch dann treffen sie unerwartet wieder aufeinander, als beide an einer Hochzeit in Australien teilnehmen. Also tun sie, was jeder reife Erwachsene tun würde – sie geben vor, ein Paar zu sein.</t>
  </si>
  <si>
    <t>Wochenendrebellen</t>
  </si>
  <si>
    <t>tt15740596</t>
  </si>
  <si>
    <t>Florian David Fitz, Aylin Tezel, Cecilio Andresen, Joachim Król, Petra-Maria Cammin</t>
  </si>
  <si>
    <t>Mirco lässt sich von seinem zehnjährigen Sohn Jason das Versprechen abringen einen Lieblingsfußballverein zu finden. Jason ist Asperger-Autist und seine Entscheidungskriterien speziell. Er will alle Vereine der 1., 2. und 3. Liga live im Stadion sehen, bevor er sich entscheidet.</t>
  </si>
  <si>
    <t>Woher weißt du, dass es Liebe ist</t>
  </si>
  <si>
    <t>How Do You Know</t>
  </si>
  <si>
    <t>tt1341188</t>
  </si>
  <si>
    <t>Reese Witherspoon, Paul Rudd, Owen Wilson, Jack Nicholson, Kathryn Hahn</t>
  </si>
  <si>
    <t>Profisportlerin Lisa Jorgensen wird wegen ihres Alters von 27 Jahren aus ihrem Softballteam ausgeschlossen, was sie in Selbstzweifel stürzt. Dafür ergeben sich neue romantische Optionen: Bei einem Blind Date lernt sie den jungen, ein wenig neurotischen Geschäftsmann George kennen, der wegen unlauterer Praktiken vom FBI verfolgt wird und heftig um sie wirbt. Doch sie interessiert sich eigentlich mehr für den charmanten Baseballspieler Matty, auch wenn der ein selbstverliebter Playboy ist.</t>
  </si>
  <si>
    <t>Wonder Woman 1984</t>
  </si>
  <si>
    <t>Action, Adventure, Fantasy</t>
  </si>
  <si>
    <t>tt7126948</t>
  </si>
  <si>
    <t>Gal Gadot, Chris Pine, Kristen Wiig</t>
  </si>
  <si>
    <t>Diana Prince wird während des Kalten Krieges in den 1980ern in einen Konflikt mit der Sowjetunion verwickelt und trifft dabei auf eine ebenbürtige Gegenspielerin namens Cheetah.</t>
  </si>
  <si>
    <t>Young Adult</t>
  </si>
  <si>
    <t>tt1625346</t>
  </si>
  <si>
    <t>Charlize Theron, Patrick Wilson, Patton Oswalt</t>
  </si>
  <si>
    <t>Einst war Mavis Gary das begehrteste Mädchen der gesamten Highschool. Die attraktivsten Jungs waren verrückt nach ihr, die Welt stand ihr offen. Jetzt ist sie 37 Jahre alt. Und steht vor einem Trümmerhaufen: Sie ist frisch geschieden, die Jugendbuchreihe, die sie als Ghostwriterin verfasst, soll eingestellt werden, sie trinkt eindeutig zu viel, das Leben zieht an ihr vorbei. Bis sie erfährt, dass Buddy Slade, ihre große Jugendliebe von damals, Vater geworden ist. Mavis weiß, was sie zu tun hat: Sie will ihn aus seinem spießigen Familienleben befreien und endlich an seiner Seite das Leben mit ihm leben, das sie sich immer erträumt hat. Doch die Rückkehr in ihre Vergangenheit erweist sich als viel schwieriger als gedacht...</t>
  </si>
  <si>
    <t>Zehn Tage ohne Mama</t>
  </si>
  <si>
    <t>10 jours sans maman</t>
  </si>
  <si>
    <t>tt10251538</t>
  </si>
  <si>
    <t>Franck Dubosc, Aure Atika, Alice David, Alexis Michalik, Héléna Noguerra</t>
  </si>
  <si>
    <t>Antoine und Isabelle haben zusammen vier Kinder. Während Antoine vollkommen für seinen Job lebt, widmet sich Isabelle ganz der Familie. Als die gestresste Vollzeit-Mutter beschließt, sich auch mal um sich selbst zu kümmern, muss Antoine übernehmen - und ist restlos überfordert. Das entstehende Chaos hält für Antoine und die Kinder aber auch eine Chance bereit: sich einmal richtig kennenzulernen.</t>
  </si>
  <si>
    <t>Ziemlich dickste Freundinnen</t>
  </si>
  <si>
    <t>Mince alors !</t>
  </si>
  <si>
    <t>tt2210823</t>
  </si>
  <si>
    <t>Victoria Abril, Lola Dewaere, Catherine Hosmalin, Grégory Fitoussi, Mehdi Nebbou</t>
  </si>
  <si>
    <t>Nina ist hübsch, jung und etwas kräftig. Sie betreibt gemeinsam mit ihrem Ehemann Gaspard eine Pariser Boutique für Bademode. Doch nicht nur die Pariser scheinen Kleidergröße „Size Zero“ zu präferieren, auch Gaspard würde seine Frau gern schlanker sehen und "beglückt" sie zum Geburtstag mit einem Gutschein für eine Schlankheitskur im Wellnesscenter. Ninas anfängliche Enttäuschung über das originelle Geschenk verfliegt schnell, denn eigentlich möchte auch sie gern ihre Pölsterchen verlieren. Vor Ort angekommen trifft Nina auf die sexuell frustrierte Hausfrau Emile und die Anwältin Sophie, die sich konsequent weigert zu altern. Beide haben ähnliche Probleme wie Nina und finden sich Jahr für Jahr im Wellnesscenter ein. Schnell freunden sich die Frauen an und entdecken gemeinsam, dass man nur glücklich sein kann, wenn man sich so akzeptiert, wie man ist…</t>
  </si>
  <si>
    <t>Zum Teufel mit den Millionen</t>
  </si>
  <si>
    <t>For Richer or Poorer</t>
  </si>
  <si>
    <t>tt0119142</t>
  </si>
  <si>
    <t>Tim Allen, Kirstie Alley, Wayne Knight, Larry Miller, Jay O. Sanders</t>
  </si>
  <si>
    <t>Brad und Caroline Sexton sind ein verheiratetes New Yorker Uptown Pärchen - superschön, superreich und superhappy. Hinter der Superfassade jedoch kriselt es gewaltig. Ehe-Tief und Karriere-Frust passen eindeutig nicht zum Image. Als Sie eines Tages auch noch feststellen müssen, daß ihr Buchhalter konsequent in seine eigene Tasche gewirtschaftet hat und sie dem Staat nun drei Milionen Dollar schulden, beschließen die beiden unterzutauchen. Eine Flucht, die sie zwingt bei der Amish-Sekte, wo sie sich als lange verloren geglaubte Verwandte ausgeben, zu versteckten. Ab sofort sind die beiden Juppies gezwungen den Lebenstil der Amish zu imitieren. Mit Luxus ist es dort nicht weit her, dafür aber mit der Moral. Das überraschende Resultat: Brad und Caroline finden heraus, daß es wirklich wichtigere Dinge im Leben gibt als Geld...</t>
  </si>
  <si>
    <t>Zwei Chaoten auf dem Campus</t>
  </si>
  <si>
    <t>PCU</t>
  </si>
  <si>
    <t>tt0110759</t>
  </si>
  <si>
    <t>Jeremy Piven, Chris Young, David Spade, Megan Ward, Sarah Trigger</t>
  </si>
  <si>
    <t>Der adrette Erstsemester Tom Lawrence besucht die PCU (Port Chester University), ein College, an dem Burschenschaften verboten sind und die politische Korrektheit auf dem Campus überhandnimmt. Während seines Besuchs schafft es der zu Unfällen neigende Tom, sich mit fast jeder Gruppe von Studenten Feinde zu machen, und so verbringt er einen Großteil seines Besuchs damit, dem wachsenden Mob zu entkommen, der sich über ihn aufregt.</t>
  </si>
  <si>
    <t>Zwei dicke Freunde</t>
  </si>
  <si>
    <t>Best Friends</t>
  </si>
  <si>
    <t>tt0083641</t>
  </si>
  <si>
    <t>Burt Reynolds, Goldie Hawn, Jessica Tandy, Barnard Hughes, Audra Lindley</t>
  </si>
  <si>
    <t>Alles war bestens: Richard Babson und Paula McCullen, zwei talentierte Drehbuchautoren, teilten Arbeit, Haus und Bett miteinander. Doch dann kam das folgenschwere gemeinsame Duschbad und Richard in einem Überschwang der Gefühle die Idee, das Glück mit Ringen offiziell zu besiegeln. Als die beiden besten Freunde von einst von Hochzeitsreise und Goodwill -Tour bei Eltern und Verwandten zurückkommen, sind sie das, was man gemeinhin mit “geschiedenen Leuten” bezeichnet.</t>
  </si>
  <si>
    <t>Zwei mal Zwei - Big Business</t>
  </si>
  <si>
    <t>Big Business</t>
  </si>
  <si>
    <t>tt0094739</t>
  </si>
  <si>
    <t>Bette Midler, Lily Tomlin, Fred Ward, Edward Herrmann, Michele Placido</t>
  </si>
  <si>
    <t>Die ungleichen Zwillinge Sadie und Rose leiten in New York einen mächtigen Industriekonzern. Sie ahnen nicht, daß sie in einem abgelegenen Südstaaten Nest Doppelgänger haben: Sadie 2 und Rose 2! Zum großen Knall kommts als sich High-Society-Miezen und Landpomeranzen plötzlich gegenüberstehen. Alles gerät durcheinander, selbst die Ehemänner können ihre Frauen nicht mehr auseinanderhalten - und das kann peinlich werden...</t>
  </si>
  <si>
    <t>A Week In Paradise</t>
  </si>
  <si>
    <t>A Week in Paradise</t>
  </si>
  <si>
    <t>tt14799960</t>
  </si>
  <si>
    <t>Malin Åkerman, Connie Nielsen, Philip Winchester, Jack Donnelly, William Nadylam</t>
  </si>
  <si>
    <t>Die berühmte Schauspielerin Maggie führt ein Traumleben. Bis sie über die Medien erfahren muss, dass ihr Ehemann sie mit einem jüngeren Filmstar betrügt. Die beiden erwarten sogar ein Kind. Maggie flieht zu ihrer Cousine, die ein charmantes Hotel in der Karibik betreibt. Dort findet sie zu sich selbst und lernt den sympathischen Koch Sam kennen - und lieben. Bis ihr Mann plötzlich vor ihr steht.</t>
  </si>
  <si>
    <t>Als du mich sahst</t>
  </si>
  <si>
    <t>The Idea of You</t>
  </si>
  <si>
    <t>tt9466114</t>
  </si>
  <si>
    <t>Anne Hathaway, Nicholas Galitzine, Ella Rubin, Annie Mumolo, Reid Scott</t>
  </si>
  <si>
    <t>Solène, eine 40-jährige alleinerziehende Mutter, begleitet ihre 16-jährige Tochter zu einem Konzert der Boyband August Moon beim Coachella Music Festival. Zufällig lernt sie dort den 24-jährigen Leadsänger Hayes Campbell kennen. Sofort sprühen zwischen den beiden die Funken und sie beginnen eine Romanze.</t>
  </si>
  <si>
    <t>An deiner Schulter</t>
  </si>
  <si>
    <t>The Upside of Anger</t>
  </si>
  <si>
    <t>United States, Germany, United Kingdom</t>
  </si>
  <si>
    <t>tt0365885</t>
  </si>
  <si>
    <t>Joan Allen, Kevin Costner, Erika Christensen, Keri Russell, Alicia Witt</t>
  </si>
  <si>
    <t>Eigentlich könnte Terry Wolfinger mit ihren vier fast erwachsenen Töchtern im luxuriösen Eigenheim einer Vorstadtsiedlung ein beschauliches Leben führen. Doch seit der Vater und Ehemann vor vier Jahren mit der Sekretärin nach Schweden durchgebrannt ist, ertränkt sie ihren Kummer in Alkohol. Das bekommen auch die Töchter zu spüren, die mit Affären, Schwangerschaft, Liebeskummer und Krankheiten schon selbst genug Probleme haben. Da taucht plötzlich Nachbar Denny auf und leistet Terry bei ihren Zechgelagen Gesellschaft.</t>
  </si>
  <si>
    <t>Ariane – Liebe am Nachmittag</t>
  </si>
  <si>
    <t>Love in the Afternoon</t>
  </si>
  <si>
    <t>tt0050658</t>
  </si>
  <si>
    <t>Gary Cooper, Audrey Hepburn, Maurice Chevalier, John McGiver, Van Doude</t>
  </si>
  <si>
    <t>Monsieur X engagiert einen Privatdetektiv, um herauszufinden, mit wem seine Frau ihn betrügt. Als der Detektiv die Frau in den Armen des millionenschweren Playboys Frank Flannagan ertappt, informiert er ihren erwartungsgemäß wütenden Ehemann, der sofort ankündigt, den Ehebrecher zu töten. Ariane, Tochter des Privatermittlers, wird Ohrenzeugin des Gesprächs und warnt Flannagan vor dem wütenden Gatten, womit eine Reihe von nachmittäglichen Treffen zwischen ihr und dem Playboy beginnt...</t>
  </si>
  <si>
    <t>Book of Love</t>
  </si>
  <si>
    <t>United Kingdom, United States, Mexico</t>
  </si>
  <si>
    <t>tt14014068</t>
  </si>
  <si>
    <t>Sam Claflin, Verónica Echegui, Antonia Clarke, Horacio García Rojas, Melissa Pino</t>
  </si>
  <si>
    <t>Der Roman des jungen und verklemmten englischen Schriftstellers Henry (Sam Claflin) verkauft sich einfach nicht – bis das Buch plötzlich ein Überraschungserfolg in Mexiko wird. Deswegen besteht sein Publizist darauf, dass er zu einer Werbetour dorthin reist, um den Verkauf noch weiter anzukurbeln. Dort angekommen, entdeckt der verwirrte Henry den Grund für die Popularität seines Romans: Die mexikanische Übersetzerin Maria (Verónica Echegui) hat sein langweiliges Buch in einen erotischen Roman umgeschrieben. Der wütende Henry und die nur widerwillig den Begleiter akzeptierende Maria müssen nun gemeinsam auf eine Lesereise durch Mexiko gehen. Die Gegensätze ziehen sich an, während sie gemeinsam durch Mexiko reisen.</t>
  </si>
  <si>
    <t>Das hält kein Jahr ...!</t>
  </si>
  <si>
    <t>I Give It a Year</t>
  </si>
  <si>
    <t>tt2244901</t>
  </si>
  <si>
    <t>Rose Byrne, Rafe Spall, Simon Baker, Anna Faris, Stephen Merchant</t>
  </si>
  <si>
    <t>Ein Blick genügt und es ist klar: Nat und Josh gehören zusammen – Hals über Kopf stürzen sie sich in die Ehe. Doch bei der Trauung bleibt dann nicht nur dem Pfarrer das „Hiermit erkläre ich euch…“ im Halse stecken, auch sonst ist niemand so wirklich von dem jungen Glück überzeugt. Und der Alltag gibt ihnen Recht: Unterschiedlicher kann ein Paar kaum sein. Da hilft dann auch keine Paartherapeutin mehr - vor allem wenn diese noch nicht mal selber an die Ehe glaubt – und Joshs bester Freund Danny, für den Takt- und Schamgefühl zwei Fremdwörter sind, gibt dem Ganzen noch den Rest. Als schließlich der smarte Geschäftsmann Guy in Nats Leben tritt und Chloe, Joshs Ex-Flamme, mit der er eigentlich nie offiziell Schluss gemacht hat, wieder auftaucht, ist das Chaos perfekt…</t>
  </si>
  <si>
    <t>Das Rosenbett</t>
  </si>
  <si>
    <t>Bed of Roses</t>
  </si>
  <si>
    <t>tt0115644</t>
  </si>
  <si>
    <t>Christian Slater, Mary Stuart Masterson, Pamela Adlon, Josh Brolin, Brian Tarantina</t>
  </si>
  <si>
    <t>Lisa Walker ist ein klassischer Workaholic. Die Beziehung zu ihrem Freund Danny ist einfach nur zweckmäßig, Freizeit ist ein Fremdwort und wer braucht schon Freunde - die stehlen einem bloß die Zeit! Als ihr Adoptivvater plötzlich stirbt, bricht die ganze Scheinwelt über Lisa zusammen und sie kämpft verbittert gegen die aufkommende Einsamkeit in ihrem Herzen. Doch dann begegnet sie dem Mann ihres Lebens. Er will ihr eine andere Welt zeigen: eine leuchtende, duftende, wunderbare Welt - Kraft seiner Liebe gelingt es Lewis Farrell Lisas Leben einen neuen Sinn zu geben.</t>
  </si>
  <si>
    <t>Der schlimmste Mensch der Welt</t>
  </si>
  <si>
    <t>Verdens verste menneske</t>
  </si>
  <si>
    <t>Norway, France, Sweden, Denmark</t>
  </si>
  <si>
    <t>tt10370710</t>
  </si>
  <si>
    <t>Renate Reinsve, Anders Danielsen Lie, Herbert Nordrum, Hans Olav Brenner, Helene Bjørnebye</t>
  </si>
  <si>
    <t>Julie wird 30, und ihr Leben ist ein existenzielles Chaos. Sie hat einige ihrer Talente verkommen lassen, und ihr älterer Freund Aksel - ein erfolgreicher Comiczeichner - drängt sie dazu, mit ihm sesshaft zu werden. Eines Abends schleicht sie sich bei einer Party ein und lernt den jungen und charmanten Eivind kennen. Es dauert nicht lange, bis sie sich von Aksel trennt und in eine weitere neue Beziehung stürzt, von der sie sich eine Perspektive für ihr Leben verspricht. Doch sie wird zu der Erkenntnis kommen, dass sie einige Entscheidungen für ihr Leben bereits getroffen hat.</t>
  </si>
  <si>
    <t>Destination Wedding</t>
  </si>
  <si>
    <t>United States, United Kingdom, Canada</t>
  </si>
  <si>
    <t>tt6987770</t>
  </si>
  <si>
    <t>Winona Ryder, Keanu Reeves, DJ Dallenbach, Ted Dubost, D. Rosh Wright</t>
  </si>
  <si>
    <t>72 Stunden im Paradies wären wunderbar – wenn diese Hochzeit nicht wäre. Dort treffen Frank und Lindsay erstmals aufeinander. Sie haben vieles gemeinsam: Beide hassen die Braut, auch den Bräutigam, die Hochzeit, sich selber und – was bald klar wird – vor allem den jeweils anderen. Das unerbittliche Unterhaltungsprogramm des mehrtägigen Festes lässt sie immer wieder aufeinanderprallen. Doch unweigerlich steigt mit jedem Streit die gegenseitige Sympathie, die Anziehung zwischen den beiden ist nur schwer zu ignorieren. Und so müssen Frank und Lindsay eine Entscheidung treffen: für die aufkeimende Liebe – oder den gesunden Menschenverstand.</t>
  </si>
  <si>
    <t>Ein ganzes halbes Jahr</t>
  </si>
  <si>
    <t>Me Before You</t>
  </si>
  <si>
    <t>tt2674426</t>
  </si>
  <si>
    <t>Emilia Clarke, Sam Claflin, Janet McTeer, Charles Dance, Brendan Coyle</t>
  </si>
  <si>
    <t>Louisa Clark und Will Traynor könnten kaum unterschiedlicher sein. Sie ist ein einfaches Mädchen aus der Kleinstadt, das in einem kleinen Café arbeitet und mit ihrem einfachen Leben eigentlich ganz zufrieden ist, bis sie ihren Job verliert. Vor seinem Unfall hatte Will alles, er war jung, erfolgreich und ein Draufgänger wie er im Bilderbuch steht. Jetzt, wo er an den Rollstuhl gefesselt ist, ist er depressiv und launisch. Will hält sein Leben nicht mehr für lebenswert, bis Lou in sein Leben tritt, um sechs Monate seine Pflegerin zu sein. Und die kennt von Anfang an keine falsche Zurückhaltung. Nach ersten Anlaufschwierigkeiten raufen sich die beiden zusammen und Lou merkt, dass Wills Glück ihr immer wichtiger wird – und ist alarmiert, als ihr klar wird, warum sie für nur sechs Monate eingestellt wurde …</t>
  </si>
  <si>
    <t>Falling in Love in Niagara - Planlos verliebt</t>
  </si>
  <si>
    <t>Falling in Love in Niagara</t>
  </si>
  <si>
    <t>Liebesfilm, TV-Film, Komödie</t>
  </si>
  <si>
    <t>tt31727947</t>
  </si>
  <si>
    <t>Jocelyn Hudon, Dan Jeannotte, Masa Lizdek, Jinesea Bianca Lewis, Duane Keogh</t>
  </si>
  <si>
    <t>Madeline Zekko liebt Pläne und hasst Überraschungen. Doch als ihr Verlobter Jason kurz vor der Hochzeit Schluss macht, weil sie angeblich zu wenig spontan ist, trifft sie eine Entscheidung: Die bereits gebuchte Hochzeitsreise tritt sie trotzdem an – mit ihrer abenteuerlustigen Schwester Harley im Schlepptau.Doch ausgerechnet Mike Hollis ist ihr Reiseleiter – der nervtötende Kerl, mit dem sie erst gestern aneinandergeraten ist. Widerwillig begeben sich die beiden auf eine turbulente Tour voller Missverständnisse, unerwarteter Wendungen – und vielleicht sogar neuer Gefühle?</t>
  </si>
  <si>
    <t>Falling Into Place</t>
  </si>
  <si>
    <t>Germany, United Kingdom</t>
  </si>
  <si>
    <t>tt10334160</t>
  </si>
  <si>
    <t>Aylin Tezel, Chris Fulton, Rory Fleck-Byrne, Alexandra Dowling, Samuel Anderson</t>
  </si>
  <si>
    <t>Kira (Aylin Tezel) und Ian (Chris Fulton), zwei Mittdreißiger, sind auf der Flucht – raus aus London, weg von ihrer Vergangenheit, raus aus ihren derzeitigen Leben. So treffen die beiden auf der Isle of Skye an der schottischen Westküste erstmals aufeinander. Sofort verspüren beide eine regelrecht magnetische Anziehung zueinander – und doch lösen sie sich anderthalb Tage später wieder voneinander und kehren zurück in den Süden, zurück in die Hauptstadt des Vereinigten Königreichs, zurück in den alten Trott. Nur wissen die beiden trotz ihrer intensiven Begegnung in Schottland immer noch nicht, dass sie beide in der britischen Metropole leben und immer nur Zufälle davon entfernt sind, sich zu begegnen. Aber beide müssen aufhören, vor sich selbst wegzulaufen, bevor sie bereit sind, sich wirklich auf jemand anderen einzulassen. Und vielleicht schaffen sie es dann nicht nur zu sich selbst, sondern auch zum anderen zu finden.</t>
  </si>
  <si>
    <t>Find Me Falling</t>
  </si>
  <si>
    <t>Liebesfilm, Komödie, Musik</t>
  </si>
  <si>
    <t>tt19862722</t>
  </si>
  <si>
    <t>Harry Connick Jr., Agni Scott, Ali Fumiko Whitney, Clarence Smith, Αθηνά Ροδίτου</t>
  </si>
  <si>
    <t>Nach einem erfolglosen Comeback-Album zieht sich ein Rockstar in ein Haus auf Zypern zurück, aber sein Leben wird durch Besuch verkompliziert – und eine alte Flamme.</t>
  </si>
  <si>
    <t>Flucht zu dritt</t>
  </si>
  <si>
    <t>Mrs. Soffel</t>
  </si>
  <si>
    <t>tt0087751</t>
  </si>
  <si>
    <t>Diane Keaton, Mel Gibson, Matthew Modine, Edward Herrmann, Trini Alvarado</t>
  </si>
  <si>
    <t>Peter Soffel ist der engstirnige Direktor eines entlegenen amerikanischen Gefängnisses in der Zeit um die Jahrhundertwende. Seine Frau Kate, die den Häftlingen aus der Bibel vorliest, verliebt sich eines Tages unsterblich in den zum Tode verurteilten Häftling Ed Biddle. Sie verlässt Mann und Kinder, verhilft Ed und seinem Bruder Jack zur Flucht und begleitet sie durch eine winterliche Schneewüste.</t>
  </si>
  <si>
    <t>Fools Rush In – Herz über Kopf</t>
  </si>
  <si>
    <t>Fools Rush In</t>
  </si>
  <si>
    <t>tt0119141</t>
  </si>
  <si>
    <t>Matthew Perry, Salma Hayek Pinault, Jon Tenney, Carlos Gómez, Tomas Milian</t>
  </si>
  <si>
    <t>Als sich die junge Isabel und der Bauleiter Alex in einem mexikanischen Fast-Food-Restaurant in Las Vegas über den Weg laufen, verlieben sie sich Hals über Kopf ineinander. Die stürmische Liebesnacht bleibt nicht ohne Folgen – Isabel wird schwanger. Kurz entschlossen heiraten die beiden, doch schon bald sorgt die Verwandtschaft für Probleme: einerseits die heißblütige, mexikanische Familie Isabels, andererseits die eingebildeten Eltern von Alex.</t>
  </si>
  <si>
    <t>Forever my Love - Mein Herz schlägt für Dich!</t>
  </si>
  <si>
    <t>The Story of Love</t>
  </si>
  <si>
    <t>Canada</t>
  </si>
  <si>
    <t>TV-Film, Komödie, Liebesfilm, Familie</t>
  </si>
  <si>
    <t>tt15205498</t>
  </si>
  <si>
    <t>Brittany Bristow, Franco Lo Presti, Rosemary Dunsmore, Gianpaolo Venuta, Neil Crone</t>
  </si>
  <si>
    <t>Ruby, eine aufstrebende Liebes-Romanautorin, ist auf der Suche nach Inspiration und einem lukrativen Buchvertrag. Ihr Weg führt sie an den romantischen Tahoe-See, wo sie in aller Ruhe am neuen Roman arbeiten möchte. Doch die Dinge nehmen eine unerwartete Wendung, als Ruby auf Woody trifft, den charismatischen Hotelbesitzer, der mehr ist, als er auf den ersten Blick zu sein scheint. Während sie sich auf die Suche nach den richtigen Worten für ihr nächstes Buch begibt, entdeckt sie die Liebe und verändert dadurch ihr ganzes Leben.</t>
  </si>
  <si>
    <t>Forever Young</t>
  </si>
  <si>
    <t>Abenteuer, Fantasy, Drama, Science Fiction, Liebesfilm</t>
  </si>
  <si>
    <t>tt0104291</t>
  </si>
  <si>
    <t>Mel Gibson, Jamie Lee Curtis, Elijah Wood, Isabel Glasser, George Wendt</t>
  </si>
  <si>
    <t>Im Jahr 1939 will sich der Testpilot Daniel bei einem Experiment für ein Jahr einfrieren lassen, doch in den Wirren des Krieges wird er in seinem Kühlbehälter einfach vergessen. Erst fünfzig Jahre später wird er von zwei Kids entdeckt, und so muss sich Daniel nun in unser heutigen Zeit zurechtfinden. Doch das ist nicht Daniels einziges Problem, denn sein Körper will die verlorene Zeit scheinbar nachholen: Er altert in einem ungewöhnlich schnellen Tempo…</t>
  </si>
  <si>
    <t>Ainda Estou Aqui</t>
  </si>
  <si>
    <t>tt14961016</t>
  </si>
  <si>
    <t>Fernanda Torres, Selton Mello, Valentina Herszage, Maria Manoella, Luiza Kosovski</t>
  </si>
  <si>
    <t>Rio de Janeiro, Anfang der 1970er Jahre. In einem gemieteten Haus am Strand lebt die Familie Paiva: Vater Rubens, Mutter Eunice und ihre fünf Kinder.  Auch mit der allgegenwärtigen Unterdrückung bewahren sie in ihrem Zuhause eine Atmosphäre der Liebe, des Humors und der Offenheit. Ihre Zuneigung zueinander wird zu einem stillen Akt des Widerstands gegen die Diktatur, die ihr Leben radikal verändert. Als Rubens verschwindet, wird Eunice zur treibenden Kraft, um ihrer Familie eine neue Zukunft aufzubauen. Den Herausforderungen dieser dunklen Zeit begegnet sie mit Mut, Entschlossenheit und dem unerschütterlichen Glauben an ihre Kinder. Diese bewegende Geschichte wirft ein Licht auf die verschwiegenen Kapitel der brasilianischen Geschichte und würdigt die Stärke einer Frau, die trotz widrigster Umstände niemals aufgibt.</t>
  </si>
  <si>
    <t>Für immer Liebe</t>
  </si>
  <si>
    <t>Lovely, Still</t>
  </si>
  <si>
    <t>tt1150947</t>
  </si>
  <si>
    <t>Martin Landau, Ellen Burstyn, Adam Scott, Elizabeth Banks, Har Mar Superstar</t>
  </si>
  <si>
    <t>Wie jedes Jahr in der Vorweihnachtszeit fühlt sich der alleinstehende Robert Malone einsam und vermisst die Liebe in seinem Leben. Eines Abends steht plötzlich eine fremde ältere Dame vor seiner Haustür. Was wie eine merkwürdige Zufallsbegegnung beginnt, entwickelt sich zu einer romantischen Liebesgeschichte zweier älterer Menschen, die uns auf eine wundervolle und bewegende Reise mit unerwartetem Ausgang mitnimmt...</t>
  </si>
  <si>
    <t>Garden State</t>
  </si>
  <si>
    <t>The Marshall Tucker Band - Live From The Garden State 1981</t>
  </si>
  <si>
    <t>Musik, Dokumentarfilm</t>
  </si>
  <si>
    <t>tt0333766</t>
  </si>
  <si>
    <t>Zach Braff, Peter Sarsgaard, Natalie Portman</t>
  </si>
  <si>
    <t>Als seine Mutter stirbt, kehrt der in New York lebende Schauspieler Andrew Largeman zurück an den Ort seiner Jugend. Zu seinem Vater Gideon hat er ein schwieriges Verhältnis. Da ist er froh, dass er einige alte Schulfreunde wiedertrifft. Kenny ist wider Erwarten Polizist geworden. Mark schlägt sich mit verschiedenen kleinen Jobs durch. Und Jessy hat durch den millionenschweren Verkauf einer Erfindung finanzielle Unabhängigkeit erreicht. Als sich Andrew wegen seiner psychischen Probleme zum örtlichen Arzt begibt, trifft er dort Sam. Er freundet sich mit ihr an. Dabei lässt er sich nicht nur durch seine Freunde und die Umgebung von der Vergangenheit einholen, sondern wagt sich gemeinsam mit Sam auch langsam in Richtung Zukunft.</t>
  </si>
  <si>
    <t>United States, Germany, Canada</t>
  </si>
  <si>
    <t>Griffin &amp; Phoenix</t>
  </si>
  <si>
    <t>tt0460812</t>
  </si>
  <si>
    <t>Amanda Peet, Dermot Mulroney, Sarah Paulson, Blair Brown, Alison Elliott</t>
  </si>
  <si>
    <t>Als Griffin erfährt, dass er an Krebs erkrankt ist und nurmehr ein Jahr zu leben hat, erfüllt er sich seinen Traum und zieht nach New York. Dort lernt er Phoenix kennen, die sich ihm jedoch immer wieder entzieht, da sie gerade erst eine schmerzhafte Trennung hinter sich hat. Als die beiden nach großen Schwierigkeiten zueinander finden, kommt die Wahrheit ans Tageslicht, dass Phoenix schwer krank ist. Als Schicksalsgefährten versuchen Griffin und Phoenix, ein spätes Glück auf Zeit zu leben. Doch das nahende Ende stellt ihre Liebe auf eine letzte Probe.</t>
  </si>
  <si>
    <t>Guilty Hearts</t>
  </si>
  <si>
    <t>tt0488928</t>
  </si>
  <si>
    <t>Kathy Bates, Gerard Butler, Julie Delpy</t>
  </si>
  <si>
    <t>Ein frustrierter Roman-Autor (Gerard Butler), der berüchtigte KZ-Lagerkommandant Fritz Stangl (Stellan Skarsgard), eine ausgebrannte junge Frau namens Charlotte (Julie Delpy), die erblich bedingt todkranke Naomie (Imelda Staunton), ein kleiner Junge, der an einem Buchstabierwettbewerb teilnimmt, die wohlhabende Gabriella (Eva Mendes), die mit ihrem Wagen in einem zwielichtigen Vorort liegen bleibt, und eine Bundesrichterin (Kathy Bates), die über einen äußerst kuriosen Fall entscheiden muss: All diese Menschen suchen nach dem wahren Sinn des Lebens. Einige von ihnen finden ihn schnell, anderen wird er für immer verborgen bleiben. Sie alle leben in derselben Stadt und sind sich noch nie bewusst über den Weg gelaufen. Ihre Suche ist zwar die gleiche, das Ziel kann jedoch für alle sehr unterschiedlich aussehen.</t>
  </si>
  <si>
    <t>Hauptsache verliebt</t>
  </si>
  <si>
    <t>I Could Never Be Your Woman</t>
  </si>
  <si>
    <t>tt0466839</t>
  </si>
  <si>
    <t>Michelle Pfeiffer, Paul Rudd, Saoirse Ronan, Stacey Dash, Sarah Alexander</t>
  </si>
  <si>
    <t>Mittvierzigerin Rosie wohnt mit ihrer Teenagertochter in Hollywood, schreibt Episoden für eine im Quotensinkflug begriffene Schüler-Sitcom und hat den Traum von der großen Liebe fast schon aufgegeben. Da taucht auf einem Casting der Jungdreißiger Adam auf und wickelt sie mit seinem jungenhaften Charme um den Finger. Mit Adam nimmt die Show neue Fahrt auf, und auch privat scheint es zwischen ihm und Rosie zu funken. Doch dann bietet man Adam eine eigene Show an, und eine Neiderin sät Zwietracht.</t>
  </si>
  <si>
    <t>Hawaii für Zwei - Wenn Liebe surfen lernt</t>
  </si>
  <si>
    <t>Groundswell</t>
  </si>
  <si>
    <t>TV-Film, Liebesfilm, Komödie</t>
  </si>
  <si>
    <t>tt20562474</t>
  </si>
  <si>
    <t>Lacey Chabert, Ektor Rivera, Omar Bustamante, Tracy Yamamoto, Katie Lee Biegel</t>
  </si>
  <si>
    <t>Um sich von ihren zahlreichen Problemen abzulenken, gönnt sich Köchin Emma einen Urlaub auf Hawaii. Dort lernt sie den Surflehrer Ben kennen. Die Surfstunden bei ihm helfen Emma, neuen Mut zu schöpfen und ihre Probleme anzugehen.</t>
  </si>
  <si>
    <t>Im Herzen Wild</t>
  </si>
  <si>
    <t>De battre mon cœur s'est arrêté</t>
  </si>
  <si>
    <t>Musik, Drama, Krimi</t>
  </si>
  <si>
    <t>tt0411270</t>
  </si>
  <si>
    <t>Romain Duris, Niels Arestrup, Jonathan Zaccaï, Gilles Cohen, Linh-Dan Pham</t>
  </si>
  <si>
    <t>Thomas ist mit seinen 28 Jahren ein Immobilienmakler der übelsten Sorte. Nicht viel in seinem Leben scheint ihn emotional zu berühren, wäre da nicht sein Vater und das Klavierspielen. Französischer Thriller mit dem Nachwuchsstar Romain Duris in der Hauptrolle.</t>
  </si>
  <si>
    <t>Immer noch Liebe</t>
  </si>
  <si>
    <t>Juliet, Naked</t>
  </si>
  <si>
    <t>tt5607096</t>
  </si>
  <si>
    <t>Rose Byrne, Ethan Hawke, Chris O'Dowd, Azhy Robertson, Lily Brazier</t>
  </si>
  <si>
    <t>Tucker Crowe, der Name des geheimnisvollen Rockstars, ist das Einzige, was in der leidenschaftslosen Beziehung von Annie und Duncan noch für Zündstoff sorgt. 20 Jahre ist es her, dass der gefeierte Musiker seine letzte Platte veröffentlichte. Im Gegensatz zu dem fanatischen Tucker Crowe-Fan Duncan, verreißt Annie dessen aufgetauchtes Demo-Album "Juliet, Naked" in einem Online-Forum – und bekommt plötzlich Post von Tucker Crowe höchstpersönlich.</t>
  </si>
  <si>
    <t>Leo und Marie – Eine Weihnachtsliebe</t>
  </si>
  <si>
    <t>Drama, Liebesfilm, TV-Film</t>
  </si>
  <si>
    <t>tt1176945</t>
  </si>
  <si>
    <t>Wotan Wilke Möhring, Bernadette Heerwagen, Uwe Bohm, Michael Schenk, Falk Rockstroh</t>
  </si>
  <si>
    <t>Seit 19 Jahren arbeitet Leo bei der Versicherung, ohne Krankentag, ohne Verspätung, ohne je aufgefallen zu sein. Jetzt herrscht im Büro Panik: Entlassungen stehen bevor. Die Weihnachtsfeier findet dennoch statt - für manche eher eine Abschiedsparty. Leo nimmt seinen Mut zusammen und bittet die scheue neue Kollegin Marie zum Tanz. Aber ist er der Richtige, um Maries verletztes Herz zu erobern?</t>
  </si>
  <si>
    <t>Licorice Pizza</t>
  </si>
  <si>
    <t>tt11271038</t>
  </si>
  <si>
    <t>Alana Haim, Cooper Hoffman, Sean Penn, Tom Waits, Bradley Cooper</t>
  </si>
  <si>
    <t>Im kalifornischen San Fernando Valley entwickelt sich 1973 zwischen Mittzwanzigerin Alana und Teenager Gary eine ungewöhnliche Freundschaft. Doch inmitten des alltäglichen Trubels aus Gelegenheitsjobs und Schauspielkarriere, Freunden und Politik, Vinyl und Super 8 entstehen mit der Zeit auch intensivere Gefühle ...</t>
  </si>
  <si>
    <t>Liebe braucht keine Ferien</t>
  </si>
  <si>
    <t>The Holiday</t>
  </si>
  <si>
    <t>tt0457939</t>
  </si>
  <si>
    <t>Cameron Diaz, Kate Winslet, Jude Law, Jack Black, Eli Wallach</t>
  </si>
  <si>
    <t>Sitzengelassen, Enttäuscht, Hintergangen. Das dürfte auf den ersten Blick wohl alles sein, was die urbane Medienfrau Amanda aus Los Angeles und die Londoner Journalistin Iris aus der englischen Provinz verbindet. Dennoch bringt sie die Suche nach absolut männerfreien Weihnachtsfeiertagen und zwei Wochen Erholung für den emotionalen Haushalt zusammen und auf die gleiche Lösung: ein Wohnungstausch auf Zeit. Sie tauschen die Seiten des Atlantiks, Häuser, Autos und irgendwie ihr Leben. Nur damit, dass der Tapetenwechsel auch für eine neue Liebe sorgt, hätten sie nie gerechnet. Neben der Begegnung mit regionalen Gepflogenheiten wartet so in England der unwiderstehliche Charme Grahams auf Amanda während Iris in Amerika von Miles' herzlichem Ungestüm verführt wird.</t>
  </si>
  <si>
    <t>Little Children</t>
  </si>
  <si>
    <t>Wicked Little Things</t>
  </si>
  <si>
    <t>Fantasy, Horror</t>
  </si>
  <si>
    <t>tt0470000</t>
  </si>
  <si>
    <t>Lori Heuring, Scout Taylor-Compton, Chloë Grace Moretz, Geoffrey Lewis, Ben Cross</t>
  </si>
  <si>
    <t>Sarah ist verheiratet und lebt mit ihrem Mann und ihrer Tochter in einer kleinen Vorstadt. Sie ist den ganzen Tag zu Hause und kümmert sich um die Tochter und den Haushalt. Sarah langweilt sich furchtbar und erinnert sich an all die Träume, die sie einst hatte. Auf dem Spielplatz lernt sie Brad kennen. Brad ist der Mann einer erfolgreichen Geschäftsfrau und kümmert sich um den gemeinsamen Sohn, während seine Frau Karriere macht. Brad und Sarah fangen eine Affäre an. Die beiden wollen zusammen ein neues Leben anfangen, doch als ein Kinderschänder, der soeben seine Strafe abgesessen hat zurück in die Stadt kommt geht es vorerst darum ihre Kinder zu schützen.</t>
  </si>
  <si>
    <t>Love Again - Jedes Ende ist ein neuer Anfang</t>
  </si>
  <si>
    <t>Endings, Beginnings</t>
  </si>
  <si>
    <t>United States, South Korea</t>
  </si>
  <si>
    <t>tt9147456</t>
  </si>
  <si>
    <t>Shailene Woodley, Jamie Dornan, Sebastian Stan, Matthew Gray Gubler, Lindsay Sloane</t>
  </si>
  <si>
    <t>Nach der schmerzhaften Trennung von ihrem langjährigen Freund Adrian kündigt Daphne kurzerhand ihren Job und zieht in das Poolhaus ihrer Halbschwester, wo sie ihr Leben neu ordnen und wieder zu sich selbst finden will. Doch schon kurz darauf lernt sie auf einer Silvesterparty den draufgängerischen Bad Boy Frank und den einfühlsamen Romanautor Jack kennen. Daphne kann sich zwischen den beiden grundverschiedenen Männern, die zu allem Überfluss beste Freunde sind, nicht entscheiden und findet sich prompt in einer komplizierten Dreiecksbeziehung wieder.</t>
  </si>
  <si>
    <t>Love Again</t>
  </si>
  <si>
    <t>tt10276482</t>
  </si>
  <si>
    <t>Priyanka Chopra Jonas, Sam Heughan, Céline Dion, Sofia Barclay, Russell Tovey</t>
  </si>
  <si>
    <t>Nach dem tragischen Tod ihres Verlobten beginnt Mira Ray damit, romantische Nachrichten an seine alte Nummer zu schicken. Mittlerweile wurde diese Nummer aber einer neuen Person zugeteilt. Es handelt sich um Rob Burns, der am anderen Ende der Stadt lebt - und wie sie ebenfalls an Liebeskummer leidet. Kurzerhand treffen sich die beiden, und obwohl sie eine unbestreitbare Verbindung zueinander spüren, können sie die Vergangenheit nicht hinter sich lassen...</t>
  </si>
  <si>
    <t>Manhattan Love Story</t>
  </si>
  <si>
    <t>Nancy &amp; Frank - A Manhattan Love Story</t>
  </si>
  <si>
    <t>tt0297306</t>
  </si>
  <si>
    <t>Hardy Krüger Jr., Robert Wagner, Frances Anderson, Denise Wilbanks</t>
  </si>
  <si>
    <t>Nancy Ferencz ist eine junge, lebenslustige Frau, die vor Jahren aus Ungarn nach Amerika kam und sich perfekt dem American Way of Life angepasst hat. Sie ist "tough" und karriereorientiert. Sie studiert an der New York University und träumt davon, als Verhaltensforscherin mit Gorillas in Afrika zu arbeiten. Um sich diesen Traum zu ermöglichen, arbeitet sie als Hostess für wohlhabende Geschäftsleute - so auch auf einer Party des Bautycoons Curtis Sherman, an der auch der Deutsche Frank Wagner teilnimmt. Als sich Nancy und Frank auf der luxuriösen Yacht vor der Skyline Manhattans begegnen, ist es Liebe auf den ersten Blick. Dies bleibt auch Sherman nicht verborgen, der sie bislang protegierte und mehr als väterliche Gefühle für sie hegt. Er setzt alles daran, Franks berufliche Karriere in Amerika zu verhindern...</t>
  </si>
  <si>
    <t>Margos Spuren</t>
  </si>
  <si>
    <t>Paper Towns</t>
  </si>
  <si>
    <t>Mystery, Drama, Liebesfilm</t>
  </si>
  <si>
    <t>tt3622592</t>
  </si>
  <si>
    <t>Nat Wolff, Cara Delevingne, Austin Abrams, Justice Smith, Halston Sage</t>
  </si>
  <si>
    <t>Seit seiner Kindheit verbindet Quentin mit dem geheimnisvollen Nachbarsmädchen Margo ein Geheimnis: Damals fanden sie zusammen die Leiche eines Selbstmörders und noch am gleichen Abend war Margo an Quentins Fenster geschlichen, um ihm die Schlüsse aus ihren Nachforschungen zu präsentieren. Neun Jahre später haben sich die beiden längst auseinander gelebt, doch dann steht Margo erneut, als Ninja verkleidet, vor seinem Fenster. Sie will losziehen, um sich an denjenigen zu rächen, die sie enttäuscht haben. Quentin folgt ihr in das nächtliche Abenteuer, doch am nächsten Tag ist Margo plötzlich verschwunden. Das Mädchen, das schon öfter von Zuhause ausgerissen ist, bleibt dieses Mal unauffindbar und kann auch von der Polizei nicht ausgemacht werden. Aber sie hat Spuren hinterlassen, die nur für Quentin bestimmt zu sein scheinen. Also entschließt er sich, das Rätsel um Margo zu lösen und sie wiederzufinden.</t>
  </si>
  <si>
    <t>Mitten ins Herz</t>
  </si>
  <si>
    <t>Music and Lyrics</t>
  </si>
  <si>
    <t>tt0758766</t>
  </si>
  <si>
    <t>Drew Barrymore, Hugh Grant, Brad Garrett, Haley Bennett, Brooke Tansley</t>
  </si>
  <si>
    <t>15 Jahre nach Auflösung seiner Hit-Band "Pop" tingelt der abgetakelte Star Alex über zweit- und drittklassige Bühnen. Da bietet sich ihm durch Zufall die Möglichkeit zum Comeback, ein Duett mit dem Teen-Idol Cora. Dafür muss er nur einen Song schreiben. Musikalisch bereitet dies Alex trotz Zeitdrucks keine Probleme, nur mit den Worten hat er zu kämpfen. Da begegnet ihm Sophie, die hervorragend mit Texten umgehen kann. Und nach und nach entwickelt sich zwischen den beiden viel mehr als nur eine rein berufliche Beziehung.</t>
  </si>
  <si>
    <t>Morning Glory</t>
  </si>
  <si>
    <t>tt1126618</t>
  </si>
  <si>
    <t>Rachel McAdams, Harrison Ford, Diane Keaton, Patrick Wilson, Jeff Goldblum</t>
  </si>
  <si>
    <t>Die junge, aufstrebende TV-Produzentin Becky Fuller lebt nur für ihren Job – zu dumm nur, dass sie momentan arbeitslos ist. Da kommt das Angebot, die erfolglose Morgenshow “Daybreak” zu produzieren gerade recht. Becky geht guter Dinge ans Werk und holt als erste Maßnahme den legendären Nachrichtensprecher Mike Pomeroy mit ins Boot. Dieser betrachtet das Morgenfernsehnformat allerdings als weit unter seinem Niveau und lässt das auch alle Beteiligten spüren. Nicht zuletzt seine Co-Moderatorin Colleen Peck muss unter den Stallüren der männlichen Newsdiva leiden. Die Moderation der beiden droht in einen veritablen Kleinkrieg auszuarten. Bald steht nicht nur Beckys Karriere auf dem Spiel, sondern auch die frisch aufkeimende Liebe zu ihrem charmanten Produzentenpartner Adam Bennett.</t>
  </si>
  <si>
    <t>Mr. Hoppys Geheimnis</t>
  </si>
  <si>
    <t>Roald Dahl's Esio Trot</t>
  </si>
  <si>
    <t>tt3205394</t>
  </si>
  <si>
    <t>James Corden, Dustin Hoffman, Judi Dench, Salo Gardner, Lara Rossi</t>
  </si>
  <si>
    <t>Mr. Hoppy ist ein schüchterner, älterer Junggeselle, der allein in seiner kleinen Wohnung lebt. Jeden Tag geht er auf den Balkon und hört seiner Nachbarin Miss Silver zu, die mit ihrem Haustier Alfie, einer Schildkröte, in der Wohnung unter ihm lebt. Am liebsten würde er die Dame vom Fleck weg heiraten, aber er traut sich nicht einmal, ein Gespräch mit ihr anzuleiern. Dementsprechend ist sich Miss Silver bis zu dem aktuellen Zeitpunkt noch gar nicht so recht bewusst, dass es Mr. Hoppy überhaupt gibt und hat eigentlich nur Augen für Alfie. Eines Tages nimmt er seinen ganzen Mut zusammen und fragt sie, wie es ihrer Schildkröte geht. Miss Silver lässt ihn wissen, dass diese ihr Sorgen bereitet, weil sie nicht wächst. Da lässt sich Mr. Hoppy spontan einen ausgeklügelten Plan einfallen, um ihren Wunsch zu erfüllen und auf diesem Wege möglicherweise auch ihre Zuneigung zu gewinnen…</t>
  </si>
  <si>
    <t>Mr. Morgan’s Last Love</t>
  </si>
  <si>
    <t>Mr. Morgan's Last Love</t>
  </si>
  <si>
    <t>Germany, Belgium, United States, France</t>
  </si>
  <si>
    <t>tt1838603</t>
  </si>
  <si>
    <t>Michael Caine, Clémence Poésy, Gillian Anderson, Justin Kirk, Jane Alexander</t>
  </si>
  <si>
    <t>Seit seine geliebte Frau vor ein paar Jahren gestorben ist, verlässt der ehemalige Uniprofessor Matthew Morgan nur noch selten seine Pariser Wohnung, eigentlich nur um zum Friedhof oder den Essensverabredungen mit einer treuen Englischschülerin zu gehen. Von seinen Kindern, die in den USA leben, hat er sich entfremdet. Im Bus wird er auf die junge Französin Pauline aufmerksam, die ihm sogar anbietet, ihn nach Hause zu begleiten. Nach weiteren Begegnungen mit der jungen Frau lässt er sich sogar zu einem Tanzkurs überreden.</t>
  </si>
  <si>
    <t>Now Is Good - Jeder Moment zählt</t>
  </si>
  <si>
    <t>Now Is Good</t>
  </si>
  <si>
    <t>tt1937264</t>
  </si>
  <si>
    <t>Dakota Fanning, Jeremy Irvine, Kaya Scodelario, Olivia Williams, Paddy Considine</t>
  </si>
  <si>
    <t>Die 16-jährige Tessa ist ein lebensbejahender Teenager. Als die Ärzte Leukämie feststellen und ihr nur noch wenig Hoffnung geben, entschließt sie sich jeden Moment ihres Lebens voll auszuschöpfen. Dafür hat sie eine Liste mit zehn Dingen zusammengestellt: Sex haben, Drogen nehmen, für einen Tag berühmt sein, etwas Verbotenes tun ... Als sie auf den Nachbarsjungen Adam trifft, spürt sie sofort, dass sie beide etwas Besonderes verbindet. Obwohl sich zu verlieben, nicht auf Ihrer Liste stand, stellt es sich als die aufregendste Erfahrung ihres Lebens heraus. Schließlich findet Tessa, wonach sich manche ihr ganzes Leben lang sehnen.</t>
  </si>
  <si>
    <t>Picknick</t>
  </si>
  <si>
    <t>Picnic at Hanging Rock</t>
  </si>
  <si>
    <t>Netherlands</t>
  </si>
  <si>
    <t>tt0073540</t>
  </si>
  <si>
    <t>Rachel Roberts, Vivean Gray, Helen Morse, Kirsty Child, Tony Llewellyn-Jones</t>
  </si>
  <si>
    <t>Am Valentinstag des Jahres 1900 unternehmen eine Mädchenklasse und ihre Lehrerinnen einen Ausflug zum Naturdenkmal Hanging Rock. Vier Schülerinnen sondern sich von den anderen ab, um die felsige Gegend zu erkunden. Dabei werden sie von zwei jungen Männern, Michael und Albert, beobachtet. Michael ist von der schönen Miranda verzaubert. Als die Klasse am Abend ins Internat zurückkehrt, fehlen die vier Mädchen und eine Lehrerin. Die großangelegte Suchaktion bleibt ohne Erfolg, aber Michael, der fest davon überzeugt ist, dass die Mädchen noch leben, stellt mit Alberts Hilfe eigene Nachforschungen an. Nach langem Suchen findet Albert eines der Mädchen. Es lebt, kann sich aber an nichts mehr erinnern. Mysteriöse Vorfälle häufen sich ...</t>
  </si>
  <si>
    <t>Rye Lane</t>
  </si>
  <si>
    <t>tt15893750</t>
  </si>
  <si>
    <t>David Jonsson, Vivian Oparah, Poppy Allen-Quarmby, Simon Manyonda, Benjamin Sarpong-Broni</t>
  </si>
  <si>
    <t>Dom und Yas, zwei Mittzwanziger, die das Ende ihrer letzten Beziehungen noch nicht überwunden haben, kommen sich während eines ereignisreichen Tags in Süd-London näher. Dabei helfen sie einander, mit ihren Albtraum-Ex-Partnern fertigzuwerden, und bestärken sich ganz nebenbei darin, dass Romantik noch lange nicht tot sein muss.</t>
  </si>
  <si>
    <t>Safe Haven – Wie ein Licht in der Nacht</t>
  </si>
  <si>
    <t>Safe Haven</t>
  </si>
  <si>
    <t>Liebesfilm, Thriller</t>
  </si>
  <si>
    <t>tt1702439</t>
  </si>
  <si>
    <t>Julianne Hough, Josh Duhamel, Cobie Smulders, David Lyons, Mimi Kirkland</t>
  </si>
  <si>
    <t>Die kleine, idyllisch gelegene Gemeinde Southport in North Carolina hat mysteriösen Zuwachs bekommen: Katie hat sich in einem abgelegenen Häuschen niedergelassen und scheint jeden näheren Kontakt zu vermeiden. Niemand kennt sie, niemand weiß von ihrer Herkunft - und von dem Geheimnis, das sie mit sich herumträgt. Doch zwei Menschen am Ort kämpfen um ihre Nähe: Der freundliche junge Witwer Alex, der als alleinerziehender Vater für seine zwei kleinen Kinder sorgt und Jo, Katies schlagfertige Nachbarin. Zunächst widerwillig, findet Katie zunehmend Gefallen an den gemeinsamen Gesprächen und Unternehmungen. Schon bald hegt sie leidenschaftliche Gefühle für Alex und genießt die Nähe zu ihm. Alles wäre schön, wenn da nicht noch die Geister ihrer Vergangenheit wären...</t>
  </si>
  <si>
    <t>Sechzehn Stunden Ewigkeit</t>
  </si>
  <si>
    <t>The Map of Tiny Perfect Things</t>
  </si>
  <si>
    <t>Fantasy, Liebesfilm</t>
  </si>
  <si>
    <t>tt11080108</t>
  </si>
  <si>
    <t>Kyle Allen, Kathryn Newton, Jermaine Harris, Anna Mikami, Josh Hamilton</t>
  </si>
  <si>
    <t>Zwei Teenager stecken in einer Zeitschleife fest. Er will heraus, sie nicht. Erst indem sie gemeinsam die kleinen perfekten Momente entdecken, die man oft leicht übersieht, geben sie der Monotonie einen Sinn und erkennen eine Chance, sich zu befreien.</t>
  </si>
  <si>
    <t>Silver Linings</t>
  </si>
  <si>
    <t>tt31324024</t>
  </si>
  <si>
    <t>Rryla McIntosh</t>
  </si>
  <si>
    <t>Der ehemalige Lehrer und Mittdreißiger Pat Peoples wurde mit gewissen Auflagen aus einer Heilanstalt entlassen, wo er einige Zeit wegen psychischer Probleme zugebracht hatte. Zu den Auflagen gehört auch, dass er jeglichen Kontakt zu seiner Ex-Frau Nikki zu unterlassen hat. Während seine Mutter ihn vorbehaltlos umsorgt, ist sein Vater Patrick mehr als skeptisch, ob es eine gute Idee war, die Anstalt wieder zu verlassen. Derweil setzt Pat alles daran, sich wieder in Form zu bringen und Nikki wieder zurückzugewinnen. Auf seinen ausgiebigen Joggingtouren trifft er auf Tiffany, die ihren Mann, der Polizist war, bei einem Einsatz verloren hat, und nun die Trauerarbeit durch nymphomane Tendenzen kompensiert. Sie verspricht Pat, den Kontakt zu Nikki herzustellen, wenn er mit ihr für ein Tanzturnier trainiert. An sich ein klarer Deal; aber je näher der Tag des Wettbewerbs rückt, desto verwickelter wird die Angelegenheit.</t>
  </si>
  <si>
    <t>So was wie Liebe</t>
  </si>
  <si>
    <t>Формула любви</t>
  </si>
  <si>
    <t>tt0216755</t>
  </si>
  <si>
    <t>ნოდარ მგალობლიშვილი, Александр Абдулов, Семён Фарада, Леонид Броневой, Татьяна Пельтцер</t>
  </si>
  <si>
    <t>In einem Provinznest im amerikanischen Süden der 50er Jahre: der Anführer einer Motorradgang, die wegen einer defekten Maschine einen Zwischenstopp einlegt, läßt sich mit einer 16jährigen ein, die mit ihrem Vater, dem Bürgermeister, in einem inzestuösen Verhältnis lebt...</t>
  </si>
  <si>
    <t>Just Like Heaven</t>
  </si>
  <si>
    <t>Drama, Komödie, Liebesfilm, Fantasy</t>
  </si>
  <si>
    <t>tt0425123</t>
  </si>
  <si>
    <t>Reese Witherspoon, Mark Ruffalo, Donal Logue, Dina Spybey-Waters, Ben Shenkman</t>
  </si>
  <si>
    <t>Als David seine neue Wohnung in San Francisco bezieht, trifft er dort auf den Geist der Vormieterin Elizabeth, die durch einen Unfall ins Koma gefallen ist. Zunächst versucht sie den ungebeten Gast aus ihrer Wohnung zu vertreiben, doch als sie feststellt, dass nur David sie sehen kann, beginnt sie ihm zu vertrauen.</t>
  </si>
  <si>
    <t>Sweet Home Alabama - Liebe auf Umwegen</t>
  </si>
  <si>
    <t>Sweet Home Alabama</t>
  </si>
  <si>
    <t>tt0256415</t>
  </si>
  <si>
    <t>Reese Witherspoon, Josh Lucas, Patrick Dempsey, Candice Bergen, Mary Kay Place</t>
  </si>
  <si>
    <t>Modedesignerin Melanie genießt das New Yorker Dolce Vita in vollen Zügen, hier eine Cocktailparty feiernd, dort den Sohn der amtierenden Bürgermeisterin beflirtend. Als sie mit letzterem in den Stand der Ehe zu treten gedenkt, holt sie ihre Vergangenheit ein. Denn eigentlich ist Melanie ein Landei aus einem Kuhkaff in Alabama und immer noch mit ihrem Schulfreund Jake verheiratet. Also saust Melanie flugs in die Provinz, um dort so dezent wie möglich das Nötige zu regeln. Dabei läuft nicht alles wie geplant.</t>
  </si>
  <si>
    <t>Sweet Home Alabama – Liebe auf Umwegen</t>
  </si>
  <si>
    <t>Sweet November - Eine Liebe im Herbst</t>
  </si>
  <si>
    <t>Sweet November</t>
  </si>
  <si>
    <t>tt0230838</t>
  </si>
  <si>
    <t>Keanu Reeves, Charlize Theron, Jason Isaacs, Greg Germann, Lauren Graham</t>
  </si>
  <si>
    <t>Sara Deever ist die prototypische "moderne" Frau. In San Francisco lebt die unangepasste, flippig gekleidete Veganerin mit monatlich wechselnden Liebhabern ihren unstillbaren Lebenshunger aus. Nach einer Begegnung auf dem Verkehrsamt findet sich der aalglatte Yuppie Nelson Moss völlig unverhofft in der Rolle des Einmonatsliebhabers wieder. Trotz anfänglicher Abneigung lernt der plötzlich arbeitslose Workaholic, das Leben zu genießen. Als das "Novemberprojekt" Sara um ihre Hand bittet, lehnt sie ab, denn sie ist unheilbar krank...</t>
  </si>
  <si>
    <t>Tage wie dieser …</t>
  </si>
  <si>
    <t>Verso sera</t>
  </si>
  <si>
    <t>France, Italy, Germany</t>
  </si>
  <si>
    <t>tt0103200</t>
  </si>
  <si>
    <t>Marcello Mastroianni, Sandrine Bonnaire, Zoe Incrocci, Giorgio Tirabassi, Victor Cavallo</t>
  </si>
  <si>
    <t>Newcomer Cole Trickle etabliert sich im Renn-Team von Tim Daland und macht sich Rowdy Burns, die bisherige Nr. 1, zum Feind. Teamchef Hogge baut Cole ein echtes Siegerauto – und hat wenig Freude daran. Die Ergebnisse sind miserabel, der Sponsor will abspringen. Die Rivalität zwischen Burns und Cole mündet in einer Beinah-Katastrophe: Bei einem Rennen schießen sich die Hitzköpfe gegenseitig von der Strecke. Im Krankenhaus lernt Cole die Ärztin Claire, seine künftige Lebensgefährtin kennen. Nach seiner Rekonvaleszenz muß er feststellen, daß Daland einen neuen Fahrer verpflichtet hat. Cole setzt sich gegen den Konkurrenten im eigenen Team durch: Er gewinnt die 500 Meilen von Daytona.</t>
  </si>
  <si>
    <t>Tanz ins Leben</t>
  </si>
  <si>
    <t>La Chana</t>
  </si>
  <si>
    <t>Spain, Iceland, United States</t>
  </si>
  <si>
    <t>tt5975242</t>
  </si>
  <si>
    <t>La Chana, Félix Comas Itchart, Antonio Canales</t>
  </si>
  <si>
    <t>Antonia Santiago Amador war unter dem Namen "La Chana" eine der großen Stars in der Flamenco-Welt. Weltweit begeisterte sie das Publikum in den 60er und 70er Jahren mit ihrem einzigartigen Tanz-Stil. Selbst der britische Schauspielstar Peter Sellers, mit dem sie zusammen in "Bobo ist der Größte" zu sehen war, lud sie zu sich nach Hollywood ein. Auf dem Höhepunkt ihrer Karriere verschwand La Chana jedoch plötzlich von der Bildfläche. Nach 30 Jahren Bühnenabstinenz beginnt die Flamenco-Ikone, aus Liebe zum Tanz, mit der Arbeit an ihrem Comeback und schenkt dem Zuschauer einen tiefen und doch kurzweiligen Einblick in ihr Leben, auf und hinter der Bühne.</t>
  </si>
  <si>
    <t>The Cooler – Alles auf Liebe</t>
  </si>
  <si>
    <t>The Cooler</t>
  </si>
  <si>
    <t>tt0318374</t>
  </si>
  <si>
    <t>William H. Macy, Alec Baldwin, Maria Bello, Shawn Hatosy, Ron Livingston</t>
  </si>
  <si>
    <t>Bernie Lootz ist eine so unglückliche Erscheinung, dass er in einem Casino in Vegas als "Cooler" dafür sorgt, dass die Glückssträhnen von Gästen einfrieren. Womit Bernie seine Schulden bei Casino-Boss Shelly abarbeitet - bis er sich in eine Kellnerin verliebt, glücklich ist und alles andere als Pech verbreitet. Shelly beschließt, für das Ende der Romanze zu sorgen.</t>
  </si>
  <si>
    <t>Trauzeuge gesucht!</t>
  </si>
  <si>
    <t>I Love You, Man</t>
  </si>
  <si>
    <t>tt1155056</t>
  </si>
  <si>
    <t>Paul Rudd, Jason Segel, Rashida Jones, Andy Samberg, J.K. Simmons</t>
  </si>
  <si>
    <t>Immobilienmakler Peter Klaven steht kurz vor seiner Hochzeit mit Zooey. Das einzige Problem ist, dass er noch keinen Trauzeugen hat. Also macht er sich auf die Suche nach dem perfekten besten Freund, der die Eheschließung bezeugen soll. Den findet er nach etlichen Fehlgriffen endlich in Sydney Five. Die beiden verstehen sich auf Anhieb gut. Doch je besser sie sich kennenlernen, desto enger wird ihre Freundschaft, sodass sie schließlich sogar zur Bedrohung für Peters Eheschließung wird. Zooey fordert eine Entscheidung.</t>
  </si>
  <si>
    <t>Unter der Sonne der Toskana</t>
  </si>
  <si>
    <t>Under the Tuscan Sun</t>
  </si>
  <si>
    <t>United States, Italy</t>
  </si>
  <si>
    <t>tt0328589</t>
  </si>
  <si>
    <t>Diane Lane, Lindsay Duncan, Vincent Riotta, Giulia Louise Steigerwalt, Raoul Bova</t>
  </si>
  <si>
    <t>Als die Schriftstellerin Frances Mayes aus San Francisco auf einem Tiefpunkt angelangt ist, bietet eine gute Freundin ihr an, 10 Tage in der Toskana zu verbringen. Zögerlich nimmt Frances all ihren Mut zusammen und packt ihre Taschen. Einmal in der Toskana angekommen, kauft sie spontan eine heruntergekommene Villa und taucht ein in ein lebensveränderndes Abenteuer voller Überraschungen, Freundschaft und Romantik.</t>
  </si>
  <si>
    <t>Vergiss mein nicht!</t>
  </si>
  <si>
    <t>Eternal Sunshine of the Spotless Mind</t>
  </si>
  <si>
    <t>Science Fiction, Drama, Liebesfilm</t>
  </si>
  <si>
    <t>tt0338013</t>
  </si>
  <si>
    <t>Jim Carrey, Kate Winslet, Kirsten Dunst, Mark Ruffalo, Elijah Wood</t>
  </si>
  <si>
    <t>Joel Barish und Clementine Kruczynski sind ein äußerst gegensätzliches Paar. Er ist zurückhaltend und geordnet, sie ist das krasse Gegenteil. Doch trotzdem (oder gerade deshalb?) funktionierte diese Liaison über zwei Jahre lang mit kleineren Hochs und Tiefs wunderbar. Doch dann, eines Tages, trennt sich Clementine nach einem Streit plötzlich von Joel. Er verkraftet die Trennung nicht und beschließt kurzerhand, Clementine bei der Arbeit aufzusuchen, um sie um eine letzte Chance für die gemeinsame Zukunft zu bitten. Doch Clementine verhält sich bei Joels Besuch äußerst merkwürdig. Zunächst benimmt sie sich so, als würde sie ihn überhaupt nicht kennen und dann muss er noch beobachten, wie sie mit dem einige Jahre jüngeren Patrick innige Küsse austauscht...</t>
  </si>
  <si>
    <t>Verliebt und ausgeflippt</t>
  </si>
  <si>
    <t>Flipped</t>
  </si>
  <si>
    <t>tt0817177</t>
  </si>
  <si>
    <t>Madeline Carroll, Callan McAuliffe, Rebecca De Mornay, Anthony Edwards, John Mahoney</t>
  </si>
  <si>
    <t>Als Juli in der zweiten Klasse Bryce kennen lernt, spürt sie sofort, dass er ihre große Liebe ist. Bryce hingegen ist von Juli ganz schön genervt. In den folgenden Tagen und Jahren tut Bryce alles, um seine Möchtegern-Freundin auf Abstand zu halten - doch die clevere, sehr selbstständige Juli hofft weiterhin, dass er seine Meinung ändert. Regisseur Rob Reiner begleitet das Paar in dieser zärtlichen Pubertätskomödie von der Grundschule bis in die Mittelstufe, durch Triumphe und Katastrophen, Familiendramen und die erste Liebe. Auf ihrer langen Entwicklungsreise zur eigenen Persönlichkeit entdecken die beiden eines Tages auch, was sie einander bedeuten.</t>
  </si>
  <si>
    <t>Verlobung auf Umwegen</t>
  </si>
  <si>
    <t>Leap Year</t>
  </si>
  <si>
    <t>Ireland, United States</t>
  </si>
  <si>
    <t>tt1216492</t>
  </si>
  <si>
    <t>Amy Adams, Matthew Goode, Adam Scott, John Lithgow, Noel O'Donovan</t>
  </si>
  <si>
    <t>Als ihr vierter Jahrestag ohne Heiratsantrag vergeht, nimmt Anna die Sache selbst in die Hand: Die zielstrebige junge Frau fliegt ihrem Freund Jeremy nach Dublin hinterher, um ihm, einem alten irischen Brauch folgend, am 29. Februar selbst einen Heiratsantrag zu machen. Doch das Wetter und das Schicksal scheinen sich gegen die verwöhnte Wohlstands-Amerikanerin verschworen zu haben und so landet sie auf der anderen Seite von Irland. Um doch noch pünktlich in Dublin anzukommen, ist sie auf die Hilfe des gutaussehenden aber von ihrem Charme gänzlich unbeeindruckten Pub-Besitzers Declan angewiesen. Während die beiden sich quer über die grüne Insel zanken, entdeckt Anna, dass die Reise zum Glück oft anders verläuft als geplant.</t>
  </si>
  <si>
    <t>Verrückt nach Mary</t>
  </si>
  <si>
    <t>There's Something About Mary</t>
  </si>
  <si>
    <t>tt0129387</t>
  </si>
  <si>
    <t>Cameron Diaz, Matt Dillon, Ben Stiller, Lee Evans, Chris Elliott</t>
  </si>
  <si>
    <t>13 Jahre nachdem Teds Rendezvous mit seiner angebeteten Mary in einem peinlichen Fiasko endete, träumt er immer noch von ihr und engagiert den windigen Privatdetektiv Healy um sie aufzuspüren. Der findet Mary in Florida und verliebt sich auf den ersten Blick in die atemberaubende Traumfrau. Um Ted als Nebenbuhler auszuschalten, tischt er ihm dicke Lügen über Mary auf. Ted läßt sich jedoch nicht abschrecken, eilt nach Miami und versucht nun alles, um Healy die Balztour zu vermasseln. Doch nicht nur Healy ist verrückt nach Mary und Ted bekommt es mit einer ganzen Legion liebeskranker Konkurrenten zu tun...</t>
  </si>
  <si>
    <t>Was ist Liebe wert – Materialists</t>
  </si>
  <si>
    <t>Materialists</t>
  </si>
  <si>
    <t>United States, Finland, United Kingdom</t>
  </si>
  <si>
    <t>tt30253473</t>
  </si>
  <si>
    <t>Dakota Johnson, Chris Evans, Pedro Pascal, Zoë Winters, Marin Ireland</t>
  </si>
  <si>
    <t>Lucy kennt sich mit der Liebe bestens aus – zumindest beruflich. In New York arbeitet sie als Top-Beraterin bei der exklusiven Partnervermittlung Adore. Ihr Ruf als Profi eilt ihr voraus: Wer nach der großen Liebe sucht, lässt sich von ihr die passenden Dates arrangieren – sofern das nötige Kleingeld vorhanden ist. Denn bei Adore zählen vor allem prall gefüllte Konten, während Lucy selbst trotz exzellenter Arbeit nur ein bescheidenes Gehalt erhält. Vom Luxusleben ihrer Millionärsklienten, wie etwa Harry Castillo mit seinem zwölf Millionen Dollar teuren Apartment, ist sie meilenweit entfernt. Stattdessen teilt sie sich eine kleine Wohnung mit zwei Mitbewohnern. Doch nicht nur ihre vier Wände werden eng – auch ihr Herz gerät unter Druck. Denn plötzlich findet sich Lucy zwischen ihrem (eigentlich) Ex-Freund John und Kunden Harry in einem unerwarteten Liebesdreieck wieder…</t>
  </si>
  <si>
    <t>They Came Together</t>
  </si>
  <si>
    <t>tt2398249</t>
  </si>
  <si>
    <t>Paul Rudd, Amy Poehler, Bill Hader, Ellie Kemper, Cobie Smulders</t>
  </si>
  <si>
    <t>Wenn Joel und Molly ihren Freunden von ihrem Kennenlernen und ihrer Beziehung erzählen, dann klingt die Geschichte, wie aus einer romantischen Komödie nacherzählt. Denn obwohl Joel der Chef eines großen Unternehmens ist, das für die drohende Schließung von Mollys kleinem Süßigkeitenladen "Upper Sweet Side" verantwortlich ist, und die zwei sich auf Anhieb nicht ausstehen können, verlieben sie sich ineinander. Denn Joel und Molly laufen sich gezwungenermaßen aber auch zufällig ständig über den Weg - und das häufig in Situationen, die man eigentlich nur aus Filmen kennt. Schließlich kommen sie sich immer näher und werden ein Paar. Als plötzlich eine Trennung im Raum steht, müssen sich Geschäftsmann Joel und die schlagfertige Molly schnellstmöglich wieder zusammenraufen, damit auch ihr Liebesleben ein romantisches Happy End erfährt…</t>
  </si>
  <si>
    <t>Wild Child</t>
  </si>
  <si>
    <t>tt1024255</t>
  </si>
  <si>
    <t>Emma Roberts, Alex Pettyfer, Natasha Richardson, Kimberley Nixon, Juno Temple</t>
  </si>
  <si>
    <t>Die sechzehnjährige Poppy Moore ist eine stinkreiche, verzogene Göre aus L.A. Als sie ihren Vater mit einer exzessiven Party mal wieder an den Rand eines Nervenzusammenbruchs treibt, steckt er sie kurzerhand in ein Elite-Internat im fernen England. Doch anstatt ihr Leben jetzt endlich in den Griff zu bekommen, arbeitet Poppy nur auf ihre Rückkehr nach Amerika hin: Sie versucht, durch unmögliches Verhalten ihren Rauswurf zu erzwingen, muss jedoch schnell erkennen, dass sie es erstmals mit ebenbürtigen Gegnern zu tun hat - ihren britischen Mitschülerinnen und Lehrern, die gar nicht daran denken, sich Poppys Launen gefallen zu lassen.Schliesslich begreift Poppy, dass ihr rebellisches Auftreten keinen Sinn hat: Die aufmüpfige Teenagerin passt sich an und gewinnt neue Freunde, mit denen sie den ultimativen Fluchtplan in Gang setzt. Doch dann trifft Poppy auf die erste grosse Liebe ihres Lebens und will England plötzlich gar nicht mehr verlassen...</t>
  </si>
  <si>
    <t>Wo die Liebe hinfällt …</t>
  </si>
  <si>
    <t>Der Bulle und das Landei - Wo die Liebe hinfällt</t>
  </si>
  <si>
    <t>TV-Film, Komödie, Krimi</t>
  </si>
  <si>
    <t>tt4381176</t>
  </si>
  <si>
    <t>Uwe Ochsenknecht, Sabine Postel, Diana Amft, Ulrike Bliefert, Moritz Führmann</t>
  </si>
  <si>
    <t>Tapfer oder leichtsinnig? Kati Biver trifft zufällig auf den bewaffneten Einbrecher, der gerade den Tresor der Schmuckdesignerin Marianne Dobrinth ausgeraubt hat, und versucht vergeblich, ihn aufzuhalten. Nicht ohne Stolz gibt sie danach eine Täterbeschreibung ab. Killmer dagegen findet so ein Manöver, außer Dienst, unbewaffnet und ohne seine Begleitung, bodenlos leichtsinnig. Was er ihr auch deutlich zu verstehen gibt. So deutlich, dass Kati nur durch eine heroische Tat Killmers zu versöhnen ist: Nachdem die Aussagen von Marianne Dobrinth, ihrem Sohn Johannes und ihrem jungen Lover Tonio Berger aufgenommen wurden, lädt er Kati zum Essen ein. Es wird ein rauschender Abend. Nimmt Killmer jedenfalls an, als er am nächsten Morgen in einem Elvis-Kostüm, noch nicht wieder nüchtern und mit komplettem Filmriss in Katis Bett aufwacht.</t>
  </si>
  <si>
    <t>Your Name. – Gestern, heute und für immer</t>
  </si>
  <si>
    <t>君の名は。</t>
  </si>
  <si>
    <t>Japan</t>
  </si>
  <si>
    <t>Animation, Liebesfilm, Drama</t>
  </si>
  <si>
    <t>Ryunosuke Kamiki, Mone Kamishiraishi, Ryo Narita, Aoi Yuki, Nobunaga Shimazaki</t>
  </si>
  <si>
    <t>Zu Hause ist es am schönsten</t>
  </si>
  <si>
    <t>A casa tutti bene</t>
  </si>
  <si>
    <t>tt7105944</t>
  </si>
  <si>
    <t>Stefano Accorsi, Carolina Crescentini, Elena Cucci, Tea Falco, Pierfrancesco Favino</t>
  </si>
  <si>
    <t>Alba und Pietro wollen ihre Goldene Hochzeit feiern und laden die komplette Familie in ihr Haus auf Ischia ein. Doch in ihrer Vorfreude haben sie das Temperament ihrer Familie unterschätzt: Ihr Sohn Carlo muss die Eifersucht seiner Frau Ginevra ertragen, die große Szenen macht, weil auch seine Ex zum Fest geladen ist. Schwiegersohn Diego denkt ständig an seine Geliebte in Paris, während seine Frau Sara ihn mit allen Mitteln zu bezirzen versucht. Und Albas bindungsscheuer Lieblingssohn Paolo flüchtet sich in eine romantische Affäre mit seiner reizenden Cousine Isabella. Pietro kann es kaum erwarten, bis die Verwandtschaft wieder verschwindet. Als dann ein Sturm über die Insel fegt und die Abreise verhindert, ist das Chaos perfekt. Alte Geschichten, neue Liebe, Eifersüchteleien und Sehnsüchte schwappen mit voller Wucht aus jedem heraus und verwandeln die paradiesische Insel in ein Labyrinth der Leidenschaft.</t>
  </si>
  <si>
    <t>Zurück zu Dir</t>
  </si>
  <si>
    <t>Batman Beyond: Return of the Joker</t>
  </si>
  <si>
    <t>Animation, Action, Science Fiction, Thriller</t>
  </si>
  <si>
    <t>tt0233298</t>
  </si>
  <si>
    <t>Will Friedle, Kevin Conroy, Mark Hamill, Angie Harmon, Dean Stockwell</t>
  </si>
  <si>
    <t>Bob Rueland ist ein erfolgreicher Bauleiter und Chef seiner eigenen Firma. Auch seine Frau Elisabeth liebt Bob abgöttisch. Eigendlich könnte Bob's Leben nicht besser laufen; doch ein Unfall ändert alles. Elisabeth kommt ums Leben und mit einem Schlag ist Bob's ganzer Lebensinhalt dahin. Nach einiger Zeit lernt Bob die zauberhafte Grace kennen. Wie der Zufall so will verlieben sich beide ineinander und ihr junges Glück scheint perfekt. Was Bob jedoch nicht weiss; Grace trägt seit einer schweren Operation das Herz seiner verstorbenen Frau Elisabeth in sich ...</t>
  </si>
  <si>
    <t>10 Cloverfield Lane</t>
  </si>
  <si>
    <t>Drama, Horror, Sci-Fi</t>
  </si>
  <si>
    <t>tt1179933</t>
  </si>
  <si>
    <t>John Goodman, Mary Elizabeth Winstead, John Gallagher Jr.</t>
  </si>
  <si>
    <t>Michelle verlässt nach einem Streit New Orleans und fährt davon. Doch dann kommt es auf der wenig befahrenen nächtlichen Straße zu einem schweren Unfall. Die junge Frau verliert das Bewusstsein. Als sie später wieder aufwacht, findet sie sich nicht in einem Krankenhaus wieder, sondern in einem Bunker tief unter der Erde. Howard behauptet, dass er sie gerettet hat und die Umgebung angegriffen wird. Die meisten Menschen sollen demnach schon tot sein. Doch Michelle möchte nicht ewig auf engstem Raum mit fremden Personen zusammenleben. Mit Emmett, dem Dritten im Bunker, schließt sie sich zusammen und plant den Ausbruch aus den Fängen des immer paranoider werdenden Howard. Noch wissen sie nicht, was sie an der Oberfläche erwartet …</t>
  </si>
  <si>
    <t>21 Bridges</t>
  </si>
  <si>
    <t>United States, China</t>
  </si>
  <si>
    <t>tt8688634</t>
  </si>
  <si>
    <t>Chadwick Boseman, Sienna Miller, J.K. Simmons</t>
  </si>
  <si>
    <t>Nachdem in Manhattan acht Polizisten erschossen werden, erhält der in Ungnade gefallene New Yorker Police Detective Andre Davis eine Chance zur Wiedergutmachung: Er soll die Täter schnappen. Bei seiner Jagd nach den Mördern kommt er schon bald einer gewaltigen Verschwörung auf die Spur und schnell verwischen die Grenzen, wer hier eigentlich wen jagt. Als sich die Situation in der Nacht weiter zuspitzt, greift die Polizei zu einer außerordentlichen Maßnahme: Zum ersten Mal in der Geschichte werden alle 21 Brücken von Manhattan geschlossen. Die Insel ist völlig abgeschottet und niemand kommt mehr rein oder raus.</t>
  </si>
  <si>
    <t>24 Stunden Angst</t>
  </si>
  <si>
    <t>Out of the Blue</t>
  </si>
  <si>
    <t>New Zealand</t>
  </si>
  <si>
    <t>tt0839938</t>
  </si>
  <si>
    <t>Matthew Sunderland, Stuart Mathieson, Natalie Ellis</t>
  </si>
  <si>
    <t>Mit David Gray, sagen die Neuseeländer, hat ihr Land seine Unschuld verloren: Am 13. November 1990 trat dieser mit seinem Gewehr vor die Tür und in dem einst beschaulichen Küstenort Aramoana starben dreizehn Menschen._x000D_ Weil die Nachbarskinder einmal zu oft über sein Grundstück laufen, dreht der bislang unauffällige Einzelgänger durch und schießt fortan auf alles, was sich bewegt, ganz gleich, ob jung oder alt. Die anrückende, örtliche Polizei ist Grays unberechenbarer Gewalt und dem Horror des sich entfaltenden Szenarios weder taktisch noch menschlich gewachsen.</t>
  </si>
  <si>
    <t>47 Meters Down Uncaged</t>
  </si>
  <si>
    <t>47 Meters Down: Uncaged</t>
  </si>
  <si>
    <t>Adventure, Drama, Horror</t>
  </si>
  <si>
    <t>tt7329656</t>
  </si>
  <si>
    <t>Sophie Nélisse, Corinne Foxx, Brianne Tju</t>
  </si>
  <si>
    <t>Nicole, Sasha, Alexa und Mia entdecken bei einem gemeinsamen Tauchgang eine versunkene Maya-Stadt. Doch ihr Staunen über die unerforschten Ruinen bleibt ihnen im Halse stecken und der Tauchgang wird zum Horror-Trip, denn die Unterwasser-Stadt entpuppt sich als Jagdgebiet riesiger, weißer Haie mit Killerinstinkt. Ein Katz-und-Maus-Spiel mit dem größten Schrecken des Ozeans beginnt. Während die Sauerstoffversorgung immer knapper wird, müssen sich Nicole, Sasha, Alexa und Mia aus dem Unterwasserlabyrinth voll enger Höhlen und unheimlicher Tunnel einen Weg aus ihrer Unterwasser-Hölle suchen. Ein Wettlauf mit der Zeit und ein atemloser Überlebenskampf beginnt …</t>
  </si>
  <si>
    <t>6 Underground</t>
  </si>
  <si>
    <t>United States, Canada, United Arab Emirates, Italy, Hungary</t>
  </si>
  <si>
    <t>tt8106534</t>
  </si>
  <si>
    <t>Ryan Reynolds, Mélanie Laurent, Manuel Garcia-Rulfo</t>
  </si>
  <si>
    <t>Sechs Personen bilden nach dem Vortäuschen ihres Todes eine Selbstjustiztruppe, um berüchtigte Kriminelle zu Fall zu bringen. Alle wurden von ihrem Leiter "One" für ihre einzigartigen Fähigkeiten und den Wunsch, ihre Vergangenheit zu überwinden und die Zukunft zu verändern, für das Team ausgewählt.</t>
  </si>
  <si>
    <t>A Beautiful Place to Die A Martha's Vineyard Mystery</t>
  </si>
  <si>
    <t>A Beautiful Place to Die: A Martha's Vineyard Mystery</t>
  </si>
  <si>
    <t>tt10768536</t>
  </si>
  <si>
    <t>Jesse Metcalfe, Sarah Lind, Eric Keenleyside</t>
  </si>
  <si>
    <t>Nach einem gefährlichen Einsatz hat Cop Jeff Jackson sich auf der Insel Martha’s Vineyard vorzeitig zur Ruhe gesetzt. Als ein Mord passiert, bittet die örtliche Polizei ihn um Hilfe.</t>
  </si>
  <si>
    <t>A Crime</t>
  </si>
  <si>
    <t>tt0489010</t>
  </si>
  <si>
    <t>Harvey Keitel, Emmanuelle Béart, Norman Reedus</t>
  </si>
  <si>
    <t>Vincents Frau wurde ermordet. Er kann keine Ruhe finden, ehe er nicht den Täter findet und dieser vor Gericht steht. Alice, seine Nachbarin, glaubt, dass sie ihm mit einer außergewöhnlichen Idee helfen kann: Sie will einen Täter finden - egal, ob dieser den Mord begangen hat oder nicht. Hauptsache ist, dass Vincent seine Rachegefühle ausleben und seine Vergangenheit hinter sich bringen kann. Aber es gibt keinen idealen Täter und erst reicht kein perfektes Verbrechen...</t>
  </si>
  <si>
    <t>A Different Man</t>
  </si>
  <si>
    <t>Comedy, Drama, Thriller</t>
  </si>
  <si>
    <t>tt21097228</t>
  </si>
  <si>
    <t>Sebastian Stan, Renate Reinsve, Adam Pearson</t>
  </si>
  <si>
    <t>Der ambitionierte, aber erfolglose Schauspieler Edward leidet an Neurofibromatose, einer starken Gesichtsdeformation. Als ihm die Gelegenheit geboten wird, unterzieht er sich einem radikalen medizinischen Eingriff, um sein Aussehen drastisch zu verändern. Doch das Leben mit seinem neuen Traumgesicht verwandelt sich schnell in einen Albtraum, als ihm die Rolle seines Lebens, für die er geboren wurde, entgeht. Davon besessen, das Verlorene zurückzugewinnen, verliert sich Edward in den tiefen Abgründen seiner eigenen Psyche.</t>
  </si>
  <si>
    <t>A Lonely Place to Die – Todesfalle Highlands</t>
  </si>
  <si>
    <t>A Lonely Place to Die</t>
  </si>
  <si>
    <t>Abenteuer, Action, Thriller, Krimi</t>
  </si>
  <si>
    <t>tt1422136</t>
  </si>
  <si>
    <t>Melissa George, Ed Speleers, Eamonn Walker, Alec Newman, Karel Roden</t>
  </si>
  <si>
    <t>Unheimliche Laute hallen durch den einsamen schottischen Bergwald. Noch unheimlicher wird es, als die fünf Bergsteiger die Ursache entdecken: Ein kleines Mädchen wurde lebendig in einer Kiste vergraben, durch ein Atemrohr sind ihre Rufe nach draußen gedrungen. Wer kann so etwas Grausames getan haben? Anna spricht nur Kroatisch und kann nichts erzählen. Dem Kind muss so schnell wie möglich geholfen werden. Deshalb wollen Alison und Rob die Abkürzung über den senkrecht abfallenden "Devil's Drop" wagen, während die anderen sich mit Anna auf den meilenweiten Weg ins nächste Dorf machen. Doch die Kidnapper haben die Gruppe bereits im Visier und machen die einsame Wildnis zur Arena eines blutigen Überlebenskampfes ...</t>
  </si>
  <si>
    <t>A Score to Settle</t>
  </si>
  <si>
    <t>Canada, United States</t>
  </si>
  <si>
    <t>tt3758162</t>
  </si>
  <si>
    <t>Nicolas Cage, Noah Le Gros, Karolina Wydra</t>
  </si>
  <si>
    <t>20 Jahre seines Lebens hat Frank hinter Gittern verbracht. Nachdem man eine unheilbare Krankheit bei ihm feststellt, wird Frank vorzeitig aus dem Gefängnis entlassen. Wieder in Freiheit ist ihm zunächst nichts wichtiger, als endlich eine echte Beziehung zu seinem Sohn Joey und der neuen Freundin Simone aufzubauen, die ihm verbleibende Zeit gemeinsam mit beiden zu verbringen. Doch die quälenden Gedanken, endlich Rache an seinen Feinden nehmen zu können, lassen ihn nicht zur Ruhe kommen. - Ihr Leben für seine Zeit, die er im Gefängnis absitzen musste! Aufspüren will Frank die Gangster, die ihn ins Gefängnis gebracht haben, mit Hilfe seines alten Freundes Q, der ihm jedoch nur widerwillig zur Seite steht. Dennoch setzt Frank alles daran, die Lügen der Vergangenheit aufzudecken, seine Unschuld zu beweisen und Rache zu nehmen … bis er mit Wahrheiten konfrontiert wird, die er lange verdrängt hat. Frank muss sich erneut seiner Vergangenheit stellen. Und seine Uhr tickt ...!</t>
  </si>
  <si>
    <t>A Thousand and One</t>
  </si>
  <si>
    <t>tt12427158</t>
  </si>
  <si>
    <t>Teyana Taylor, Aaron Kingsley Adetola, Aven Courtney</t>
  </si>
  <si>
    <t>Der sechsjährige Terry hat ein alles andere als einfaches Leben. Seine richtigen Eltern kennt er nicht und seine Pflegefamilie lässt ihn ebenso im Stich. Schon eine ganze Zeit sieht dies die kühne und freigeistige Inez mit an, bis sie eines Tages beschließt, Terry zu helfen. Nachdem Terry aufgrund eines kleinen Unfalls im Krankenhaus landet und von Inez besucht wird, fühlt er sich zum ersten Mal in seinem Leben halbwegs geliebt. Spontan, aber mit Terrys eifriger Komplizenschaft, bringt sie ihn aus dem Krankenhaus, um ihm ein besseres Leben im schnelllebigen New York City zu ermöglichen. Nachdem zehn Jahre ins Land gehen, sieht die Welt des mittlerweile jugendlichen Terry ganz anders aus - zum Positiven, aber auch zum Negativen. Erst jetzt kommen Probleme zwischen der selbsternannten Mutter und dem Adoptivsohn auf, wobei Terry  besonders mit Unsicherheiten bezüglich seiner Identität konfrontiert wird.</t>
  </si>
  <si>
    <t>Abgehört – Trau niemals einem Cop</t>
  </si>
  <si>
    <t>竊聽風雲</t>
  </si>
  <si>
    <t>Hong Kong, Singapore, China</t>
  </si>
  <si>
    <t>tt1349853</t>
  </si>
  <si>
    <t>Sean Lau, Louis Koo Tin-Lok, Daniel Wu, 张静初, 方中信</t>
  </si>
  <si>
    <t>Als Spezialisten für Hightech-Überwachungen der Hongkonger Polizei werden Jonny, Gene und Max auf eine ominöse Firma angesetzt, die unter Verdacht steht, illegalen Insiderhandel an der Börse zu betreiben. Als die drei erfahrenen Polizisten endlich handfeste Beweise gegen den aalglatten Geschäftsführer der Firma haben, wird für die Cops die Versuchung immer größer, selbst aus den illegalen Insiderhandel Profit zu schlagen. Kurzerhand vernichten sie die einzigen Beweise. Doch schnell werden Polizeiaufsichtsbehörde und Gangster misstrauisch.</t>
  </si>
  <si>
    <t>Adagio</t>
  </si>
  <si>
    <t>tt22001304</t>
  </si>
  <si>
    <t>Pierfrancesco Favino, Toni Servillo, Valerio Mastandrea</t>
  </si>
  <si>
    <t>Manuel ist 16 Jahre alt und versucht, sein Leben in Rom so gut wie möglich zu genießen, während er sich um seinen körperlich wie mental kränkelnden alten Vater, den früheren Gangster Daytona, kümmert. Um ein wenig Geld zu verdienen, prostituiert der Junge sich gelegentlich und wird deshalb nun von einer Gruppe korrupter Carabinieri – angeführt von dem bösartigen Vasco – erpresst. Die Polizisten verlangen, dass Manuel auf eine Party mit anderen Minderjährigen und illegalen Drogen geht, um dort kompromittierende Fotos von einem prominenten Politiker zu machen. Als dem Teenager klar wird, dass Vasco ihn auch danach nicht in Ruhe lassen wird, nimmt er die Bilder und taucht unter. Von den brutalen Erpressern erbarmungslos verfolgt, findet Manuel Zuflucht bei zwei alten Bekannten seines Vaters …</t>
  </si>
  <si>
    <t>Adagio - Erbarmungslose Stadt</t>
  </si>
  <si>
    <t>Pierfrancesco Favino, Toni Servillo, Valerio Mastandrea, Adriano Giannini, Gianmarco Franchini</t>
  </si>
  <si>
    <t>All the Old Knives</t>
  </si>
  <si>
    <t>tt3706352</t>
  </si>
  <si>
    <t>Goksin Erdemli, Kasia Madera, Chris Pine</t>
  </si>
  <si>
    <t>Zwei CIA-Agenten und Ex-Geliebte verabreden sich Jahre nach einem gescheiterten Einsatz zu einem Treffen in einem Restaurant, in dessen Verlauf die Grenzen zwischen Beruf und Leidenschaft in dieser zutiefst fesselnden Geschichte von weltweiter Spionage, moralischem Dilemma und tödlichem Verrat immer mehr verwischen..</t>
  </si>
  <si>
    <t>Ambulance</t>
  </si>
  <si>
    <t>tt4998632</t>
  </si>
  <si>
    <t>Jake Gyllenhaal, Yahya Abdul-Mateen II, Eiza González</t>
  </si>
  <si>
    <t>Will Sharp sieht sich in einer ausweglosen Lage: Um seiner schwerkranken Frau eine lebensrettende Operation bezahlen zu können, benötigt er finanzielle Unterstützung. In seiner Verzweiflung wendet er sich an seinen Adoptivbruder Danny, der ihn zu einer riskanten Aktion überredet. Gemeinsam beabsichtigen sie einen Bankraub durchzuziehen, an dessen Ende satte 32 Millionen Dollar warten. Der Plan scheint nahezu perfekt zu sein. Allerdings laufen die Dinge kurz vor der finalen Flucht aus dem Ruder. In einem Rettungswagen wollen Will und Danny vor ihren Verfolgern fliehen und ahnen nicht, dass sie einen angeschossenen Cop und Rettungssanitäterin Cam an Bord haben. Die Hetzjagd durch Los Angeles entwickelt sich für alle Beteiligten zum wahren Überlebenskampf, in dem es um Leben und Tod geht - und die Polizei sowie das FBI sind ihnen stets auf den Fersen.</t>
  </si>
  <si>
    <t>Amokspiel</t>
  </si>
  <si>
    <t>tt8587080</t>
  </si>
  <si>
    <t>Günter Bubbnik, Saro Emirze, Eko Fresh</t>
  </si>
  <si>
    <t>Wenn ein einziges Telefonat über Leben und Tod entscheidet: Jan May hält in einem Radiostudio fünf Geiseln gefangen und spielt mit ihnen stündlich ein perfides Amokspiel. Meldet sich ein Angerufener mit der falschen Parole, wird eine Geisel getötet. Kriminalpsychologin Ira versucht, den Geiselnehmer vom Morden abzuhalten und auf seine Forderungen einzugehen. Doch was keiner ahnt: Jan scheint eine persönliche Bindung zu der Psychologin zu haben ...</t>
  </si>
  <si>
    <t>An Affair to Die For</t>
  </si>
  <si>
    <t>Spain, Italy</t>
  </si>
  <si>
    <t>tt8620646</t>
  </si>
  <si>
    <t>Claire Forlani, Amy Dincuff, Nathan Cooper</t>
  </si>
  <si>
    <t>Ein geheimes Rendezvous. Ein Mann betrügt seine Frau. Eine Frau betrügt ihren Ehemann. Und dann geht alles schlecht, schnell.</t>
  </si>
  <si>
    <t>Anatomie eines Falls</t>
  </si>
  <si>
    <t>Anatomie d'une chute</t>
  </si>
  <si>
    <t>tt17009710</t>
  </si>
  <si>
    <t>Sandra Hüller, Swann Arlaud, Milo Machado-Graner, Antoine Reinartz, Samuel Theis</t>
  </si>
  <si>
    <t>Sandra, Samuel und ihr elfjähriger sehbehinderter Sohn Daniel leben seit einem Jahr weit weg von jeglicher Zivilisation in den Bergen. Eines Tages wird Samuel tot am Fuße ihres Hauses aufgefunden. Es wird eine Untersuchung wegen des verdächtigen Todes eingeleitet. Die Ermittler scheinen den Fall selbst zu einem schnellen Ende bringen zu wollen. Denn die Beweislast auf Sandra ist nicht gerade hoch, als die Staatsanwaltschaft Anklage gegen sie erhebt. Sandra selbst kämpft weiter mit dem Tod ihres Mannes: Hat er sich selbst umgebracht oder war es wirklich – wie von den Ermittlern vermutet – Mord? Es vergeht ein Jahr, bis die Verhandlung vor Gericht aufgenommen wird. Auch Daniel wird in den Zeugenstand gerufen. Die Beziehung zwischen Mutter und Sohn wird daraufhin auf eine harte Probe gestellt – vor allem durch die Staatsanwaltschaft, die damit beginnt, mit ihren Fragen die beiden brutal zu durchleuchten.</t>
  </si>
  <si>
    <t>Angel of Mine</t>
  </si>
  <si>
    <t>Australia, United States</t>
  </si>
  <si>
    <t>tt7058080</t>
  </si>
  <si>
    <t>Noomi Rapace, Rebecca Bower, Luke Evans</t>
  </si>
  <si>
    <t>Vor sieben Jahren hat Lizzie Manning ihre Neugeborene Tochter bei einem tragischen Unfall im Krankenhaus verloren. Diesen grausamen Schicksalsschlag konnte sie nie wirklich verarbeiten und leidet seitdem unter psychischen Problemen. Als sie eines Tages glaubt, in der kleinen Lola ihre verstorbene Tochter zu erkennen, gerät ihr Leben komplett aus den Fugen. Ihr Verdacht steigert sich bis zur Obsession und Lizzie drängt sich immer mehr in das Leben Lolas und ihrer Mutter Claire.</t>
  </si>
  <si>
    <t>Anna</t>
  </si>
  <si>
    <t>France, United States, Canada, Russia, Serbia, Guadeloupe</t>
  </si>
  <si>
    <t>tt7456310</t>
  </si>
  <si>
    <t>Sasha Luss, Helen Mirren, Luke Evans</t>
  </si>
  <si>
    <t>Hinter Anna Poliatovas beeindruckender Schönheit liegt ein brutales Geheimnis. Neben ihrer Arbeit als angesagtes Model in Paris arbeitet die junge Russin aufgrund ihrer unbändigen Kraft und Geschicklichkeit als Elite-Attentäterin für den KGB und zählt zu der gefürchtetsten Killerin im Auftrag der russischen Regierung. Doch schon bald nimmt die CIA Anna ins Visier und sie verstrickt sich immer mehr in ein Netz aus Lügen und Intrigen bis ein Ausweg in weite Ferne rückt.</t>
  </si>
  <si>
    <t>Antebellum</t>
  </si>
  <si>
    <t>Drama, Horror, Mystery</t>
  </si>
  <si>
    <t>tt10065694</t>
  </si>
  <si>
    <t>Janelle Monáe, Eric Lange, Jena Malone</t>
  </si>
  <si>
    <t>Veronica Henley (Janelle Monáe) durchlebt einen wahr gewordenen Albtraum: Die Bestseller-Autorin ist in einer verstörenden Parallelwelt gefangen, die sie alles in Frage stellen lässt: ihre Vergangenheit, Gegenwart und Zukunft. Kann sie einen Ausweg finden, bevor alles zu spät ist?</t>
  </si>
  <si>
    <t>Arbitrage – Macht ist das beste Alibi</t>
  </si>
  <si>
    <t>Arbitrage</t>
  </si>
  <si>
    <t>United States, Poland</t>
  </si>
  <si>
    <t>tt1764183</t>
  </si>
  <si>
    <t>Richard Gere, Susan Sarandon, Tim Roth, Brit Marling, Laetitia Casta</t>
  </si>
  <si>
    <t>Robert Miller scheint zu seinem 60. Geburtstag alles im Leben erreicht zu haben, was man sich wünschen kann. Er ist ein erfolgreicher Hedgefonds-Manager in New York und dazu noch liebender Ehemann und Familienvater. Doch hinter diesem glitzernden Schein droht sein berufliches Erbe zusammenzubrechen. Er versucht verzweifelt sein Trading-Unternehmen an eine große Bank zu verkaufen, bevor Tricksereien und Betrug an den Tag kommen, mit denen er jahrelang seine Geschäfte gedeckt hat.</t>
  </si>
  <si>
    <t>Arctic Convoy - Todesfalle Eismeer</t>
  </si>
  <si>
    <t>Konvoi</t>
  </si>
  <si>
    <t>Norway</t>
  </si>
  <si>
    <t>tt27724113</t>
  </si>
  <si>
    <t>Tobias Santelmann, Anders Baasmo Christiansen, Heidi Ruud Ellingsen, Preben Hodneland, Adam Lundgren</t>
  </si>
  <si>
    <t>1942 scheint Hitlers Kriegsmaschinerie nicht mehr aufzuhalten. Nachdem es sich große Teile Europas unterworfen hatte, fiel Deutschland in die Sowjetunion ein. Die Alliierten waren gezwungen zu helfen.  Konvois aus Frachtschiffen, bis zum Rand mit Kriegsmaterial gefüllt, begannen die gefahrvolle Fahrt nach Murmansk und Achangelsk. Mit ihrem Leben als Einsatz stachen sie in See und begaben sich auf die "schlimmste Seereise der Welt". Gewöhnliche Seeleute ohne jede Form von militärischer Erfahrung standen plötzlich der deutschen Übermacht im eiskalten arktischen Meer von Angesicht zu Angesicht gegenüber.  "Konvoi" ist von wahren Ereignissen inspiriert und handelt von einem der größten Dramen, die sich im zweiten Weltkrieg auf See zugetragen haben.</t>
  </si>
  <si>
    <t>Argo</t>
  </si>
  <si>
    <t>tt1024648</t>
  </si>
  <si>
    <t>Ben Affleck, Bryan Cranston, John Goodman</t>
  </si>
  <si>
    <t>Auf dem Höhepunkt der iranischen Revolution wird am 4. November 1979 die US- Botschaft in Teheran gestürmt - militante Studenten nehmen 52 Amerikaner als Geiseln. Doch mitten in diesem Chaos gelingt es sechs Amerikanern, sich davon zu schleichen und in das Haus des kanadischen Botschafters zu fliehen. Es ist nur eine Frage der Zeit, bis der Verbleib der sechs bekannt wird - ihr Leben steht auf dem Spiel. Deshalb entwirft der auf das "Ausfiltern"spezialisierte CIA-Agent Tony Mendez einen riskanten Plan, um die Flüchtlinge außer Landes und in Sicherheit zu bringen. Dieser Plan ist so unglaublich, dass er sich nur im Kino abspielen kann...</t>
  </si>
  <si>
    <t>Argylle</t>
  </si>
  <si>
    <t>tt15009428</t>
  </si>
  <si>
    <t>Henry Cavill, Bryce Dallas Howard, Sam Rockwell</t>
  </si>
  <si>
    <t>Die zurückgezogene Bestseller-Autorin Elly Conway arbeitet an einem neuen Teil ihrer beliebten Roman-Reihe über den eleganten Superspion Argylle. Doch plötzlich offenbart ihr der Geheimagent Aiden, dass ihre Geschichten Auswirkungen auf die reale Welt haben. Während sie von ihrer Katze Alfie begleitet wird, geraten Elly und Aiden immer tiefer in eine globale Spionage-Verschwörung, bei der die Grenzen zwischen Realität und Fiktion verschwimmen.</t>
  </si>
  <si>
    <t>Arlington Road</t>
  </si>
  <si>
    <t>tt0137363</t>
  </si>
  <si>
    <t>Jeff Bridges, Tim Robbins, Joan Cusack</t>
  </si>
  <si>
    <t>Michael Faraday führt ein mehr oder weniger beschauliches Leben in einem Vorort von Washington. Umgeben von “normalen” Menschen und netten Nachbarn. Einer davon ist Oliver Lang. Aber irgendwann kommen Michael Zweifel an dem dreifachen Familienvater. Ist Oliver ein wahnsinniger Killer? Ein Terrorist? Ein Agent? Oder ist es Michael selbst, der die Realität nicht mehr von seiner paranoiden Phantasie unterscheiden kann? Ein mörderischer Wettlauf beginnt, an dessen Ende eins klar ist: In der Arlington Road wird das Leben nie mehr so sein, wie es einmal war. Oder war es nie so?</t>
  </si>
  <si>
    <t>Ash &amp; Dust</t>
  </si>
  <si>
    <t>tt13831544</t>
  </si>
  <si>
    <t>Michael Swatton, Blake Canning, Kayla Meyer</t>
  </si>
  <si>
    <t>Eine ländliche Gegend in Kanada im Winter, ein Mann findet ein Kästchen mit Münzen in der Erde und bringt damit Tod und Verderben nicht nur in sein Leben und das seiner Frau: Eine Gruppe Gangster hat es auf das Schatzkästchen abgesehen und geht dafür über Leichen. Eine Spirale der Gewalt, aus der es kein Entkommen zu geben scheint, nimmt ihren Lauf und reißt immer mehr Menschen in den Abgrund!</t>
  </si>
  <si>
    <t>Asphalt City</t>
  </si>
  <si>
    <t>tt9663896</t>
  </si>
  <si>
    <t>Tye Sheridan, Michael Pitt, Lenel Caze</t>
  </si>
  <si>
    <t>Ein junger Sanitäter wird mit einem erfahrenen Partner in der Nachtschicht in New York zusammengebracht und enthüllt eine Stadt in der Krise. Als er das Chaos aus erster Hand entdeckt, wird er mit der ethischen Ambiguität auf die Probe gestellt, die über Leben und Tod entscheiden kann.</t>
  </si>
  <si>
    <t>Auftrag Rache</t>
  </si>
  <si>
    <t>Court of Lonely Royals</t>
  </si>
  <si>
    <t>tt0810812</t>
  </si>
  <si>
    <t>Damon Gameau, Samantha Noble, Leah de Niese</t>
  </si>
  <si>
    <t>Gerade erst konnte der Bostoner Cop und alleinstehende Witwer Thomas Craven seine 24-jährigen Tochter Emma bei ihrem ersten Besuch seit Jahren wieder in die Arme schließen, da muss er mit ansehen, wie sie von einem Unbekannten erschossen wird. Während die Polizei vermutet, der Schuss habe eigentlich ihm gegolten, verfolgt Craven eine andere Theorie und ermittelt auf eigene Faust. Schnell findet Craven heraus, dass Emma geheime Informationen über ihren Arbeitgeber Northmoor besaß, und gerät damit selbst ins Fadenkreuz.</t>
  </si>
  <si>
    <t>Bark - Nichts bleibt verborgen</t>
  </si>
  <si>
    <t>Bark</t>
  </si>
  <si>
    <t>tt18110702</t>
  </si>
  <si>
    <t>Michael Weston, A.J. Buckley, Ricky Watson, Lennon Sickels, Joana Vinogradoff</t>
  </si>
  <si>
    <t>Mitten in einem einsamen Wald an einen Baum gefesselt - so wacht Nolan auf. Ohne Wasser und Nahrung und vor allem ohne sich daran zu erinnern, wie er dorthin gelangt ist. Die Zeit läuft ihm gnadenlos davon, bis ein mysteriöser Fremder auftaucht - der ihn aber nicht retten wird. Nolan muss sich seiner Vergangenheit stellen, um zu Überleben und einen Ausweg aus diesem Albtraum zu finden.</t>
  </si>
  <si>
    <t>tt5628302</t>
  </si>
  <si>
    <t>Jessie Buckley, Geraldine James, Oliver Maltman</t>
  </si>
  <si>
    <t>"Wer ist das Biest?", fragt sich die 27-jährige Moll. Die junge Frau, die ein behütetes Mittelklasseleben auf der reichen Insel Jersey führt, oder der Einzelgänger Pascal, in den sich Moll verliebt? Der mysteriöse Außenseiter könnte für sie der Ausweg aus der Überfürsorglichkeit ihrer Familie sein, an der Moll langsam zu ersticken droht. Aber kann sie Pascal trauen? Auf Jersey geht ein Serienmörder um, und Pascal wird schnell zum Hauptverdächtigen. Hinter der wunderschönen und gleichzeitig unberechenbar rauen Fassade der Kanalinsel schlummern dunkle Geheimnisse, die nicht nur Molls Liebe zu Pascal in Gefahr bringen, sondern auch an Molls Unschuld zweifeln lassen.</t>
  </si>
  <si>
    <t>Beginners</t>
  </si>
  <si>
    <t>tt1532503</t>
  </si>
  <si>
    <t>Ewan McGregor, Christopher Plummer, Mélanie Laurent</t>
  </si>
  <si>
    <t>Duke war nicht gerade das, was man gemeinhin als treusorgenden und liebevollen Vater bezeichnet. Als er eines Tages Selbstmord begeht, hinterlässt er seinen Söhnen daher auch kein besonders erfreuliches Testament. Durch einen heimlichen Medikamententest, sind drei seiner fünf Kinder schon bald dem Tode geweiht. Das damals erhaltene Schmerzensgeld hat Duke vorsorglich schon einmal auf den Kopf gehauen. Die drei betroffenen Söhne Jacob, Cal und Nuts versuchen fortan noch das Beste aus ihrem bisher verkorksten Leben rauszuholen und sich möglichst viele ihrer bis dahin noch übrig gebliebenen Träume zu erfüllen. Auch wenn das bedeutet, sich in einer Tonne die Niagarafälle hinabzustürzen.</t>
  </si>
  <si>
    <t>Bei Berührung Lebensgefahr</t>
  </si>
  <si>
    <t>Touch and Die</t>
  </si>
  <si>
    <t>Italy, United States, France, Germany, United Kingdom</t>
  </si>
  <si>
    <t>tt0103108</t>
  </si>
  <si>
    <t>Martin Sheen, Véronique Jannot, Jacques Perrin, David Birney, Paolo Bonacelli</t>
  </si>
  <si>
    <t>Reporter Frank leitet in Rom das Büro einer amerikanischen Zeitung. Als er über eine mysteriöse Mordserie recherchiert, gerät er an eine Organisation, die atombombentaugliches Plutonium in die dritte Welt schmuggelt.</t>
  </si>
  <si>
    <t>Drama, Abenteuer, Thriller</t>
  </si>
  <si>
    <t>Jon Voight, Burt Reynolds, Ned Beatty, Ronny Cox, Ed Ramey</t>
  </si>
  <si>
    <t>Black and Blue - Black and Blue – Du entkommst mir nicht</t>
  </si>
  <si>
    <t>Black and Blue</t>
  </si>
  <si>
    <t>tt0214546</t>
  </si>
  <si>
    <t>Mary Stuart Masterson, Anthony LaPaglia, Will Rothhaar, Sam Robards, Sabrina Grdevich</t>
  </si>
  <si>
    <t>Black Bag – Doppeltes Spiel</t>
  </si>
  <si>
    <t>Black Bag</t>
  </si>
  <si>
    <t>tt30988739</t>
  </si>
  <si>
    <t>Cate Blanchett, Michael Fassbender, Tom Burke, Marisa Abela, Regé-Jean Page</t>
  </si>
  <si>
    <t>Die legendären Geheimagenten George Woodhouse (Michael Fassbender) und seine Frau Kathryn (Cate Blanchett) stehen im Zentrum eines politischen Sturms, als Kathryn plötzlich des Landesverrats beschuldigt wird. Für George, der sowohl seiner Frau als auch seinem Land bedingungslos treu ist, beginnt ein innerer Konflikt. Während er versucht, die Wahrheit hinter den Anschuldigungen aufzudecken, muss er entscheiden, wem seine Loyalität wirklich gilt – der Frau, die er liebt, oder dem Land, dem er geschworen hat zu dienen.</t>
  </si>
  <si>
    <t>Black Bag Doppeltes Spiel</t>
  </si>
  <si>
    <t>Boîte noire</t>
  </si>
  <si>
    <t>France, Belgium</t>
  </si>
  <si>
    <t>Mystery</t>
  </si>
  <si>
    <t>Pierre Niney, Lou de Laâge, André Dussollier, Sébastien Pouderoux, Olivier Rabourdin</t>
  </si>
  <si>
    <t>Michael Douglas, Andy Garcia, Ken Takakura</t>
  </si>
  <si>
    <t>Black Swan</t>
  </si>
  <si>
    <t>tt0947798</t>
  </si>
  <si>
    <t>Natalie Portman, Mila Kunis, Vincent Cassel</t>
  </si>
  <si>
    <t>Nina ist eine ehrgeizige und leidenschaftliche Ballett-Tänzerin, die ihr Leben ausnahmslos ihrer Arbeit an der New Yorker Ballet Company widmet. Dabei wird sie energisch von ihrer Mutter, selbst eine ehemalige Tänzerin, gefördert. Als die Rolle der Primaballerina für die Produktion des Klassikers Schwanensee neu besetzt werden soll, wird Nina von Regisseur Thomas Leroy favorisiert. Sie bekommt jedoch schnell Konkurrenz durch die jüngere Lily, die zwar technisch schwächer ist, aber eine Leichtigkeit besitzt, die sich nicht mit Übung erreichen lässt. Zwischen den beiden entsteht eine außergewöhnliche Beziehung, die zur Zerreißprobe für Nina wird. Immer intensiver lernt sie die düstere Seite ihres Selbst kennen, das ihr bedrohlicherweise immer ähnlicher wird.</t>
  </si>
  <si>
    <t>Black.Christmas</t>
  </si>
  <si>
    <t>Black Christmas</t>
  </si>
  <si>
    <t>United States, New Zealand, Canada</t>
  </si>
  <si>
    <t>tt10481868</t>
  </si>
  <si>
    <t>Imogen Poots, Aleyse Shannon, Lily Donoghue</t>
  </si>
  <si>
    <t>Der Campus des Hawthorne College ist wie leergefegt, denn Weihnachten steht vor der Tür und die meisten Studenten wollen die Feiertage standesgemäß im Kreis ihrer Familie feiern. Nur Riley Shane und ihre Kommilitoninnen Marty, Kris und Jesse bleiben zurück und machen sich ein paar entspannte Tage im Haus ihrer Mu-Kappa-Epsilon-Verbindung – oder zumindest war das ihr Plan. Als plötzlich ein unbekannter maskierter Killer Jagd auf sie macht, war es das mit den Feierlichkeiten. Fortan müssen sie sehr genau abwägen, welchem Mann auf dem Universitätsgelände sie trauen können. Denn außer ihnen treiben sich noch Martys neuer Freund Nate, Rileys Bekanntschaft Landon und Professor Gelson auf dem Campus herum. Die Studentinnen geben sich nicht so einfach geschlagen und setzen alles daran, dem Unbekannten den Garaus zu machen.</t>
  </si>
  <si>
    <t>Blood Simple - Eine mörderische Nacht</t>
  </si>
  <si>
    <t>Blood Simple</t>
  </si>
  <si>
    <t>tt0086979</t>
  </si>
  <si>
    <t>John Getz, Frances McDormand, Dan Hedaya, Samm-Art Williams, M. Emmet Walsh</t>
  </si>
  <si>
    <t>Tief im Herzen von Texas. Eine attraktive, junge Ehefrau flieht in die Arme eines Angestellten ihres unwissenden Ehemannes. Erst einem schwerfälligen Privatdetektiv gelingt es, ihn von der Untreue seiner Frau zu überzeugen. Fortan lässt der Ehemann nichts unversucht, mit blinder Besessenheit den Mord an dem Paar zu arrangieren. Doch die vermeintlich simple Bluttat ist leichter gedacht als getan! Was als perfekter Mord geplant war, geht entsetzlich schief: Der Anstifter wird selbst zum Opfer – und die Liebenden zu ahnungslosen Zielscheiben eines berechnenden Killers. Ein Alptraum aus Betrug, Missverständnissen und tödlichen Geheimnissen nimmt seinen Lauf...</t>
  </si>
  <si>
    <t>Blood Simple – Eine mörderische Nacht</t>
  </si>
  <si>
    <t>Body Cam</t>
  </si>
  <si>
    <t>tt8179024</t>
  </si>
  <si>
    <t>Mary J. Blige, Nat Wolff, David Zayas</t>
  </si>
  <si>
    <t>Wenn eine routinemäßige Verkehrsunterbrechung zum unerklärlichen und grausamen Tod seines Kollegen führt, erkennt ein Polizist, dass das Filmmaterial des Vorfalls nur für seine Augen spielt. Während die Angriffe zunehmen, versucht er die übernatürliche Kraft hinter ihnen zu verstehen.</t>
  </si>
  <si>
    <t>Boston</t>
  </si>
  <si>
    <t>Boston Strangler</t>
  </si>
  <si>
    <t>Crime, Drama, History</t>
  </si>
  <si>
    <t>tt2560078</t>
  </si>
  <si>
    <t>Keira Knightley, Carrie Coon, Chris Cooper</t>
  </si>
  <si>
    <t>Ein True-Crime-Thriller über die beiden bahnbrechenden Reporterinnen, die über die Morde des berüchtigten Boston Stranglers berichteten: Loretta McLaughlin, eine Journalistin beim Record American, und ihre Kollegin und Vertraute Jean Cole. Während der Mörder immer mehr Opfer tötet, stellen die zwei mutig ihre Nachforschungen an. Dabei setzen sie ihr eigenes Leben aufs Spiel, um die Wahrheit zu enthüllen.</t>
  </si>
  <si>
    <t>Boyhood</t>
  </si>
  <si>
    <t>tt1065073</t>
  </si>
  <si>
    <t>Ellar Coltrane, Patricia Arquette, Ethan Hawke</t>
  </si>
  <si>
    <t>Das Leben des sechsjährigen Mason Jr. wird auf den Kopf gestellt, als seine Mutter Olivia mit ihm und seiner Schwester Samantha in ihre Heimat Texas zurückkehrt, um noch einmal das College zu besuchen. Dort bekommen die Kinder immerhin auch ihren Vater Mason Sr., der seit der Scheidung kaum für sie da gewesen ist, wieder öfter zu Gesicht. Mason Jr. muss sich mit seiner neuen Lebenssituation arrangieren – und durchlebt so die zwölf Jahre, die aus einem kleinen Jungen einen Mann machen: Es stehen Campingausflüge mit dem Vater an, es wird das erste Bier getrunken, der erste Joint geraucht und auch die erste große Liebe erlebt. Doch die Männergeschichten von Olivia sorgen immer wieder für Probleme… .</t>
  </si>
  <si>
    <t>Brawl in Cell Block 99</t>
  </si>
  <si>
    <t>tt5657856</t>
  </si>
  <si>
    <t>Vince Vaughn, Jennifer Carpenter, Don Johnson</t>
  </si>
  <si>
    <t>Der ehemalige Boxer Bradley verliert seinen Job als Auto-Mechaniker und steht vor den Trümmern seiner turbulenten Ehe. Jetzt ist es auch egal, was er macht und fängt als Drogenkurier für einen alten Freund an. Schnell verbessert sich bei der guten Bezahlung seine Lebenssituation. Bis zu dem Tag als er in eine Schießerei zwischen der Polizei und seinen eigenen Leuten gerät. Bradley wird schwer verletzt und kommt auch noch ins Gefängnis. Für ehemalige Feinde aus der Freiheit soll er nun einige sehr gewalttätige Aufträge erledigen und verwandelt das Gefängnis fortan in ein gewalttätiges Schlachtfeld.</t>
  </si>
  <si>
    <t>Bullet Head</t>
  </si>
  <si>
    <t>Bulgaria, United States</t>
  </si>
  <si>
    <t>tt6204340</t>
  </si>
  <si>
    <t>Adrien Brody, John Malkovich, Rory Culkin</t>
  </si>
  <si>
    <t>Die Diebe Walker, Stacy und Gage sitzen nach einem missglückten Überfall und anschließender Flucht vor der Polizei gemeinsam in einer Lagerhalle fest, wo sie sich eigentlich verstecken wollen. Denn die Flucht ist ihnen nicht möglich, da ein wilder Kampfhund durch das Gebäude streift und sie am Verlassen von diesem hindert. Dass die Zähne fletschende Killermaschine und zahlreiche Blutspuren vorhanden sind, ist kein Zufall. Denn das organisierte Verbrechen nutzt die Halle als regelmäßigen Schauplatz für illegale Hundekämpfe und das verkompliziert die Lage für die drei Diebe weiter. Denn früher oder später wird das Herrchen des Hundes wieder zurückkommen und sicher nicht sehr erfreut über ungebetene Gäste sein…</t>
  </si>
  <si>
    <t>Buried Alive - Lebendig begraben</t>
  </si>
  <si>
    <t>Levande begravd</t>
  </si>
  <si>
    <t>Sweden</t>
  </si>
  <si>
    <t>Crime, Mystery, Thriller</t>
  </si>
  <si>
    <t>tt1373498</t>
  </si>
  <si>
    <t>Peter Haber, Mikael Persbrandt, Måns Nathanaelson</t>
  </si>
  <si>
    <t>Auf einem Spielplatz in Stockholm finden eine Mutter und ihre kleine Tochter eine seltsame Holzkiste, die an einen Sarg erinnert. Beck und sein Team stellen vor Ort fest, dass es tatsächlich ein selbstgebauter Sarg war, in den Staatsanwältin Annika Runstrand offenbar lebendig hineingelegt wurde und dann - durch Drogen gelähmt - bei vollem Bewusstsein erstickt sein muss. Der erste Verdächtige, Motorrad-Rowdy Matte Larsson, den Annika hinter Gitter gebracht hatte, und der soeben aus dem Gefängnis entlassen wurde, wird ebenfalls ermordet aufgefunden, auf ähnliche Weise, mit dem Unterschied, dass er bei vollem Bewusstsein ertrunken ist. In einem Waldstück wird ein weiteres Grab gefunden, bereits einpaar Monate alt. Der Tote scheint vom selben Täter ins Jenseits befördert worden zu sein: wieder eine Holzkiste, wieder die schwarze Folie, aber das Opfer wurde vorher misshandelt.</t>
  </si>
  <si>
    <t>Chase - Tödliches Spiel</t>
  </si>
  <si>
    <t>Death Chase</t>
  </si>
  <si>
    <t>tt0094973</t>
  </si>
  <si>
    <t>Paul L. Smith, Jack Starrett, William Zipp, Bainbridge Scott, Reggie De Morton</t>
  </si>
  <si>
    <t>Steven Chase führt ein ganz normales Leben. Das ändert sich schlagartig, als er Zeuge eines Verbrechens wird. Ein sterbender Mann drückt ihm seine Waffe in die Hand. Und damit wird er zur Zielscheibe in einem mysteriösen, tödlichen Spiel. Der Revolver ist der Schlüssel zu einem Bankkonto – wenn er die Jagd überlebt. Sollte er sie jedoch nicht überleben, wird er zur Gefahr für die mächtigen Drahtzieher hinter den Kulissen.</t>
  </si>
  <si>
    <t>City of Lies</t>
  </si>
  <si>
    <t>tt2677722</t>
  </si>
  <si>
    <t>Johnny Depp, Forest Whitaker, Toby Huss</t>
  </si>
  <si>
    <t>Der Polizist Russell Poole wird 1997 in Los Angeles mit der Untersuchung der Morde an Tupac Shakur und Biggie Smalls aka The Notorious B.I.G. betraut. Er fällt jedoch in Ungnade und kann den Fall nicht lösen, weshalb der genaue Tathergang und die Identität der Mörder der Rapper auch fast zwei Jahrzehnte später weiter im Unklaren bleiben.  Dann aber taucht der Journalisten Jackson auf, der die Ungereimtheiten der beiden Mordfälle erneut ins Visier nimmt. Gemeinsam beginnen die zwei Männer, nach gefährlichen Antworten zu forschen, die sie auf ihrer Wahrheitssuche nicht nur zur Plattenfirma Death Row Records, sondern auch in die eigenen Reihen der Polizei führen.</t>
  </si>
  <si>
    <t>Close - Dem Feind zu nah</t>
  </si>
  <si>
    <t>Close</t>
  </si>
  <si>
    <t>tt5316540</t>
  </si>
  <si>
    <t>Noomi Rapace, Sophie Nélisse, Indira Varma, Eoin Macken, Akin Gazi</t>
  </si>
  <si>
    <t>Sam ist eine der besten Leibwächterinnen der Welt und kommt vor allem in Kriegsgebieten zum Einsatz. Nun hat sie einen Job, der für die hochqualifizierte Personenschützerin zunächst so einfach wie Babysitting wirkt: Sie soll die reiche Zoe beschützen. Die verwöhnte 18-Jährige mit ihrem naiven Gemüt und Sam als abgebrühte Sicherheitsexpertin, die es regelmäßig mit Terroristen und Attentätern zu tun bekommt, könnten kaum unterschiedlicher sein. Dennoch müssen die beiden jetzt enger zusammenarbeiten, als ihnen lieb ist, denn Sam soll die Jugendliche nicht ohne Grund beschützen: Mysteriöse Attentäter haben es auf die Erbin abgesehen und schrecken nicht vor Gewalt zurück. Die Gefahr erweist sich sogar für die erfahrene Leibwächterin Sam als zu groß, um sie alleine abzuwehren. Zoe bleibt nun nichts anderes übrig, als gemeinsam mit dem Profi um ihr Leben zu kämpfen…</t>
  </si>
  <si>
    <t>Coda</t>
  </si>
  <si>
    <t>CODA</t>
  </si>
  <si>
    <t>France, Canada, United States</t>
  </si>
  <si>
    <t>tt10366460</t>
  </si>
  <si>
    <t>Emilia Jones, Marlee Matlin, Troy Kotsur</t>
  </si>
  <si>
    <t>Als CODA (Kind gehörloser Erwachsener) ist Ruby das einzig hörende Mitglied in ihrer Familie. Als sie ihre Leidenschaft für das Singen entdeckt, muss Ruby sich zwischen ihren familiären Verpflichtungen und ihren Träumen entscheiden.</t>
  </si>
  <si>
    <t>Cold Blood - Kein Ausweg, keine Gnade</t>
  </si>
  <si>
    <t>Deadfall</t>
  </si>
  <si>
    <t>tt1667310</t>
  </si>
  <si>
    <t>Eric Bana, Olivia Wilde, Charlie Hunnam, Kate Mara, Kris Kristofferson</t>
  </si>
  <si>
    <t>Nach einem Überfall und folgendem Autounfall, der ihre Flucht abrupt unterbricht, muss sich ein Geschwisterpaar mit traumatischer Vergangenheit trennen. In der Winterlandschaft an der kanadischen Grenze schlägt sich Addison durch die Natur, während Schwester Liza von einem gefallenen Boxhelden mitgenommen wird. Verfolgt von Cops, werden sich die Geschwister wieder begegnen. Addisons Weg wird dann von Gewalt, Lizas von Liebe gezeichnet sein, die sie bisher nur in der obsessiven brüderlichen Variante kannte.</t>
  </si>
  <si>
    <t>Cold Blood Legacy</t>
  </si>
  <si>
    <t>Cold Blood</t>
  </si>
  <si>
    <t>France, Ukraine, Belgium</t>
  </si>
  <si>
    <t>Thriller, Action</t>
  </si>
  <si>
    <t>tt9082020</t>
  </si>
  <si>
    <t>Jean Reno, Sarah Lind, David Gyasi, Ihor Ciszkewycz, François Guétary</t>
  </si>
  <si>
    <t>Henry war einer der legendärsten Auftragsmörder des Landes, welcher nun die Isolation in seiner Hütte am See, tief in der nordamerikanischen Wildnis geniesst. Als plötzlich sein wohlverdienter Ruhestand durch den Schneemobil-Unfall einer jungen Frau gestört wird und die Behörden dadurch auf ihn aufmerksam werden, muss er sich entscheiden, ob er sein eigenes Leben für ihres riskiert..</t>
  </si>
  <si>
    <t>Cold in July</t>
  </si>
  <si>
    <t>United States, France</t>
  </si>
  <si>
    <t>tt1179031</t>
  </si>
  <si>
    <t>Michael C. Hall, Sam Shepard, Don Johnson</t>
  </si>
  <si>
    <t>Texas in den 1980er Jahren. Das friedliche Leben des Ehepaars Richard und Ann Dane ändert sich schlagartig, als Richard eines Nachts einen Einbrecher aus Notwehr tötet. Danach wird der Familienvater nicht nur von Schuldgefühlen geplagt, sondern auch mit Russel, dem Vater des Getöteten, konfrontiert. Dieser entpuppt sich als gewaltverherrlichender Ex-Sträfling und sinnt auf Rache, die sich in einer alttestamentarischen Auffassung von Gerechtigkeit zu äußern droht. Um seinen eigenen Sohn zu beschützen, tut sich Richard deshalb mit dem eigenwilligen Gesetzeshüter Jim Bob Luke zusammen. Als sich herausstellt, dass Russel jedoch gar nicht der Vater des Verstorbenen ist, wittert Richard ein Komplott und versucht, die dunkle Wahrheit ans Licht zu bringen.</t>
  </si>
  <si>
    <t>Come and find me</t>
  </si>
  <si>
    <t>Come and Find Me</t>
  </si>
  <si>
    <t>Canada, United States, United Kingdom</t>
  </si>
  <si>
    <t>tt2597768</t>
  </si>
  <si>
    <t>Aaron Paul, Annabelle Wallis, Garret Dillahunt</t>
  </si>
  <si>
    <t>Kein Abschiedsbrief, kein Hinweis auf eine Entführung, keine Vorwarnung: Von einem Tag auf den anderen verschwand Davids Freundin spurlos aus seinem Leben. Gerade als David dabei ist, nach über einem Jahr die erfolglose Suche nach Claire aufzugeben, stößt er zufällig auf eine neue Fährte. Alle Hinweise deuten darauf hin, dass Claire nicht die Person war, die sie zu sein schien. Die frische Spur bringt ihn allerdings nicht nur ein Stück näher an Claire, sondern ruft auch gefährliche und gewaltbereite Fremde auf den Plan, die mit der Vermissten anscheinend eine offene Rechnung zu begleichen haben ...</t>
  </si>
  <si>
    <t>Compliance</t>
  </si>
  <si>
    <t>tt1971352</t>
  </si>
  <si>
    <t>Ann Dowd, Dreama Walker, Pat Healy</t>
  </si>
  <si>
    <t>Wie jeden Tag steht Sandra als Geschäftsführerin eines Fast-Food-Restaurants enorm unter Druck. Und heute ganz besonders, da am Vortag vergessen wurde, den Gefrierraum zu schließen. Unzufriedene Kunden, die ihre Burger nun nicht in gewohnten Umfang genießen können, sind da noch ihr kleinstes Problem. Obendrein ist durch das Versehen eines ihrer Angestellten, ein enormer finanzieller Schaden entstanden, der den Druck für Sandra unerträglich hochschraubt. Als sie kurz darauf den Anruf eines Polizisten erhält, der ihr mitteilt, dass eine ihrer Angestellten einer Kundin Geld gestohlen hat, glaubt sie dies ohne Weiteres, und lässt es diese auf gut überlegte und demütigende Weise spüren …</t>
  </si>
  <si>
    <t>Copykill</t>
  </si>
  <si>
    <t>Copycat</t>
  </si>
  <si>
    <t>Thriller, Krimi, Mystery</t>
  </si>
  <si>
    <t>tt0112722</t>
  </si>
  <si>
    <t>Sigourney Weaver, Holly Hunter, Dermot Mulroney, William McNamara, Harry Connick Jr.</t>
  </si>
  <si>
    <t>Die Kriminalpsychologin Helen Hudson wird Opfer eines brutalen Mordanschlags. Sie überlebt, ist danach aber nicht mehr in der Lage, die vier Wände ihres Luxusapartments zu verlassen. Von nun an ist der Computer ihre einzige Verbindung zur Außenwelt. Als 13 Monate später ein Massenmörder umgeht, der mit seinen Bluttaten Vorbilder wie Jeffrey Dahmer oder Ted Bundy imitiert, entschließt sich Helen gemeinsam mit der patenten Kommissarin M.J. Monahan, dem irren Killer ein für alle Mal das Handwerk zu legen.</t>
  </si>
  <si>
    <t>D.O.A. - Bei Ankunft Mord</t>
  </si>
  <si>
    <t>D.O.A.</t>
  </si>
  <si>
    <t>tt0094933</t>
  </si>
  <si>
    <t>Dennis Quaid, Meg Ryan, Charlotte Rampling, Daniel Stern, Jane Kaczmarek</t>
  </si>
  <si>
    <t>Der Literaturprofessor Dexter Cornell wurde vergiftet und hat nur noch zwei Tage zu leben. Zusammen mit der Studentin Sidney, mit der er ein Verhältnis hat, macht er sich auf die Suche nach dem Täter.</t>
  </si>
  <si>
    <t>Da waren's nur noch zwei</t>
  </si>
  <si>
    <t>Vals</t>
  </si>
  <si>
    <t>tt7330392</t>
  </si>
  <si>
    <t>Romy Gevers, Holly Mae Brood, Abbey Hoes, Olivia Lonsdale, Thijs Boermans</t>
  </si>
  <si>
    <t>Kurz vor Weihnachten möchten die vier Freundinnen Kim, Feline, Abby und Pippa ein paar gemeinsame Urlaubstage verbringen. Doch kaum sind sie in dem einsam gelegenen Ferienhaus angekommen, fängt es an, zu schneien – und hört nicht mehr auf. Die vier sitzen fest, das nächste Ferienhaus ist kilometerweit entfernt und das Mobilfunknetz funktioniert nicht. Auf engstem Raum werden die Spannungen zwischen den Mädchen immer deutlicher, denn jede von ihnen hat etwas zu verbergen. Als sie Spuren im Schnee entdecken, befürchten sie, dass sie beobachtet werden. Dann verschwindet die erste von ihnen...</t>
  </si>
  <si>
    <t>Das blutrote Kleid</t>
  </si>
  <si>
    <t>In Fabric</t>
  </si>
  <si>
    <t>tt7464188</t>
  </si>
  <si>
    <t>Marianne Jean-Baptiste, Sidse Babett Knudsen, Julian Barratt, Richard Bremmer, Fatma Mohamed</t>
  </si>
  <si>
    <t>Ein Blick und schon ist es um Sheila geschehen: Das leuchtend blutrote Kleid, das sie im Luxuskaufhaus beim Schlussverkauf entdeckt, muss sie einfach haben Sie spürt, dass sich alles in ihrem Leben zum Guten wenden wird, wenn sie es trägt. Sheila kann nicht wissen, dass das Kaufhaus ein finsteres Geheimnis verbirgt und ein uralter Fluch auf dem Kleid lastet ...</t>
  </si>
  <si>
    <t>Das Erwachen der Jägerin</t>
  </si>
  <si>
    <t>The Marsh King's Daughter</t>
  </si>
  <si>
    <t>tt8002382</t>
  </si>
  <si>
    <t>Daisy Ridley, Ben Mendelsohn, Garrett Hedlund, Caren Pistorius, Brooklynn Prince</t>
  </si>
  <si>
    <t>Helena lebt mit ihrem Ehemann Stephen und ihrer kleinen Tochter ein idyllisches Leben in einer Vorstadtsiedlung in Michigan. Doch hinter der scheinbar perfekten Fassade verbirgt sich ein düsteres Geheimnis: Helenas Vater ist als der gefürchtete "Moorkönig" bekannt - ein Entführer und verurteilter Mörder, der sie und ihre Mutter jahrelang in der Wildnis gefangen hielt. Helena hat ihr ganzes Leben versucht, diese grauenvolle Wahrheit hinter sich zu lassen. Selbst ihre engsten Familienangehörigen ahnen nichts davon. Doch als ihr Vater nach 18 Jahren Gefängnisaufenthalt ausbricht, holt sie die Vergangenheit mit voller Wucht ein. Helena spürt, dass er sie sucht und ihre Familie in unmittelbarer Gefahr schwebt. Um ihre Liebsten zu schützen, werden ihre längst vergessenen Instinkte plötzlich wieder lebendig und der einstige Jäger wird nun selbst zum Gejagten.</t>
  </si>
  <si>
    <t>Das Experiment</t>
  </si>
  <si>
    <t>tt0254316</t>
  </si>
  <si>
    <t>Alfred Rückert, Eva-Maria Ulrich</t>
  </si>
  <si>
    <t>Tankwart Robert schnitzt leidenschaftlich gerne Figuren aus Holz. Als der rätselhafte Dr. Magrew mit seiner Tochter Jane an der Tankstelle vorbei kommt, ist er von Roberts Künsten begeistert. Er bietet dem Schnitzer sofort eine Stelle an. Doch hinter seiner Großzügigkeit steckt ein grausamer Plan. Dr. Magrew will eine perfekte Rasse menschlicher Puppen herstellen.</t>
  </si>
  <si>
    <t>Das geheime Fenster</t>
  </si>
  <si>
    <t>Secret Window</t>
  </si>
  <si>
    <t>tt0363988</t>
  </si>
  <si>
    <t>Johnny Depp, John Turturro, Maria Bello, Timothy Hutton, Charles S. Dutton</t>
  </si>
  <si>
    <t>Der Schriftsteller Mort Rainey hatte auch schon einmal bessere Zeiten. Erst erwischt er seine Frau Amy beim Seitensprung, dann taucht der mysteriöse Shooter auf und bezichtigt Mort des Plagiats. Shooter behauptet, dass Mort seinen Roman „Das geheime Fenster“ abgeschrieben hat. Was Mort zunächst für einen Witz hält, den er schnell aufklären kann, wird nach und nach durch unheimliche Ereignisse zur Realität. Denn so sehr Mort auch versucht, eine Kopie seines Buches zu beschaffen, welches seine Unschuld beweisen könnte, es misslingt ihm ständig. Und Shooter hat ihm ein Ultimatum von drei Tagen gestellt.</t>
  </si>
  <si>
    <t>Das Komplott - Verrat auf höchster Ebene</t>
  </si>
  <si>
    <t>La cordillera</t>
  </si>
  <si>
    <t>AR, FR, ES</t>
  </si>
  <si>
    <t>Ricardo Darín, Érica Rivas, Gerardo Romano, Dolores Fonzi, Elena Anaya</t>
  </si>
  <si>
    <t>Gipfeltreffen lateinamerikanischer Staatsoberhäupter in einem chilenischen Skigebiet. Der frischgebackene argentinische Präsident Hernán Blanco sieht seine Regierung Korruptionsvorwürfen ausgesetzt, die vom Ex-Mann seiner Tochter Marina ausgehen. Als er sie deshalb einfliegen lässt, erleidet die junge Frau kurz darauf einen Nervenzusammenbruch. Ein Psychiater versetzt sie in Hypnose, und dabei offenbaren sich mysteriöse Erinnerungen, die Marina gar nicht haben dürfte. Welches düstere Geheimnis verbirgt sich in der Vergangenheit der präsidialen Familie?</t>
  </si>
  <si>
    <t>Das Messer</t>
  </si>
  <si>
    <t>tt5547988</t>
  </si>
  <si>
    <t>Péter Kertész, Kati Bus, Ferenc Némethy</t>
  </si>
  <si>
    <t>Das Osterman Weekend</t>
  </si>
  <si>
    <t>The Osterman Weekend</t>
  </si>
  <si>
    <t>tt0086058</t>
  </si>
  <si>
    <t>Rutger Hauer, John Hurt, Craig T. Nelson, Dennis Hopper, Chris Sarandon</t>
  </si>
  <si>
    <t>Der kritische Fernsehjournalist John Tanner trifft sich wie jedes Jahr mit drei Freunden und ihren Familien zum sogenannten Osterman Weekend. Diesmal wird er zuvor von der CIA angesprochen. Der Geheimdienst will das Treffen observieren, denn Tanners Freunde stehen im Verdacht, für den KGB zu arbeiten.</t>
  </si>
  <si>
    <t>The Silence of the Lambs</t>
  </si>
  <si>
    <t>Das Spinnennetz</t>
  </si>
  <si>
    <t>tt1706331</t>
  </si>
  <si>
    <t>Marlies Schönau, Eva Demski, Hans E. Schons</t>
  </si>
  <si>
    <t>Clarissa Hailsham-Brown hat einen seltsamen Zeitvertreib. Sie erfindet in Gedanken absurde Situationen, in die sie plötzlich geraten könnte. So hat sie auch für den Fall, dass eines Tages in ihrer Bibliothek einen Toter liegt, seit langem einen genauen Plan, wie darauf zu reagieren wäre. Als das Spiel jedoch auf einmal tödlicher Ernst wird, erweist sich schnell die Unzulänglichkeit ihrer Vorstellungskraft. Um den Mordverdacht zu entkräften, der auf ihr lastet, muss Clarissa selbst ermitteln...</t>
  </si>
  <si>
    <t>Das Urteil - Jeder Ist Käuflich</t>
  </si>
  <si>
    <t>Runaway Jury</t>
  </si>
  <si>
    <t>tt0313542</t>
  </si>
  <si>
    <t>John Cusack, Gene Hackman, Dustin Hoffman, Rachel Weisz, Bruce Davison</t>
  </si>
  <si>
    <t>Nick Easter arbeitet als Verkäufer von Videogames und interessiert sich so gar nicht für seine staatsbürgerlichen Pflichten. So ist er dann auch eher genervt als erfreut, als er eine Vorladung als Jury-Mitglied für den größten Prozess des Jahres bekommt: Celeste Wood verklagt einen Waffenkonzern, der die Waffe hergestellt hat, die ihren Mann tötete. Doch hinter den Fassaden der Verhandlung tobt ein erbitterter Krieg zwischen dem Anwalt der Anklägerin, Wendell Rohr, und dem von den Waffenherstellern angeheuerten Rankin Fitch, der um jeden Preis versucht, die Jury auf die Seite des Waffenkonzerns zu drehen – mit mehr oder weniger legalen Mitteln. Als jedoch die mysteriöse Marlee auftaucht und behauptet, die Jury in der Hand zu haben und das Urteil verkaufen will, beginnt ein gefährliches Katz-und-Maus-Spiel, in dem für alle Beteiligten mehr als nur das Urteil auf dem Spiel steht.</t>
  </si>
  <si>
    <t>Das Versteck</t>
  </si>
  <si>
    <t>Romance, Comedy, Drama</t>
  </si>
  <si>
    <t>tt0076876</t>
  </si>
  <si>
    <t>Jutta Hoffmann, Manfred Krug, Alfred Müller</t>
  </si>
  <si>
    <t>Eines Morgens steht Max vor der Tür seiner geschiedenen Frau Wanda und bittet um Einlass. Er werde von der Polizei gesucht, sei aber nicht schuldig. Irgendwann am kommenden Wochenende werde sich der Fall klären, und bis dahin brauche er Unterschlupf. Die verstörte Wanda, die gerade ihren neuen Freund zu Besuch hat, nimmt Max bei sich auf. Doch Max hat Wanda angelogen, er wird gar nicht gesucht, es ist nur ein Trick, um wieder in ihrer Nähe zu sein, vielleicht wieder mit ihr zu leben. So werden die Tage im “Versteck” zu Tagen der Prüfung…</t>
  </si>
  <si>
    <t>Departed – Unter Feinden</t>
  </si>
  <si>
    <t>The Departed</t>
  </si>
  <si>
    <t>United States, Hong Kong</t>
  </si>
  <si>
    <t>tt0407887</t>
  </si>
  <si>
    <t>Leonardo DiCaprio, Matt Damon, Jack Nicholson, Mark Wahlberg, Martin Sheen</t>
  </si>
  <si>
    <t>Der brutale Bostoner Mafiaboss Frank Costello hat es geschafft, mit Colin Sullivan einen seiner treuesten Männer bei der städtischen Polizei einzuschleusen, um stets auf dem Laufenden über die geplanten Aktivitäten der Cops zu bleiben. Und weil die Taktik, den Gegner mit Hilfe eines Maulwurfs auszuspionieren, zwar alt aber effektiv ist, hatten auch Polizeichef Queenan und Sergeant Digman diese Idee. Ihr Undercover-Ermittler Billy Costigan hat sich schnell zu einem der engsten Vertrauten von Pate Costello hochgearbeitet. Als sowohl die Mafia als auch das Police-Department erfahren, dass sich ein Falschspieler in ihren Reihen befindet, ohne aber dessen Identität zu kennen, müssen Sullivan und Costigan alles daran setzen, dass der jeweils andere zuerst auffliegt, um somit ihre eigene Tarnung aufrecht erhalten zu können.</t>
  </si>
  <si>
    <t>Der Anwalt des Teufels</t>
  </si>
  <si>
    <t>The Escape Artist</t>
  </si>
  <si>
    <t>tt2649522</t>
  </si>
  <si>
    <t>David Tennant, Toby Kebbell, Brid Brennan</t>
  </si>
  <si>
    <t>Der Besitzer des Restaurants Paesan, Pavle Agutoli, wird während des laufenden Betriebs erschossen. Bei der Befragung der Gäste stellt sich heraus, dass niemand etwas gesehen haben will. Alle Zeugen scheinen eingeschüchtert. Als sich dann herausstellt, dass der Bruder der Ermittlerin Alex mit zwei der Verdächtigen eine berufliche Vergangenheit verbindet, schreitet Beck ein. Zudem spitzt sich die Situation zwischen Steinar und Alex weiter zu.</t>
  </si>
  <si>
    <t>Der Engel</t>
  </si>
  <si>
    <t>Der Engel mit dem Saitenspiel</t>
  </si>
  <si>
    <t>tt0036792</t>
  </si>
  <si>
    <t>Hertha Feiler, Hans Söhnker, Hans Nielsen</t>
  </si>
  <si>
    <t>In The Music Box verliert die sechsjährige Sophie auf tragische Weise beide Elternteile. Ihre Tante Annabelle übernimmt das Sorgerecht und zieht mit ihr in ein altes viktorianisches Anwesen, in dem die beiden eine seltsame Musikbox entdecken.</t>
  </si>
  <si>
    <t>Der Falke und der Schneemann</t>
  </si>
  <si>
    <t>The Falcon and the Snowman</t>
  </si>
  <si>
    <t>tt0087231</t>
  </si>
  <si>
    <t>Timothy Hutton, Sean Penn, Pat Hingle, Joyce Van Patten, Art Camacho</t>
  </si>
  <si>
    <t>Christopher Boyce ist Amerikaner. Er bewacht streng vertrauliche Dokumente mit hochbrisantem Inhalt.Was er dabei erfährt, zerstört sein Vertrauen in das bestehende System seiner Heimat. Voll Wut beginnt er einen gefährlichen Kampf gegen die amerikanische Rüstungsindustrie.Mit seinem Freund Daulton Lee zusammen verkauft er die Top-Secret-Papiere an die Sowjets. Gut bezahlt, jedoch auch ziemlich naiv, geraten die beiden Weltverbesserer zwischen die Fronten der beiden mächtigsten Geheimdienste der Welt...</t>
  </si>
  <si>
    <t>Der Gejagte</t>
  </si>
  <si>
    <t>Der Gejagte - im Netz der Camorra</t>
  </si>
  <si>
    <t>tt22746600</t>
  </si>
  <si>
    <t>Tobias Moretti, Harald Windisch, Antonia Moretti</t>
  </si>
  <si>
    <t>Meisterdiebin Selina Kyle will sich einen kostbaren Juwel unter ihre Catwoman-Nägel reißen. Um den Diebstahl erfolgreich durchzuführen, muss sie aber nicht nur Interpol abschütteln, sondern auch einige Bösewichte aus Gotham City sowie ein mächtiges Unternehmen, welches die listige Katze aus dem Verkehr ziehen will</t>
  </si>
  <si>
    <t>Der Kuss vor dem Tode</t>
  </si>
  <si>
    <t>Perry Mason: The Case of the Killer Kiss</t>
  </si>
  <si>
    <t>tt0107811</t>
  </si>
  <si>
    <t>Raymond Burr, Barbara Hale, William R. Moses</t>
  </si>
  <si>
    <t>Bei den Dreharbeiten zu einer beliebten Seifenoper kommt es zu einem Eklat zwischen dem Darsteller Mark Stratton (Sean Kanan) und seiner jungen Kollegin Kris Buckner (Genie Francis). Bevor sie das Set verlässt, droht Kris Bruckner vor mehreren Zeugen, dass sie Stratton umbringen werde. Kurz darauf wird Stratton tatsächlich ermordet aufgefunden, und Kris Buckner ist die Hauptverdächtige. Ihr alter Freund Perry Mason (Raymond Burr) glaubt, dass Kris unschuldig ist und übernimmt ihre Verteidigung. Ken (William R. Moses) versucht derweil, über einen Fan der Serie an mehr Informationen zu gelangen.</t>
  </si>
  <si>
    <t>Der siebte Geschworene</t>
  </si>
  <si>
    <t>Le Septième Juré</t>
  </si>
  <si>
    <t>tt0188195</t>
  </si>
  <si>
    <t>Bernard Blier, Maurice Biraud, Francis Blanche, Danièle Delorme, Jacques Riberolles</t>
  </si>
  <si>
    <t>Grégoire Duval ist ein ehrlicher und rechtschaffener Apotheker. Doch eines Tages tötet er wie im Wahn eine junge Frau. Sylvain Sautral, der Liebhaber der Frau, gerät schnell in Verdacht, denn er und das Opfer stritten viel. Als er wegen Mordes angeklagt wird und vor Gericht kommt, wird Duval zum Geschworenen ernannt. Dieser kann sich selbst zu keinem Geständnis durchringen, die Verurteilung des unschuldigen Sautral aber auch nicht mit seinem Gewissen vereinbaren.</t>
  </si>
  <si>
    <t>Der Sturm</t>
  </si>
  <si>
    <t>tt0311870</t>
  </si>
  <si>
    <t>Martin Held, Rakhchandeh Ettehad, Hans Dieter Zeidler</t>
  </si>
  <si>
    <t>... verwegene Gestalten, die sich gegenseitig nicht über den Weg trauen. Es gilt, wichtige Dokumente zurückzuerobern, die Regierungstruppen bei einem Massaker erbeuteten. Trotz tagelangen Märschen durch den brandheißen Dschungel, hinterhältigen Überfällen durch Soldaten und Eingeborene, erfüllen sie mit beinahe letzter Kraft ihren Auftrag. Doch der Rückmarsch wird zu einem Himmelfahrtskommando.</t>
  </si>
  <si>
    <t>Der talentierte Mr. Ripley</t>
  </si>
  <si>
    <t>The Talented Mr. Ripley</t>
  </si>
  <si>
    <t>tt0134119</t>
  </si>
  <si>
    <t>Matt Damon, Gwyneth Paltrow, Jude Law, Cate Blanchett, Philip Seymour Hoffman</t>
  </si>
  <si>
    <t>Der mittellose Tom Ripley erhält den Auftrag, nach Italien zu reisen, um seinen Altersgenossen, den jungen amerikanischen Playboy Dickie Greenleaf zu überreden, in die USA zurückzukehren. Dickie aber bleibt hartnäckig und zieht es vor, weiterhin das Dolce Vita mit seiner reizenden Verlobten Marge zu genießen. Tom beneidet Dickie um das Leben, das er führt. Eines Tages, während einer gemeinsamen Reise zum Jazzfestival von San Remo, kommt es zu einer Rauferei, die fast aus Versehen beginnt, sich aber zum todernsten Kampf ausweitet. Mit viel Talent schlüpft Tom Ripley von nun an in die Haut des getöteten Dickie Greenleaf, eignet sich seinen Lebensstil an und will alles hinter sich lassen. Er genießt sein Leben am Abgrund, denn einige Menschen, die Dickie Greenleaf nahe standen, stellen sich natürlich Fragen: Ist es möglich, dass jemand, selbst wenn er so extrem launisch ist wie Dickie, einfach verschwindet?</t>
  </si>
  <si>
    <t>Der Tod lauert in Kairo</t>
  </si>
  <si>
    <t>Ruby Cairo</t>
  </si>
  <si>
    <t>United States, Japan, United Kingdom, Mexico</t>
  </si>
  <si>
    <t>tt0107999</t>
  </si>
  <si>
    <t>Andie MacDowell, Liam Neeson, Viggo Mortensen, Jack Thompson, Paul Spencer</t>
  </si>
  <si>
    <t>Bessie Faro lebt mit ihren drei Kindern in einer ärmlichen Gegend von Los Angeles. Als ihr Mann Johnny verschwindet, macht sie sich auf die Suche.</t>
  </si>
  <si>
    <t>Desperate Measures</t>
  </si>
  <si>
    <t>tt0118966</t>
  </si>
  <si>
    <t>Michael Keaton, Andy Garcia, Brian Cox</t>
  </si>
  <si>
    <t>Um das Leben seines zehnjährigen Sohnes zu retten, der dringend eine Knochenmarkspende benötigt, macht ein Chicagoer Polizist in der Datenbank des FBI einen potentiellen Spender ausfindig. Dieser ist ein verurteilter Massenmörder. Er willigt nur ein, um die Verlegung in ein Hospital zur Flucht zu benutzen. Dort geht dieser mit äußerster Brutalität vor, und der Polizist gerät in die widersprüchliche Situation, den Killer verfolgen und gleichzeitig vor dem tödlichen Zugriff seiner Kollegen retten.</t>
  </si>
  <si>
    <t>Devil’s Knot – Im Schatten der Wahrheit</t>
  </si>
  <si>
    <t>Devil's Knot</t>
  </si>
  <si>
    <t>tt0804463</t>
  </si>
  <si>
    <t>Reese Witherspoon, Colin Firth, Alessandro Nivola, James Hamrick, Seth Meriwether</t>
  </si>
  <si>
    <t>Memphis, 1993: Drei Kinder verabreden sich zum Spielen im Wald, doch sie kehren nie zurück. Die Jungs werden - brutal ermordet - in einem Waldstück aufgefunden. Pam Hobbs ist die Mutter eines der Kinder und wohnt in einer extrem religiösen Gemeinde in der Nähe des Tatorts. Nach der Tat zerbricht die Frau beinahe an den emotionalen Qualen, bis sie sich besinnt und nach Gerechtigkeit verlangt. Als sie drei ältere Jungen aus der Gemeinde verdächtigt, die Tat begangen zu haben, distanziert sich auch die Gemeinde mehr und mehr von der Frau, die ihre Behauptungen und Beschuldigungen im Affekt aufstellt. Die Skepsis wird von dem Privatdetektiv Ron Lax geteilt, der tiefergehende Nachforschungen anstellt, um den Täter zu schnappen. Dabei stellt sich der Verdacht eines satanischen Rituals nur als Spitze des Eisbergs heraus…</t>
  </si>
  <si>
    <t>Die Affäre der Sunny von B</t>
  </si>
  <si>
    <t>Reversal of Fortune</t>
  </si>
  <si>
    <t>United States, Japan, United Kingdom</t>
  </si>
  <si>
    <t>tt0100486</t>
  </si>
  <si>
    <t>Glenn Close, Jeremy Irons, Ron Silver, Annabella Sciorra, Uta Hagen</t>
  </si>
  <si>
    <t>Einer der spektakulärsten Prozesse der 80er-Jahre drehte sich um Claus von Bülow, der angeklagt war, seine reiche Frau Sunny mit einer Überdosis Insulin in ein permanentes Koma versetzt zu haben. Regisseur Barbet Schroeder und Drehbuchautor Nicholas Kazan nahmen die Geschichte zum Anlass, über das Leben von Menschen zu reflektieren, die zu viel Zeit und zu viel Geld haben. Zugleich funktioniert ihr Film aber auch als Krimi, der verfolgt, wie der Anwalt Alan Dershowitz sich darauf vorbereitet, Bülow vor Gericht zu verteidigen. Jeremy Irons gewann einen Oscar für seine Darstellung, die die Abgründe hinter der Fassade gelangweilter Eleganz stets nur andeutet. Der Gegensatz zwischen dem angriffslustigen Dershowitz und dem antriebslosen von Bülow verleihen dem Ganzen zudem eine Prise Humor.</t>
  </si>
  <si>
    <t>Die Anwältin</t>
  </si>
  <si>
    <t>Uma Advogada Brilhante</t>
  </si>
  <si>
    <t>Brazil</t>
  </si>
  <si>
    <t>tt32864398</t>
  </si>
  <si>
    <t>Leandro Hassum, Ale McHaddo, Bruno Garcia</t>
  </si>
  <si>
    <t>Dr. Michelle, ein frisch geschiedener Anwalt, beschließt, sich als Frau zu verkleiden, um während einer Umstrukturierung seinen Job zu behalten und das Sorgerecht für seinen Sohn zu erhalten. Das Leben als Frau erweist sich jedoch als schwieriger als erwartet.</t>
  </si>
  <si>
    <t>Die Frau im Eis</t>
  </si>
  <si>
    <t>Spuren im Eis - Eine Frau sucht die Wahrheit</t>
  </si>
  <si>
    <t>Switzerland, Germany</t>
  </si>
  <si>
    <t>tt0234790</t>
  </si>
  <si>
    <t>Idil Üner, Benjamin Sadler, Stefan Gubser</t>
  </si>
  <si>
    <t>Rechtsanwalt Eriks wohl situiertes Leben gerät aus den Fugen, als sein Arbeitgeber ihn für das Fehlen von 30 Millionen Euro verantwortlich macht. Sein abgewrackter Bruder Atli scheint die richtigen Verbindungen zur kriminellen Unterwelt zu haben, um mithilfe eines Drogenschmuggels den Betrag ausgleichen zu können. Doch ihr menschlicher Kurier, die junge Sofia, fliegt auf und die ungleichen Brüder sehen sich immer tiefer in einen perfiden Strudel der Gewalt gezogen. Das Netz aus Polizei, skrupellosen Finanzhaien und eiskalter Mafia scheint ihnen kein Schlupfloch mehr zu bieten.</t>
  </si>
  <si>
    <t>Die Hand an der Wiege</t>
  </si>
  <si>
    <t>The Hand That Rocks the Cradle</t>
  </si>
  <si>
    <t>tt0104389</t>
  </si>
  <si>
    <t>Annabella Sciorra, Rebecca De Mornay, Matt McCoy</t>
  </si>
  <si>
    <t>Die schwangere Claire zeigt ihren Frauenarzt an, der sie bei einer Untersuchung unsittlich berührt. Als der sich aus Angst vor der Schande das Leben nimmt, kommt es zur Fehlgeburt bei seiner ebenfalls schwangeren Witwe Peyton. Die schwer traumatisierte Peyton schwört Rache und nimmt eine Stelle bei Claires Familie als Kindermädchen. Mit Tricks, Intrigen, Drohungen und schließlich Mord versucht sie Schritt für Schritt Claire zunächst das Baby und schließlich auch ihren Mann Michael abspenstig zu machen. Als Michael sich jedoch auf die Seite seiner Frau stellt, beginnt ein mörderischer Zweikampf. Dem geistig behinderten Gärtner Solomon ist es zu verdanken, daß Peyton gestoppt wird.</t>
  </si>
  <si>
    <t>Die Hölle</t>
  </si>
  <si>
    <t>Im Himmel ist die Hölle los</t>
  </si>
  <si>
    <t>tt0089329</t>
  </si>
  <si>
    <t>Billie Zöckler, Dirk Bach, Barbara Valentin</t>
  </si>
  <si>
    <t>Ein junges Ehepaar - Jonathan und Carol Henderson - haben sich gerade ihr Traumhaus gekauft. Noch ahnen sie nicht, daß es zu einem Alptraum wird. Gleich nach ihrem Einzug passiert es: der Geist der toten früheren Bewohner treibt makabren Psychoterror mit den Jungvermählten. Beängstigente Dinge erschrecken das Paar. Die Grausamkeiten steigern sich bis zu schockierenden Hinrichtungen. Das junge Paar begreift zu spät, daß es ihrer eigenen Bluthochzeit nicht entkommrn können.</t>
  </si>
  <si>
    <t>Die Kreidelinie</t>
  </si>
  <si>
    <t>Jaula</t>
  </si>
  <si>
    <t>tt12683756</t>
  </si>
  <si>
    <t>Elena Anaya, Pablo Molinero, Carlos Santos, Eva Llorach, Esther Acebo</t>
  </si>
  <si>
    <t>Paula und ihr Mann sind auf dem Rückweg von einem Abendessen mit Freunden, als sie während der Fahrt auf ein Mädchen stoßen, das allein auf der Straße läuft. Sie beschließen, sie zu den Behörden zu bringen, die sich im Laufe der Wochen für sie interessieren und überrascht sind, dass niemand gekommen ist, um sie abzuholen. Aus diesem Grund nehmen Paula und ihr Mann sie vorübergehend bei sich auf, auch um ihre Beziehung zu retten. Die Situation ist kompliziert, denn das junge Mädchen ist von einem vermeintlichen Monster besessen, das sie bestrafen wird, wenn sie aus einem mit Kreide gemalten Quadrat auf dem Boden heraustritt. Nachdem sich zwischen den beiden Frauen eine starke Bindung entwickelt hat, begibt sich Paula auf dunkle Pfade, um das Rätsel der Vergangenheit des kleinen Mädchens zu entschlüsseln.</t>
  </si>
  <si>
    <t>Die letzte Nacht in Mailand</t>
  </si>
  <si>
    <t>L'ultima notte di Amore</t>
  </si>
  <si>
    <t>tt20465746</t>
  </si>
  <si>
    <t>Pierfrancesco Favino, Linda Caridi, Antonio Gerardi, Francesco Di Leva, Katia Mironova</t>
  </si>
  <si>
    <t>Satte 35 Jahre steht Franco Amore schon im Dienst der Polizei der italienischen, vielerorts von Korruption und Verbrechen zerfressenen Großstadt Mailand. Der im Gegensatz zu manchen seiner Kollegen immer gewissenhafte und durchgehend korrekte Cop steht nun kurz vor der Pensionierung. Als Pazifist, der in seiner Freizeit Gedichte schreibt, ist er besonders stolz darauf, dass er während seiner kompletten Karriere nicht ein einziges Mal auf einen anderen Menschen geschossen hat. Doch dann klingelt am Abend seines letzten Arbeitstags das Telefon und er wird in einen schicksalhaften Vorfall verwickelt, der nicht nur Francos eben noch so geordnetes Weltbild, sondern sein ganzes Leben als Beamter, als Ehemann und loyaler Freund auf den Kopf stellt. Denn plötzlich ist er zu einer folgenschweren Entscheidung gezwungen.</t>
  </si>
  <si>
    <t>Die Nacht der Jäger</t>
  </si>
  <si>
    <t>Night Hunter</t>
  </si>
  <si>
    <t>tt6533240</t>
  </si>
  <si>
    <t>Henry Cavill, Ben Kingsley, Alexandra Daddario</t>
  </si>
  <si>
    <t>Die Polizisten Marshall und Rachel jagen einen Frauenmörder, der seine Opfer über das Internet findet. Mit Hilfe des unberechenbaren Cooper kommen sie dem Täter schließlich auf die Schliche. Doch als sie glauben, ihn geschnappt zu haben, stellt der psychisch kranke Gefangene Simon sie vor viele Rätsel und schnell wird klar, dass dort draußen immer noch Frauen in Gefahr sind. Die Cops müssen versuchen, ihrem Gefangenen seine Geheimnisse zu entlocken, um weitere Morde zu verhindern. Unterdessen werden sie für die Komplizen des Mörders selbst zu Zielen...</t>
  </si>
  <si>
    <t>Die Pom Pom Morde</t>
  </si>
  <si>
    <t>Ruthless Renegade</t>
  </si>
  <si>
    <t>tt11868392</t>
  </si>
  <si>
    <t>Anna Marie Dobbins, Lindsay Diann, Jon Schaefer, Joel Berti, Jhey Castles</t>
  </si>
  <si>
    <t>Audrey, eine junge Tänzerin, wird für das Cheerleader-Team des Star-Basketballteams von Los Angeles, den Renegades, ausgewählt. Schnell verliebt sie sich in einen berühmten Spieler, Walter James, und freundet sich außerdem mit einer der Tänzerinnen an. Doch eine Reihe mysteriöser Morde stört das Vereinsleben. Audrey beginnt eine Untersuchung und versucht, die wahren Schuldigen ausfindig zu machen.</t>
  </si>
  <si>
    <t>Die Regeln der Gewalt</t>
  </si>
  <si>
    <t>The Lookout</t>
  </si>
  <si>
    <t>tt0427470</t>
  </si>
  <si>
    <t>Joseph Gordon-Levitt, Jeff Daniels, Matthew Goode, Isla Fisher, Carla Gugino</t>
  </si>
  <si>
    <t>Chris Pratt scheint als Athlet eine hervorragende Karriere bevor zu stehen, doch eine Nachtfahrt mit seinen Freunden macht alles zunichte. Nach einem schweren Unfall bleibt er mit einem dauernden Gehirnschaden zurück und kann sich zeitweilig nicht an Dinge erinnern, die er tun will oder muß - Chris muß sich ständig Notizen machen, wenn ihm nicht sein blinder Mitbewohner Lewis hilft. In diesem Zustand bleibt Chris nur ein Hausmeister- und Reinungsjob übrig, allerdings ausgerechnet in der Bank, in die Gary Spargo mit seinen Freunden einbrechen will. Die Gruppe nutzt den Versehrten für seine Zwecke aus, doch als es soweit ist, erfährt Chris doch noch von der Trickserei und versucht, den Raub zu verhindern...</t>
  </si>
  <si>
    <t>Die schwarze Witwe</t>
  </si>
  <si>
    <t>Bulldog Drummond Comes Back</t>
  </si>
  <si>
    <t>Adventure, Crime, Mystery</t>
  </si>
  <si>
    <t>tt0028667</t>
  </si>
  <si>
    <t>John Barrymore, John Howard, Louise Campbell</t>
  </si>
  <si>
    <t>Der Amateurdetektiv Bulldog Drummond betätigt sich als Terroristenjäger.</t>
  </si>
  <si>
    <t>Die Spur der Knochen</t>
  </si>
  <si>
    <t>Objetos</t>
  </si>
  <si>
    <t>Spain, Argentina, Germany</t>
  </si>
  <si>
    <t>tt11797376</t>
  </si>
  <si>
    <t>Álvaro Morte, Eugenia Suárez, Verónica Echegui, Daniel Aráoz, Andy Gorostiaga</t>
  </si>
  <si>
    <t>Mario arbeitet in einem Fundbüro. Er ist ein Einzelgänger, der sich so gut es geht von anderen Menschen fernhält. Allein Helena, eine junge Polizistin, die das Lagerhaus häufig besucht, lässt er etwas näher an sich heran. Seine Freizeit verbringt Mario damit, die Herkunft von besonders interessanten oder kuriosen Gegenständen aus seinen Regalen zu ergründen. Er hofft, so ihren Besitzern einen verlorenen Teil ihres Lebens und vielleicht auch ein Stück Seelenfrieden zurückgeben zu können. Eines Tages kommt ein alter Koffer bei ihm an, der aus dem lokalen Fluss gefischt wurde. Im Inneren des Objektes findet Mario Babykleidung und zu seinem Entsetzen auch das Skelett eines Kleinkindes. Er beschließt, auf eigene Faust Nachforschungen anzustellen. Dabei stößt er auf Sara, eine junge Frau, die sich seit früher Kindheit in den Fängen einer Menschenhandelsorganisation befindet …</t>
  </si>
  <si>
    <t>Die Spur führt zurück – The Two Jakes</t>
  </si>
  <si>
    <t>The Two Jakes</t>
  </si>
  <si>
    <t>tt0100828</t>
  </si>
  <si>
    <t>Jack Nicholson, Harvey Keitel, Meg Tilly, Madeleine Stowe, Eli Wallach</t>
  </si>
  <si>
    <t>Der Privatermittler J. J. Gittes lebt am Ende der 1940er Jahre in Los Angeles. Er wird von dem Immobilienunternehmer Julius Berman beauftragt, die Beweise der Untreue Bermans Ehefrau Kitty zu finden. Berman denkt, Kitty betrüge ihn mit seinem Geschäftspartner.</t>
  </si>
  <si>
    <t>Die Tote von Amelung</t>
  </si>
  <si>
    <t>tt0112199</t>
  </si>
  <si>
    <t>Per Aabel, Eva Blum, Julia Bremermann</t>
  </si>
  <si>
    <t>Die Witwe des Inselpastors von Amelung fällt in einer stürmischen Nacht einem grausamen Verbrechen zum Opfer. Als ihre Leiche am anderen Morgen am Strand gefunden wird, werden zwei Ermittler vom Festland auf die Insel geschickt: Sigurd Flotow, ein erfahrener Beamter, und sein junger Kollege Jan Mendel, der sich mit Feuereifer an die Lösung seines ersten Falles macht. Doch der erweist sich als äußerst kompliziert, denn schon bald stehen fast alle Inselbewohner unter Verdacht…</t>
  </si>
  <si>
    <t>Die Unschuld</t>
  </si>
  <si>
    <t>Die Unschuld der Krähen</t>
  </si>
  <si>
    <t>tt0166007</t>
  </si>
  <si>
    <t>Joachim Król, Nina Petri, Dieter Landuris</t>
  </si>
  <si>
    <t>Während sein Chef den Konkurs fast unbeschadet übersteht kann Buchhalter Georg die Miete nicht mehr zahlen</t>
  </si>
  <si>
    <t>Die unsichtbare Falle</t>
  </si>
  <si>
    <t>An Invisible Victim: The Eliza Samudio Case</t>
  </si>
  <si>
    <t>Documentary, Crime</t>
  </si>
  <si>
    <t>tt33355991</t>
  </si>
  <si>
    <t>Josí Abreu, Sonia Abrão, Damares Alves</t>
  </si>
  <si>
    <t>Ein erfolgreicher Torwart bedroht eine Frau, die von ihm schwanger ist. Ihr Flehen hat gegen seinen Ruhm keine Chance – bis es zur Tragödie kommt.</t>
  </si>
  <si>
    <t>tt0906103</t>
  </si>
  <si>
    <t>Jamel Debbouze, Samy Naceri, Roschdy Zem, Sami Bouajila, Bernard Blancan</t>
  </si>
  <si>
    <t>1943. In Europa tobt der 2. Weltkrieg. Vier junge Algerier ziehen in den Krieg um Frankreich von der Besatzung durch die Nazis zu befreien. Zusammen mit über 200.000 Kolonial-Soldaten riskieren sie ihr Leben für ein Land, das sie nie gesehen haben. Die epische Reise führt Messaoud, Said, Abdelkader und Yassir von Afrika nach Italien, wo sie in den verlustreichen Schlachten von Monte Cassino ihre Feuerprobe bestehen müssen. Im Rahmen der Operation Dragoon landen sie anschließend in der Provence und befreien Marseille. Doch in den eigenen Reihen werden sie immer wieder diskriminiert und gedemütigt. Und so kämpfen die vergessenen Helden nicht nur für ein freies Europa, sondern auch für die eigene Anerkennung, Gleichbehandlung und Respekt. Im Elsass kommt es zum finalen Gefecht mit der Wehrmacht.</t>
  </si>
  <si>
    <t>Disturbia – Auch Killer haben Nachbarn</t>
  </si>
  <si>
    <t>Disturbia</t>
  </si>
  <si>
    <t>tt0486822</t>
  </si>
  <si>
    <t>Shia LaBeouf, Sarah Roemer, Carrie-Anne Moss, David Morse, Aaron Yoo</t>
  </si>
  <si>
    <t>Nachdem er den Tod seines Vaters mitansehen mußte, gerät der junge Kale  außer Tritt und hat an nichts mehr Interesse. Nach einem Zwischenfall in der Schule erhält er schließlich Hausarrest und ein Alarmband, das es ihm lediglich erlaubt, sich knapp 100 Meter vom Haus zu entfernen. Seine geplagte Mutter kann sich wegen Nachtarbeit nicht um ihn kümmern, also ist Kale bald gefangen in den eigenen vier Wänden. Aus bloßer Neugier fängt er an, seine Nachbarn auszuspionieren - und ist schon bald davon überzeugt, daß Mr.Turner von nebenan in Wirklichkeit ein Serienkiller ist. Gemeinsam mit dem neuen Nachbarsmädchen Ashley und seinem Freund Ronnie setzt Kale eine großangelegte Überwachung in Gang...</t>
  </si>
  <si>
    <t>Doctor Sleeps Erwachen</t>
  </si>
  <si>
    <t>Doctor Sleep</t>
  </si>
  <si>
    <t>Horror, Fantasy</t>
  </si>
  <si>
    <t>tt5606664</t>
  </si>
  <si>
    <t>Ewan McGregor, Rebecca Ferguson, Kyliegh Curran, Cliff Curtis, Zahn McClarnon</t>
  </si>
  <si>
    <t>„Doctor Sleep“ führt die Geschichte von Danny Torrance 40 Jahre nach den entsetzlichen Ereignissen aus Stephen Kings „The Shining“ weiter. Immer noch vom Trauma seiner Kindheit gezeichnet, gibt Dan Torrance sein Bestes, seinen Frieden zu finden. Dieser wird jedoch jäh gestört, als er auf Abra trifft, eine mutige Teenagerin mit einer übersinnlichen Gabe, bekannt als „Shining“. Mit der Erkenntnis, dass Dan über dieselbe Gabe verfügt, spürt Abra ihn auf und bittet ihn verzweifelt um Hilfe im Kampf gegen die skrupellose Rose the Hat und ihrer Gefolgschaft, der Wahre Knoten, die sich auf ihrer Suche nach Unsterblichkeit vom „Shining“ Unschuldiger nähren. Eher widerwillig schließt sich Dan Abra im Kampf auf Leben und Tod gegen Rose an. Abras Unschuldigkeit und furchtloser Einsatz ihrer Gabe verhelfen Dan, das volle Potenzial seiner eigenen Kräfte zu ergründen – bei der Konfrontation mit seinen Ängsten und den Schatten der Vergangenheit.</t>
  </si>
  <si>
    <t>Dolores</t>
  </si>
  <si>
    <t>Documentary, Biography, History</t>
  </si>
  <si>
    <t>tt6013154</t>
  </si>
  <si>
    <t>Dolores Huerta, Martin Luther King, Luis Valdez</t>
  </si>
  <si>
    <t>Don't Worry Darling</t>
  </si>
  <si>
    <t>tt10731256</t>
  </si>
  <si>
    <t>Florence Pugh, Harry Styles, Chris Pine</t>
  </si>
  <si>
    <t>Alice lebt friedlich mit ihrem Mann Jack in einer Eigentumswohnung in der Gemeinschaft von Victory, einer Firmenstadt, in der die Männer für das streng geheime Victory-Projekt arbeiten. Es sind die 1950er-Jahre und Alice führt ein Leben, das hauptsächlich aus Putzen, Kochen und nächtlichen Partys mit den ortsansässigen Leuten besteht. Die Idylle scheint perfekt, und die Bedürfnisse aller Bewohner werden von der Firma und ihrem CEO Frank erfüllt. Alles, was er im Gegenzug verlangt, ist bedingungsloses Engagement für die Sache von Victory. Doch als ihr paradiesisches Leben Risse bekommt und sich hinter der attraktiven Fassade etwas viel Unheimlicheres verbirgt, muss Alice sich fragen, was genau sie in Victory tun und warum. Ist Alice wirklich bereit, ihr scheinbar perfektes Leben hinter sich zu lassen, um herauszufinden, was es mit dem Projekt auf sich hat?</t>
  </si>
  <si>
    <t>Double Game</t>
  </si>
  <si>
    <t>tt0078408</t>
  </si>
  <si>
    <t>George Hilton, Emanuele Cannarsa, Giuseppe Alotta</t>
  </si>
  <si>
    <t>Die Polizeiinspektoren Danieli (Emanuel Cannarsa) and Moretti (George Hilton) haben alle Hände voll zu tun: Verschiedenste Straftaten geschehen in der Turiner Großstadt, die sich auch aufgrund eines Bandeskrieges zwischen Einheimischen und französischen Einwanderern langsam zu einer der gefährlichsten Orte Italiens entwickelt.</t>
  </si>
  <si>
    <t>Drop – Tödliches Date</t>
  </si>
  <si>
    <t>Drop</t>
  </si>
  <si>
    <t>United States, Ireland</t>
  </si>
  <si>
    <t>tt32149847</t>
  </si>
  <si>
    <t>Meghann Fahy, Brandon Sklenar, Reed Diamond, Violett Beane, Jeffery Self</t>
  </si>
  <si>
    <t>Erste Dates sind ohnehin schon eine nervenaufreibende Herausforderung. Doch mit immer bedrohlicher werdenden Handy-Nachrichten eines Unbekannten eskaliert Violets Abend zum Albtraum. Ihr bleibt nur eine Wahl: Sie muss den grausamen Anweisungen folgen – oder sie verliert alles, was sie liebt.</t>
  </si>
  <si>
    <t>Echoes – Stimmen aus der Zwischenwelt</t>
  </si>
  <si>
    <t>Stir of Echoes: The Homecoming</t>
  </si>
  <si>
    <t>tt0805619</t>
  </si>
  <si>
    <t>Rob Lowe, Marnie McPhail, Ben Lewis</t>
  </si>
  <si>
    <t>Captain Ted Cogan ist von seinem Einsatz im Irak zurückgekehrt. Geplagt von der Schuld, dass seine Truppe eine Familie irakischer Zivilisten bei einem Unfall getötet hat, versucht er sich wieder einem Leben nach dem Krieg anzupassen. Doch als Visionen der Toten beginnen ihn zu verfolgen, begreift Ted, dass er mehr als nur eine Ehrenmedaille aus dem Krieg mitgebracht hat.</t>
  </si>
  <si>
    <t>Eden</t>
  </si>
  <si>
    <t>History, Thriller</t>
  </si>
  <si>
    <t>tt23149780</t>
  </si>
  <si>
    <t>Jude Law, Ana de Armas, Vanessa Kirby</t>
  </si>
  <si>
    <t>Zwischen den Weltkriegen suchen verschiedene Aussteiger auf der abgelegenen Galápagos-Insel Floreana ein neues Leben fern der Zivilisation. Zuerst zieht es den deutschen Arzt und Philosophen Dr. Friedrich Ritter und seine Geliebte Dore Strauch dorthin. Während er an einem philosophischen Werk schreibt, hofft er, Dores Multiple Sklerose zu heilen. Bald folgen der Weltkriegsveteran Heinz Wittmer mit seiner Familie. Trotz anfänglicher Spannungen nähern sich beide Paare einander an. Die fragile Gemeinschaft wird jedoch gestört, als die exzentrische Baronin Eloise Wehrborn de Wagner-Bosquet mit zwei Liebhabern auftaucht. Mit Plänen für ein Luxushotel versucht sie, die Siedler gegeneinander auszuspielen. Intrigen und Machtspiele führen schließlich zum dramatischen Zerfall des Zusammenlebens.</t>
  </si>
  <si>
    <t>Eenie Meanie</t>
  </si>
  <si>
    <t>tt15514498</t>
  </si>
  <si>
    <t>Samara Weaving, Karl Glusman, Andy Garcia</t>
  </si>
  <si>
    <t>Eine geläuterte jugendliche Fluchtwagenfahrerin wird in ihre unrühmliche Vergangenheit zurückversetzt, als ein ehemaliger Arbeitgeber ihr die Chance bietet, das Leben ihres chronisch unzuverlässigen Ex-Freundes zu retten.</t>
  </si>
  <si>
    <t>Ein einfacher Plan</t>
  </si>
  <si>
    <t>A Simple Plan</t>
  </si>
  <si>
    <t>tt0120324</t>
  </si>
  <si>
    <t>Billy Bob Thornton, Bill Paxton, Bridget Fonda, Brent Briscoe, Jack Walsh</t>
  </si>
  <si>
    <t>Leichtes Spiel und eine sorgenfreie Zukunft glauben der Buchhalter Hank, sein tumber Bruder Jacob und dessen Freund Lou zu haben, als sie in einem Flugzeugwrack über vier Millionen Dollar finden. Doch das erweist sich schnell als Trugschluß: Zuerst kommt ein Unbeteiligter ums Leben und dann taucht auch noch ein FBI-Mann auf, der den Millionen auf der Spur ist, die sich als Lösegeld einer Entführung herausstellen. Und als wäre die Situation nicht schon verzwickt genug, macht sich unter den Männern eine Atmosphäre der Paranoia breit...</t>
  </si>
  <si>
    <t>Ein letzte Job</t>
  </si>
  <si>
    <t>King of Thieves</t>
  </si>
  <si>
    <t>United Kingdom, Belgium, United States, Germany, France</t>
  </si>
  <si>
    <t>tt5789976</t>
  </si>
  <si>
    <t>Michael Caine, Jim Broadbent, Tom Courtenay, Charlie Thomas Cox, Paul Whitehouse</t>
  </si>
  <si>
    <t>All seine Kumpanen sitzen im Gefängnis, seine Ehefrau ist bereits tot und sein Alltag ist voller Trott und ohne Überraschungen: Brian Reader ist dennoch nicht bereit in den Ruhestand zu gehen. Ein letztes Ding will er noch drehen, auch weil er beweisen will, dass er es immer noch draufhat. Doch Brian will nicht nur irgendein Verbrechen begehen, sondern nicht weniger als den größten Diamantenraub in der Geschichte Großbritanniens. Dafür versammelt der ältere Herr ein Team von Gaunern um sich.</t>
  </si>
  <si>
    <t>Ein Vater unter Verdacht</t>
  </si>
  <si>
    <t>tt0120432</t>
  </si>
  <si>
    <t>Klaus J. Behrendt, Bettina Kupfer, Ina Weisse</t>
  </si>
  <si>
    <t>Eine Probe für den Mörder</t>
  </si>
  <si>
    <t>Rehearsal for Murder</t>
  </si>
  <si>
    <t>tt0084582</t>
  </si>
  <si>
    <t>Robert Preston, Lynn Redgrave, Patrick Macnee, Lawrence Pressman, William Russ</t>
  </si>
  <si>
    <t>Emily the Criminal</t>
  </si>
  <si>
    <t>tt15255876</t>
  </si>
  <si>
    <t>Aubrey Plaza, Theo Rossi, Bernardo Badillo</t>
  </si>
  <si>
    <t>In ihrer Verzweiflung nimmt Emily (Aubrey Plaza) einen zwielichtigen Job an, bei dem sie mit gestohlenen Kreditkarten Waren kauft, die ihr ein charismatischer Mittelsmann namens Youcef (Theo Rossi) liefert. Verführt durch das schnelle Geld und den illegalen Nervenkitzel hecken sie einen Plan aus, um ihr Geschäft auf die nächste Ebene zu bringen</t>
  </si>
  <si>
    <t>Entgleist</t>
  </si>
  <si>
    <t>tt6178106</t>
  </si>
  <si>
    <t>Sarah Eyfferth, Jakob Plutte</t>
  </si>
  <si>
    <t>Enttarnt – Verrat auf höchster Ebene</t>
  </si>
  <si>
    <t>Breach</t>
  </si>
  <si>
    <t>tt0401997</t>
  </si>
  <si>
    <t>Chris Cooper, Ryan Phillippe, Laura Linney, Caroline Dhavernas, Gary Cole</t>
  </si>
  <si>
    <t>Frühjahr 2001: Der FBI-Agenten-Anwärter Eric O’Neill wird von der Chefin der Behörde, Kate Burroughs, auf den Agenten Robert Hanssen angesetzt, weil dieser sexuell abartig sei. Hanssen, ein überreligiöser Familienvater, der niemandem zu vertrauen scheint und sich durch verinnerlichten Patriotismus auszuzeichnen scheint, bietet aber O’Neill keine Angriffsfläche, sondern drängt sich praktisch in dessen Leben. Erst als O’Neill der Kragen platzt erfährt er, dass Hanssen ein Doppelagent und Verräter sein soll, der seit Jahren Staatsgeheimnisse an die Sowjets verkauft hat. Bald wird O’Neills Aufgabe zu einem gefährlichen Katz-und-Maus-Spiel …</t>
  </si>
  <si>
    <t>Erbarmungslos</t>
  </si>
  <si>
    <t>Brutal</t>
  </si>
  <si>
    <t>Crime, Horror, Mystery, Thriller</t>
  </si>
  <si>
    <t>tt1018877</t>
  </si>
  <si>
    <t>Crystal Stone, Eric Lange, Sarah Thompson, Jeffrey Combs</t>
  </si>
  <si>
    <t>In einem kleinen Städtchen auf dem amerikanischen Land entführt und ermordet ein verhaltensgestörter Frauenhasser seriell die Damen vom Truckerstrich, um ihre Körper zusammen mit Blumenarrangements zu makabren Stilleben zu drapieren. Deputy und Dorfschönheit Zoe, romantisch hin- und hergerissen zwischen dem Zeilenschinder beim Tageblatt und ihrem aktuellen Lover, dem verheiraten Sheriff, nimmt die Spur des Schlächters auf, ohne zu ahnen, dass dieser bereits im Begriffe ist, den Spiess umzudrehen.</t>
  </si>
  <si>
    <t>Erschütternde Wahrheit</t>
  </si>
  <si>
    <t>Concussion</t>
  </si>
  <si>
    <t>United Kingdom, Australia, United States</t>
  </si>
  <si>
    <t>tt3322364</t>
  </si>
  <si>
    <t>Will Smith, Alec Baldwin, Albert Brooks, Gugu Mbatha-Raw, David Morse</t>
  </si>
  <si>
    <t>Bei der Autopsie von Mike Webster macht Dr. Bennet Omalu eine schockierende Entdeckung: Er diagnostiziert erstmals bei einem ehemaligen Profi-Spieler des American Footballs die chronisch traumatische Enzephalopathie (CTE). Sie tritt meist bei Menschen auf, die häufigen Schlägen auf den Kopf ausgesetzt sind und ruft Symptome wie Depression, Demenz und Verhaltensveränderungen hervor. Der brillante Arzt will zu seiner Diagnose, die auch durch die Untersuchung anderer Ex-Sportler wie Dave Duerson und Andre Waters bekräftigt wird, nicht schweigen und die Öffentlichkeit stattdessen vor den gesundheitlichen Risiken des Sports warnen. Unterstützt wird Omalu von seinem Kollegen Dr. Julian Bailes – doch er macht sich auch mächtige Feinde wie die NFL, angeführt von Roger Goodell. Die Organisation streitet die Verantwortung für die folgenschweren Kopfverletzungen ab und setzt Omalu zusehends unter Druck, unter dem auch seine Frau Prema zu leiden hat…</t>
  </si>
  <si>
    <t>Es gibt kein Zurück</t>
  </si>
  <si>
    <t>Colonia</t>
  </si>
  <si>
    <t>Germany, Luxembourg, United Kingdom, United States, Argentina, France</t>
  </si>
  <si>
    <t>tt4005402</t>
  </si>
  <si>
    <t>Emma Watson, Daniel Brühl, Michael Nyqvist, Richenda Carey, Vicky Krieps</t>
  </si>
  <si>
    <t>Inmitten des chilenischen Militärputsches des Jahres 1973 werden Lena und ihr Freund Daniel von Augusto Pinochets Geheimpolizei festgenommen.  Während Lena nach kurzer Zeit wieder laufen gelassen wird, wird Daniel in die abgeschottete Colonia Dignidad im Süden des Landes gebracht.  Die vom zwielichtigen Prediger Paul Schäfer geführte Siedlung soll nach außen den Anschein einer makellosen und wohltätigen Zwecken dienenden Gemeinde erwecken,  doch in Wahrheit arbeiten die Verantwortlichen mit Diktator Pinochet zusammen, für den sie die Eingesperrten unter Zuhilfenahme grausamer Foltermethoden verhören und schließlich töten.  Niemand hat den Ort jemals lebend verlassen. Voller Verzweiflung schließt sich Lena der fragwürdigen Gruppierung an, um Daniel zu finden und gemeinsam mit ihm zu fliehen...</t>
  </si>
  <si>
    <t>Escape Room 2 - No Way Out</t>
  </si>
  <si>
    <t>Escape Room: Tournament of Champions</t>
  </si>
  <si>
    <t>United States, South Africa, Hungary, Canada</t>
  </si>
  <si>
    <t>tt9844522</t>
  </si>
  <si>
    <t>Taylor Russell, Logan Miller, Indya Moore, Holland Roden, Thomas Cocquerel</t>
  </si>
  <si>
    <t>Sechs Menschen finden sich unwissentlich in einer weiteren Serie von Escape Rooms eingesperrt und entdecken langsam, was sie gemeinsam haben, um zu überleben. Als sie sich mit zwei der ursprünglichen Überlebenden zusammentun, bemerken sie bald, dass sie alle das Spiel schon einmal gespielt haben.</t>
  </si>
  <si>
    <t>Fall – Fear Reaches New Heights</t>
  </si>
  <si>
    <t>Fall</t>
  </si>
  <si>
    <t>tt15325794</t>
  </si>
  <si>
    <t>Grace Caroline Currey, Virginia Gardner, Jeffrey Dean Morgan, Mason Gooding, Jasper Cole</t>
  </si>
  <si>
    <t>Für die besten Freunde Becky und Hunter geht es im Leben vor allem darum, Ängste zu überwinden und an Grenzen zu gehen. Aber nachdem sie 2.000 Fuß auf die Spitze eines abgelegenen, verlassenen Funkturms geklettert sind, finden sie sich ohne Weg nach unten gestrandet. Jetzt werden Beckys und Hunters Kletterkünste auf eine harte Probe gestellt, während sie verzweifelt darum kämpfen, die Elemente, den Mangel an Vorräten und die schwindelerregende Höhe zu überleben.</t>
  </si>
  <si>
    <t>Fatman</t>
  </si>
  <si>
    <t>tt10310140</t>
  </si>
  <si>
    <t>Mel Gibson, Walton Goggins, Marianne Jean-Baptiste</t>
  </si>
  <si>
    <t>Es läuft nicht gut für Weihnachtsmann Chris Cringle: Er ist pleite und muss mit allen Mitteln gegen den Niedergang seines Geschäftsmodells kämpfen. Doch bald schon hat der knallharte Santa ein viel größeres Problem: Der 12-jährige Billy hat in seinem Weihnachtsstrumpf bloß ein Stück Kohle vorgefunden und sinnt auf Rache. Er engagiert den exzentrischen Auftragskiller Skinny Man, um Santa zu töten…</t>
  </si>
  <si>
    <t>Fear – Wenn Liebe Angst macht</t>
  </si>
  <si>
    <t>Fear</t>
  </si>
  <si>
    <t>tt0116287</t>
  </si>
  <si>
    <t>Mark Wahlberg, Reese Witherspoon, William Petersen, Alyssa Milano, Amy Brenneman</t>
  </si>
  <si>
    <t>Die 16 Jahre alte Nicole aus Seattle lernt auf einer Party David kennen, mit dem sie bald ein Paar ist. Doch mit der Zeit wird ihr die Sache unheimlich: David ist besitzergreifend, will immer wissen, wo sie sich befindet, außerdem ist er grundlos eifersüchtig. Als Nicole den Stress nicht mehr aushält, trennt sie sich von ihm. Er versucht alles um sie zurück zu gewinnen, doch für sie ist die Trennung endgültig. Für David ist das letzte Wort aber noch nicht gesprochen!</t>
  </si>
  <si>
    <t>Fear of Rain – Die Angst in Dir</t>
  </si>
  <si>
    <t>Fear of Rain</t>
  </si>
  <si>
    <t>tt10037014</t>
  </si>
  <si>
    <t>Madison Iseman, Israel Broussard, Katherine Heigl, Harry Connick Jr., Eugenie Bondurant</t>
  </si>
  <si>
    <t>Die 17-jährige Rain leidet an schizophrenen Schüben und schrecklichen Halluzinationen. Nach einem längeren Krankenhausaufenthalt versucht sie, ihr Leben wieder auf die Reihe zu kriegen und vielleicht sogar bei ihrem Schwarm Caleb zu landen. Einstweilen bereitet ihr aber die neue Nachbarin Kopfzerbrechen. Rain ist überzeugt, dass die Frau ein Kind in ihre Gewalt gebracht hat. Nur Caleb kann Rain helfen. Dabei ist nicht ganz sicher, ob er nicht einfach nur in ihrer Fantasie existiert.</t>
  </si>
  <si>
    <t>Feuerprobe der Unschuld</t>
  </si>
  <si>
    <t>Mountain Top</t>
  </si>
  <si>
    <t>tt3305388</t>
  </si>
  <si>
    <t>Barry Corbin, Coby Ryan McLaughlin, Valerie Azlynn, Lin Shaye, Danny Vinson</t>
  </si>
  <si>
    <t>Mike hat seinen Job als Anwalt an den Nagel gehängt, um Pastor zu werden. Als eine ältere Dame ihn bittet, ihren exzentrischen Ehemann Sam anwaltlich zu vertreten, winkt er zunächst ab. Sam wird verdächtigt, 100.000 US-Dollar seiner Kirche veruntreut zu haben. Doch Sam ist auch ein besonderer Mann, dem Gott im Traum Aufträge für Briefe an ihm völlig fremde Menschen gibt, um sie auf den rechten Weg zu bringen. Hat Sam mit seinen Briefen mächtige Menschen verärgert, die ihn nun loswerden wollen? Mike übernimmt den Fall schließlich - doch diese Aufgabe verändert nicht nur Sams und Mikes Leben für immer.</t>
  </si>
  <si>
    <t>Fight Club</t>
  </si>
  <si>
    <t>tt0137523</t>
  </si>
  <si>
    <t>Brad Pitt, Edward Norton, Meat Loaf</t>
  </si>
  <si>
    <t>Ein Yuppie findet beim charismatischen Tyler Durden Unterschlupf, nachdem seine Wohnung in die Luft gejagt wird. Ein Gerangel zwischen den beiden entwickelt sich zu einer Schlägerei, die mit der Erkenntnis endet, dass man sich nach einer ordentlichen Portion Prügel einfach besser fühlt. Der "Fight Club" ist geboren. Immer mehr Männer versammeln sich, um sich zu schlagen - und gestärkt in den Alltag zu gehen. Wie ein Virus greift das Konzept um sich, doch für Tyler ist der Kampfverein nur die erste Stufe, um die USA in die Knie zu zwingen.</t>
  </si>
  <si>
    <t>Finestkind</t>
  </si>
  <si>
    <t>tt7991508</t>
  </si>
  <si>
    <t>Ben Foster, Toby Wallace, Jenna Ortega</t>
  </si>
  <si>
    <t>Die Halbbrüder Tom (Ben Foster) und Charlie (Toby Wallace) haben seit Jahrzehnten nicht mehr miteinander gesprochen und sind in unterschiedlichen Welten aufgewachsen. Eines Tages vertraut ihr Vater Ray (Tommy Lee Jones) ihnen jedoch sein Fischerboot im Hafen Bostons an und die beiden begeben sich auf eine lukrativ erscheinende Fahrt, die sie jedoch illegalerweise in kanadische Fanggründe führt. Als die Küstenwache sie erwischt, wird Papas Boot, die „Finestkind“, beschlagnahmt und kann nur gegen die Zahlung einer Kaution von 100.000 US-Dollar wieder ausgelöst werden. So viel Geld haben die Halbbrüder nicht, was sie dazu bringt, den Plan von Charlies neuer Freundin Mabel (Jenna Ortega) aufzugreifen. Der ist allerdings alles andere als ungefährlich, sollen Tom und Charlie doch Rauschgift für eine Bande zwielichtiger Gestalten über den Ozean zu seinem Bestimmungsort schmuggeln.</t>
  </si>
  <si>
    <t>First Kill</t>
  </si>
  <si>
    <t>tt5884234</t>
  </si>
  <si>
    <t>Bruce Willis, Hayden Christensen, Ty Shelton</t>
  </si>
  <si>
    <t>Das fünfjährige Mädchen Loung (Sareum Srey Moch) hat das Pech, zu dem Zeitpunkt in Kambodscha aufzuwachsen, als die Khmer Rouge (Rote Khmer) an die Macht kommen. Unter ihrer 1975 beginnenden und vier Jahre andauernden grausamen Herrschaft erlebt Loung Schrecken und Grausamkeiten, die kein Kind je sehen sollte. In einem jungen Alter muss sie unvorstellbare Verluste hinnehmen und als Kindersoldatin ums nackte Überleben kämpfen.</t>
  </si>
  <si>
    <t>First Reformed</t>
  </si>
  <si>
    <t>United States, United Kingdom, Australia</t>
  </si>
  <si>
    <t>tt6053438</t>
  </si>
  <si>
    <t>Ethan Hawke, Amanda Seyfried, Cedric The Entertainer</t>
  </si>
  <si>
    <t>Nach einer Familientragödie erhält der ehemalige Militärpfarrer Ernst Toller die Chance für einen Neustart in einer kleinen Gemeinde im Staat New York. Als die schwangere Mary – die mit einem radikalen Umweltaktivisten verheiratet ist – Kontakt mit ihm aufnimmt, wird Toller in ein heimtückisches Szenario verwickelt und ist gezwungen, sich seiner eigenen Vergangenheit zu stellen. In der Überzeugung, die Welt sei in Gefahr, begibt er sich auf einen gefährlichen und zerstörerischen Pfad … in der Hoffnung, seinen eigenen Glauben wiederherzustellen zu können.</t>
  </si>
  <si>
    <t>Fremde Schatten</t>
  </si>
  <si>
    <t>Pacific Heights</t>
  </si>
  <si>
    <t>tt0100318</t>
  </si>
  <si>
    <t>Melanie Griffith, Matthew Modine, Michael Keaton, Mako, Nobu McCarthy</t>
  </si>
  <si>
    <t>Um die Schulden für ihr neues Haus abzahlen zu können, müssen Patty und Drake Zimmer untervermieten. Mit einem Trick zieht der zwielichtige Carter Hayes ein und setzt mit Psychoterror alles daran, das junge Paar aus seinem Haus zu ekeln. Rechtlich sind Patty und Drake die Hände gebunden. Als die Spannungen sich auch auf das Verhältnis der beiden niederschlagen, sieht Drake rot. Carter empfängt ihn mit einem Revolver und tötet ihn beinahe - aus "Notwehr". Endlich wird der Räumungsbefehl durchgesetzt, doch Carter hat bereits eine verwüstete Wohnung hinterlassen. Jetzt moblisiert Patty alle Kräfte, um Carter auffliegen zu lassen und ihm den Denkzettel seines Lebens zu verpassen.</t>
  </si>
  <si>
    <t>Freundschaft Plus</t>
  </si>
  <si>
    <t>No Strings Attached</t>
  </si>
  <si>
    <t>tt1411238</t>
  </si>
  <si>
    <t>Natalie Portman, Ashton Kutcher, Kevin Kline, Cary Elwes, Greta Gerwig</t>
  </si>
  <si>
    <t>Adam ist Regieassistent bei einer Fernsehserie, Emma angehende Ärztin in einem städtischen Krankenhaus. Beide haben schlechte Erfahrungen mit Liebe und Leben gemacht. Eher zufällig landen sie miteinander im Bett und beschließen kurzerhand, sich gegenseitig weiterhin als Sexpartner zur Verfügung zu stehen - ohne jede weitere Verpflichtung. Das geht nur kurze Zeit gut: Zunächst verheimlicht Adam, dass er sich längst verliebt hat. Als er Emma seine Gefühle schließlich doch gesteht, lässt sie ihn stehen. Und merkt erst spät, dass ihr Leben ohne Adam schrecklich leer ist.</t>
  </si>
  <si>
    <t>Frozen River</t>
  </si>
  <si>
    <t>tt0978759</t>
  </si>
  <si>
    <t>Melissa Leo, Misty Upham, Charlie McDermott</t>
  </si>
  <si>
    <t>Pünktlich zum Weihnachtsfest muss Ray Eddy einsehen, dass ihr spielsüchtiger Mann nicht von seiner aktuellen Eskapade wiederkehren wird. Ebenso verschwunden sind sämtliche Ersparnisse und damit die Chance, der Tristesse des Trailerparks an der amerikanisch-kanadischen Grenze zu entkommen. Den Familienwagen findet die zweifache Mutter dennoch wieder, gerade als die Mohawk Lila das Vehikel stehlen will. Das erste Treffen der beiden Frauen endet brüsk. Doch dann kehrt die verzweifelte Ray zurück, um auf einen waghalsigen Deal einzusteigen: Gemeinsam mit Lila schmuggelt sie im Kofferraum illegale Einwanderer über einen zugefrorenen Grenzfluss. Den Lohn dafür hat sie bitter nötig, will sie weiterhin für ihre Kinder sorgen können. Und so lässt sich Ray auf weitere Passagen und damit ein gefährliches Katz-und-Maus-Spiel mit der Polizei ein...</t>
  </si>
  <si>
    <t>Galveston - Die Hölle ist ein Paradies</t>
  </si>
  <si>
    <t>Galveston</t>
  </si>
  <si>
    <t>tt2315596</t>
  </si>
  <si>
    <t>Ben Foster, Elle Fanning, Beau Bridges, Lili Reinhart, Adepero Oduye</t>
  </si>
  <si>
    <t>Einzelgänger Roy führt ein Leben außerhalb geregelter Bahnen und hat soeben eine schwerwiegende gesundheitliche Diagnose erhalten. Abhängig von seinem zwielichtigen Auftraggeber Stan muss er dessen Drecksarbeit erledigen – ohne mit der Wimper zu zucken. Als ein scheinbar gewöhnlicher Auftrag aus dem Ruder läuft, steht er mehr als je zuvor mit dem Rücken zur Wand: Mit einer blutjungen Prostituierten und ihrer kleinen Schwester am Hals muss er fliehen. Krimineller Abschaum und Gesetzeshüter sind dem Trio dicht auf den Fersen.</t>
  </si>
  <si>
    <t>Gambit - Der Masterplan</t>
  </si>
  <si>
    <t>tt0404978</t>
  </si>
  <si>
    <t>Colin Firth, Cameron Diaz, Alan Rickman, Tom Courtenay, Stanley Tucci</t>
  </si>
  <si>
    <t>Der nüchtern-korrekte Kunstkenner und Museumskurator Harry Deans hat schwer unter seinem exzentrischen und ungehobelten Chef Lionel Shahbandar zu leiden. Um dem besessenen Kunstsammler endlich einmal seine Gemeinheiten heimzuzahlen, beschließt Harry, ihn dazu zu bringen, einen gefälschten Monet zu kaufen. Durch den eingefädelten Erwerb des vermeintlich echten und damit sündhaft teuren Kunstwerks hofft Harry, den guten Ruf seines Bosses zu ruinieren. Zu diesem Zweck engagiert er den Meisterfälscher Major Wingate, um das Bild anzufertigen, sowie das Cowgirl PJ Puznowski, das Harrys Chef mit ihrem ungehobelten Charme um den Finger wickeln soll. Der ausgeklügelte Plan nimmt aber einige unvorhergesehene Wendungen, als sich Lionel, der reichste Mann Englands, in die flippige Texanerin zu verlieben beginnt - und sie in ihn.</t>
  </si>
  <si>
    <t>Gemini - falsches Spiel</t>
  </si>
  <si>
    <t>Gemini</t>
  </si>
  <si>
    <t>Mystery, Krimi, Drama, Thriller</t>
  </si>
  <si>
    <t>tt5795086</t>
  </si>
  <si>
    <t>Lola Kirke, Zoë Kravitz, John Cho, Greta Lee, Michelle Forbes</t>
  </si>
  <si>
    <t>Als persönliche Assistentin von Heather Anderson, einer jungen Schauspielerin in Los Angeles, versucht Jill LeBeau ihrer aufstrebenden Klientin jeden Wunsch von den Lippen abzulesen: Das Meeting mit dem cholerischen Regisseur übernehmen, die Paparazzi abwimmeln und auch mitten in der Nacht ist Jill immer für Wünsche da. Eines Morgens wird sie jedoch mit einer Situation konfrontiert, die sie so nicht vorhergesehen hat. Heather liegt in einer riesigen Blutlache im Flur ihres Hauses, tot, erschossen mit der Waffe von Jill. Auf der Suche nach der Wahrheit stößt sie im glamourösen Hollywood schließlich auf einige schmutzige Details aus Heathers Vergangenheit.</t>
  </si>
  <si>
    <t>Genauso anders wie ich</t>
  </si>
  <si>
    <t>Same Kind of Different as Me</t>
  </si>
  <si>
    <t>tt1230168</t>
  </si>
  <si>
    <t>Greg Kinnear, Djimon Hounsou, Renée Zellweger, Jon Voight, Olivia Holt</t>
  </si>
  <si>
    <t>Kunsthändler Ron Hall und seine Frau Deborah führen nach außen hin das perfekte Leben: Sie sind reich, in ihrer Gemeinde angesehen und sozial engagiert. Doch zu sagen hat sich das seit 19 Jahren verheiratete Paar kaum noch etwas, zudem hat Ron eine außereheliche Affäre begonnen. Deborah hingegen ist mit ihren seltsamen Träumen beschäftigt: Immer wieder sieht sie im Traum einen Mann, der für ihr Leben wichtig zu sein scheint, den sie aber nicht kennt. Umso erstaunter ist sie, als dieser Mann eines Tages in der Suppenküche, in der sie aushilft, tatsächlich vor ihr steht. Zwischen dem in Armut aufgewachsenen, obdachlosen Denver Moore (Djimon Hounsou) und dem Ehepaar Hall entsteht nach und nach eine tiefe Freundschaft, die alle kulturellen und sozialen Unterschiede überwindet und alle Beteiligten mit neuer Lebensfreude erfüllt. Doch dann kommt es zu einer Tragödie...</t>
  </si>
  <si>
    <t>Getäuscht</t>
  </si>
  <si>
    <t>Short, Horror, Thriller</t>
  </si>
  <si>
    <t>tt5534756</t>
  </si>
  <si>
    <t>Leili Novi, Michael von Bennigsen, Iskander Madjitov, Ursula Beck</t>
  </si>
  <si>
    <t>Es ist ein brisanter Streitfall: Wurde der Sowjetunion im Zuge der Verhandlungen über die Deutsche Einheit im Jahr 1990 tatsächlich versprochen, die NATO würde Richtung Osten nicht expandieren? Präsident Putin begründet das russische Vorgehen in der Ukraine und bei der Annexion der Krim auch mit den angeblich gebrochenen Versprechen des Westens..... In der Dokumentation kommen entscheidende Verhandlungspartner und maßgebliche Zeitzeugen aus Ost und West zu Wort, zum Beispiel Michail Gorbatschow. Die Spurensuche an den historischen Orten der Einheitsverhandlungen von 1990 wird angereichert durch exklusives, bislang nicht gesendetes Filmmaterial des Kohl-Besuchs im Kaukasus. Der Film widerlegt politische Mythen rund um die brisante Streitfrage, ob der Westen damals gegebene Versprechen zur NATO-Osterweiterung später gebrochen hat. (Text: ZDF)</t>
  </si>
  <si>
    <t>Glass Onion A Knives Out Mystery</t>
  </si>
  <si>
    <t>Glass Onion: A Knives Out Mystery (2022)</t>
  </si>
  <si>
    <t>tt24734444</t>
  </si>
  <si>
    <t>Der weltberühmte Detektiv Benoit Blanc reist nach Griechenland, um das Rätsel um einen Tech-Milliardär und dessen facettenreiche Entourage zu lösen.</t>
  </si>
  <si>
    <t>Gloria, die Gangsterbraut</t>
  </si>
  <si>
    <t>Gloria</t>
  </si>
  <si>
    <t>tt0080798</t>
  </si>
  <si>
    <t>Gena Rowlands, Buck Henry, Julie Carmen, John Adames, Tony Knesich</t>
  </si>
  <si>
    <t>Gloria Swenson, ein ehemaliges Showgirl und Flintenweib, muss plötzlich die Verantwortung für den 7-jährigen Phil Dawn übernehmen, als dessen Familie in einem Bandenkrieg getötet wird. Als mögliche Beute in einem tödlichen Katz-und-Maus-Spiel rennen die beiden um ihr Leben und sie wird dabei zu einem weiblichen Bogart der 1980er.</t>
  </si>
  <si>
    <t>Gold</t>
  </si>
  <si>
    <t>tt1800302</t>
  </si>
  <si>
    <t>Matthew McConaughey, Edgar Ramírez, Bryce Dallas Howard</t>
  </si>
  <si>
    <t>Am 18. August 2016 schreiben Laura Ludwig und Kira Walkenhorst Sportgeschichte: sie gewinnen als erstes europäisches Frauenteam überhaupt Olympisches Gold im Beachvolleyball. Diese unglaubliche Geschichte beginnt 4 Jahre zuvor, als sich Laura Ludwig und Kira Walkenhorst im Herbst 2012 mit Gold-Coach Jürgen Wagner zusammenfinden und dieses Ziel ins Auge fassen. Zu Beginn des Trainings glaubt kaum jemand an ihren Erfolg. Doch gemeinsam kämpfen sich die beiden Sportlerinnen an die Weltspitze, überwinden sportliche und gesundheitliche Rückschläge, besiegen aufkommende Zweifel am Gelingen der Mission und wachsen dabei über sich hinaus. Sie haben ein klares Ziel vor Augen: Olympisches Gold.</t>
  </si>
  <si>
    <t>Gone In The Night</t>
  </si>
  <si>
    <t>Gone in the Night</t>
  </si>
  <si>
    <t>tt15426294</t>
  </si>
  <si>
    <t>Winona Ryder, Dermot Mulroney, John Gallagher Jr.</t>
  </si>
  <si>
    <t>Kath (Winona Ryder) und ihr Freund (John Gallagher Jr.) erreichen eine abgelegene Hütte inmitten von Mammutbäumen, nur um festzustellen, dass dort bereits ein mysteriöses junges Paar ist. Das Chalet wurde anscheinend doppelt gebucht, und da sie nirgendwo hingehen können, beschließen sie, die Hütte mit diesen Fremden zu teilen. Als ihr Freund mit der jungen Frau verschwindet, ist Kath besessen davon, eine Erklärung für ihre plötzliche Trennung zu finden, aber die Wahrheit ist viel seltsamer, als sie sich jemals hätte vorstellen können.</t>
  </si>
  <si>
    <t>Good Kill - Tod aus der Luft</t>
  </si>
  <si>
    <t>Good Kill</t>
  </si>
  <si>
    <t>Drama, Thriller, Kriegsfilm</t>
  </si>
  <si>
    <t>tt3297330</t>
  </si>
  <si>
    <t>Ethan Hawke, January Jones, Zoë Kravitz, Jake Abel, Bruce Greenwood</t>
  </si>
  <si>
    <t>US-Air-Force-Offizier Thomas Egan war einst ein Pilot mit großen Ambitionen. Heute jedoch verbringt er seinen beruflichen Alltag vor einem Computerbildschirm und entfacht per bequemen Knopfdruck Tod und Verderben tausende von Kilometern entfernt. Das ist die Realität des modernen Krieges gegen den Terror, denn Thomas steuert Kampfdrohnen im Nahen Osten. Ein Job, der ihn nicht glücklich macht, schließlich will er lieber selbst in der Luft sein und einen Jet fliegen. Seine Frustration mündet immer öfter im Alkoholrausch und seine Frau Molly und seine Kinder sind in der ganzen Situation die wahren Leidtragenden. Als Thomas dann eines Tages im Auftrag des CIA ein fragwürdiges Ziel ausschalten soll, gerät er in einen schweren moralischen Konflikt, der ihn an seiner Mission zweifeln lässt.</t>
  </si>
  <si>
    <t>Good Time</t>
  </si>
  <si>
    <t>tt4846232</t>
  </si>
  <si>
    <t>Robert Pattinson, Benny Safdie, Jennifer Jason Leigh</t>
  </si>
  <si>
    <t>Kleinganove Connie Nikas raubt gemeinsam mit seinem jüngeren, geistig behinderten Bruder Nick eine Bank aus, doch der Überfall geht schief und Nick wird von der Polizei verhaftet und in den Knast gesteckt. Connie will Nick unbedingt gegen Kaution aus dem Gefängnis holen und versucht, sich das Geld von seiner Freundin Corey zu leihen. Als das nicht klappt, begibt er sich auf eine abenteuerliche Odyssee durch die Unterwelt von New York, um die Kohle auf unlautere Art zusammenzukratzen. Dabei muss er sich nicht nur mit Gangstern herumschlagen, sondern befindet sich auch in einem ständigen Wettlauf gegen die Zeit, denn Nick hat sich im Gefängnis bereits Feinde gemacht und schwebt in akuter Gefahr...</t>
  </si>
  <si>
    <t>Goodnight Mommy</t>
  </si>
  <si>
    <t>tt3086442</t>
  </si>
  <si>
    <t>Lukas Schwarz, Elias Schwarz, Susanne Wuest</t>
  </si>
  <si>
    <t>Für die Zwillingsbrüder Lukas und Elias ist es eine tolle Ferienzeit: Sie spielen in Feldern Fange, erkunden die Umgebung des Hauses, welches außerhalb eines Dörfchens liegt, entdecken einen Friedhof, entspannen auf der Luftmatratze auf dem See, was Jungs eben so machen.  Dann jedoch kommt die Mutter nach Hause. Ihr Gesicht ist unter einem Verband kaum zu erkennen, die Schmerzen in Folge der Operation machen ihr zu schaffen, weswegen sie neue Regeln im Haus einführt. Dabei ist sie gar nicht mehr so liebevoll zu ihren beiden Kindern, sondern wird ausfallend und verhält sich teils aufbrausend. Für Lukas und Elias ist schnell klar: Das ist nicht ihre Mutter! Die beiden Brüder suchen Mittel und Wege, um aus der Frau herauszubekommen, wo ihre echte Mama ist...</t>
  </si>
  <si>
    <t>Hackers Im Netz des FBI</t>
  </si>
  <si>
    <t>Hackers</t>
  </si>
  <si>
    <t>tt0113243</t>
  </si>
  <si>
    <t>Jonny Lee Miller, Angelina Jolie, Matthew Lillard, Jesse Bradford, Renoly Santiago</t>
  </si>
  <si>
    <t>Der junge Zero Cool gilt in der Hacker-Szene als so etwas wie eine lebende Legende. Doch da er bei seinen digitalen Ausflügen schon allerlei Schade angerichtet hat, auch an der Wall-Street, darf der Computer-Freak bis zu seinem 18. Geburtstag nicht mehr in die Nähe eines Computers kommen. Doch dann erscheint Acid Burn in der Szene und mit ihrem unglaublich schnellen PC schafft sie es, in die Nähe der Genialität von Zero Cool zu gelangen. Das kann dieser natürlich nicht auf sich sitzen lassen und verstößt gegen seine Auflagen, um der jungen Frau zu beweisen, dass er der Beste ist. Doch das ruft die Polizei auf den Plan und plötzlich will der Industrielle und Gangster-Hacker Plague Dade die anderen Hacker in eine Falle locken. Die beiden müssen sich zusammenraufen und gemeinsam durch ihre Cyberspace-Fähigkeiten eine großangelegte Verschwörung abwehren…</t>
  </si>
  <si>
    <t>Hangman - Spiel Mit Dem Tod</t>
  </si>
  <si>
    <t>Hangman</t>
  </si>
  <si>
    <t>tt3011960</t>
  </si>
  <si>
    <t>Al Pacino, Karl Urban, Brittany Snow, Sarah Shahi, Joe Anderson</t>
  </si>
  <si>
    <t>Hangman, also die englischsprachige Version von Galgenmännchen, wird meist von Kindern gespielt. Ein Serienkiller hat sich das Spiel allerdings ebenfalls zur morbiden Grundlage seiner Morde genommen. Ein Polizist aus der Mordabteilung und ein kriminalistischer Profiler (Karl Urban und Al Pacino) bündeln daraufhin ihre Kräfte, um dem Täter das Handwerk zu legen.</t>
  </si>
  <si>
    <t>Hannibal</t>
  </si>
  <si>
    <t>United Kingdom, Italy, United States</t>
  </si>
  <si>
    <t>tt0212985</t>
  </si>
  <si>
    <t>Anthony Hopkins, Julianne Moore, Gary Oldman</t>
  </si>
  <si>
    <t>Zehn Jahre sind vergangen, seitdem die FBI-Agentin Clarice Starling ihre erste nervenaufreibende Begegnung mit dem kannibalistischen Schwerverbrecher und diabolischen Genie Dr. Hannibal Lecter hatte. Nach seiner spektakulären Flucht aus dem Gefängnis bewegt sich Lecter frei in Florenz umher, und die ahnungslose Welt ist ihm schutzlos ausgeliefert. Doch die Zeit heilt keine Wunden – der einst von Lecter verstümmelte Multimillionär Verger entwickelte sich, getrieben von unvorstellbar grausamen Racheplänen, zu dessen ebenbürtigen Rivalen. Als Patient von Lecter musste er sich selbst vor Jahren das Gesicht mit einer Scherbe häuten und sinnt auf bittere Rache für die Qualen und Entstellungen. Um Lecter endlich den Schweinen zum Fraß vorzuwerfen, braucht Verger einen unwiderstehlichen Köder: Clarice Starling.</t>
  </si>
  <si>
    <t>Happy Face Killer</t>
  </si>
  <si>
    <t>tt3320114</t>
  </si>
  <si>
    <t>David Arquette, Gloria Reuben, Daryl Shuttleworth</t>
  </si>
  <si>
    <t>Fernfahrer Keith Jesperson steht vor den Trümmern seiner Existenz. Psychisch angegriffen kommt eine lange verdrängte dunkle Seite in ihm zum Vorschein. Übermannt von seinem Trieb begeht er mehrere Morde an jungen Frauen. Immer tiefer dem Wahn verfallend erschafft er sich eine Zweitidentität als Happy Face Killer. Sein Markenzeichen ist ein lachendes Gesicht, geschrieben mit dem Blut seiner Opfer, welches er an den Tatorten hinterlässt. Ihm auf den Fersen: die FBI-Agentin Melinda Gand. Es beginnt ein spannungsgeladenes Katz-und-Maus-Spiel, in dem jeder Schritt der letzte sein kann.</t>
  </si>
  <si>
    <t>Hard Candy</t>
  </si>
  <si>
    <t>tt0424136</t>
  </si>
  <si>
    <t>Patrick Wilson, Elliot Page, Sandra Oh</t>
  </si>
  <si>
    <t>Der erfolgreiche Modefotograf Jeff und die 14-jährige Hayley lernen sich im Internet kennen. Beim ersten Treffen im Coffeeshop ist Jeff sehr angetan von dem aufgeweckten und charmanten Mädchen. Allerdings überrascht es ihn, dass Hayley sich kein bisschen scheut, mit ihm nach Hause zu gehen. In seinem Apartment angekommen, mag der Fotograf seinen Augen kaum trauen, denn Hayley legt den Vorwärtsgang ein: Nicht nur, dass sie beginnt, an der Bar Cocktails zu mischen – bald bietet sie sich auch für erotische Fotos an. Da kann Jeff natürlich nicht Nein sagen. Doch schon am Beginn des Shootings fängt Jeff an, sich seltsam zu fühlen. Kurz darauf wird er ohnmächtig …</t>
  </si>
  <si>
    <t>Hard Rain</t>
  </si>
  <si>
    <t>United Kingdom, Denmark, France, Germany, Japan, United States</t>
  </si>
  <si>
    <t>tt0120696</t>
  </si>
  <si>
    <t>Morgan Freeman, Christian Slater, Randy Quaid</t>
  </si>
  <si>
    <t>Sintflutartige Regenfälle und ein drohender Staudammbruch haben Huntington zu einer Geisterstadt werden lassen. Ein perfekter Zeitpunkt für einen Überfall. Der alternde Gangster Jim will mit seinen Komplizen jenen Panzerwagen knacken, der den gesamten Bargeldbestand des Ortes in Sicherheit bringen soll. Mit dem Sheriff hat Jim zwar gerechnet, nicht aber mit dem Mut des Geldtransportfahrers Tom, der mit Hilfe der Restaurateurin Karen alles daran setzt, die ihm anvertrauten drei Millionen Dollar zu retten ...</t>
  </si>
  <si>
    <t>Haus aus Sand und Nebel</t>
  </si>
  <si>
    <t>House of Sand and Fog</t>
  </si>
  <si>
    <t>tt0315983</t>
  </si>
  <si>
    <t>Jennifer Connelly, Ben Kingsley, Ron Eldard, Frances Fisher, Kim Dickens</t>
  </si>
  <si>
    <t>Mit den Nerven ist Kathy am Ende. Sie hat in kürzester Zeit erst den Ehemann, dann ihr Heim verloren. Jetzt sitzt sie quasi auf der Straße. Denn in ihrem Haus lebt wegen eines Verwaltungsfehlers der Exil-Iraner Behrani, der sein letztes Erspartes zusammengekratzt hat, um seiner Familie ein Zuhause zu bieten. Zwischen der einsamen Alkoholikerin und dem stolzen Iraner entbrennt ein erbitterter Kampf um den Bungalow. Bis sich der verheiratete Polizist Lester in Kathy verliebt und die Situation endgültig eskaliert...</t>
  </si>
  <si>
    <t>Haywire - Ein Mörderischer Auftrag</t>
  </si>
  <si>
    <t>Haywire</t>
  </si>
  <si>
    <t>Ireland, United States, Spain</t>
  </si>
  <si>
    <t>Action, Thriller, Drama</t>
  </si>
  <si>
    <t>tt1506999</t>
  </si>
  <si>
    <t>Gina Carano, Michael Fassbender, Channing Tatum, Michael Douglas, Antonio Banderas</t>
  </si>
  <si>
    <t>In Haywire wird die für mörderische Geheimaufträge ausgebildete Special Agentin Mallory Kane von ihren eigenen Auftraggebern ans Messer geliefert. Mallory muss es nun nicht nur mit ihrem zwielichtigen Vermittler Kenneth und dem charmanten Killer-Kollegen Paul aufnehmen, sondern auch noch den jungen Scott beschützen. Doch wer sind die Drahtziehers des Komplotts?</t>
  </si>
  <si>
    <t>Hereditary - Das Vermächtnis</t>
  </si>
  <si>
    <t>Hereditary</t>
  </si>
  <si>
    <t>tt7784604</t>
  </si>
  <si>
    <t>Toni Collette, Alex Wolff, Gabriel Byrne, Milly Shapiro, Ann Dowd</t>
  </si>
  <si>
    <t>Annie verliert ihre Mutter, die zugleich die Matriarchin der Familie war. Das Dahinscheiden der alten Dame hat für die Familie Graham, zu der auch Ehemann Steve, Sohn Peter und Tochter Charlie gehören, jedoch weitreichendere Konsequenzen als nur die Trauer um den Verlust der Großmutter. Eine dunkle Präsenz scheint als übernatürliche Kraft Einzug in ihren Haushalt zu halten und Annie muss nun tief in die Geheimnisse ihrer Vorfahren eintauchen, um einem ihr vererbten schrecklichen Schicksal zu entgehen.</t>
  </si>
  <si>
    <t>Hijacking - Todesangst ... In der Gewalt von P</t>
  </si>
  <si>
    <t>Kapringen</t>
  </si>
  <si>
    <t>Denmark</t>
  </si>
  <si>
    <t>tt2216240</t>
  </si>
  <si>
    <t>Pilou Asbæk, Søren Malling, Dar Salim, Roland Møller, Gary Skjoldmose Porter</t>
  </si>
  <si>
    <t>Das dänische Frachtschiff Rozen kreuzt gerade die Gewässer vor der somalischen Küste, als eine schwer bewaffnete Piratenbande das Boot entert und seine Besatzung als Geiseln nimmt, um von der Reederei – oder wem auch immer – einen hohen acht-stelligen Dollarbetrag zu erpressen. In Dänemark zieht darauf ein als gewiefter Taktierer erprobter Vorstand in die Verhandlungen mit den Erpressern, nur um festzustellen, dass man mit den üblichen Taktiken hier schnell an Grenzen stößt. Dazu machen die Familien der Geiseln auf ihre Weise Druck …</t>
  </si>
  <si>
    <t>Honest Thief</t>
  </si>
  <si>
    <t>tt1838556</t>
  </si>
  <si>
    <t>Liam Neeson, Kate Walsh, Jai Courtney</t>
  </si>
  <si>
    <t>Als sich der berüchtigte Bankräuber Tom Hals über Kopf in Annie verliebt, möchte er seinen riskanten Job endgültig an den Nagel hängen. Er beschließt, sich dem FBI zu stellen, um für sich einen Deal zu verhandeln: er bietet die Rückgabe seiner neun Millionen Dollar Beute gegen eine saubere Weste und Straffreiheit an. Beim FBI glaubt man nach Toms Kontaktaufnahme zunächst, dass man ihnen einen Streich spielen will. Anstatt erfahrener Kollegen, werden die jungen Agenten Nivens und Hall mit dem Fall beauftragt. Als diese herausfinden, dass es sich bei dem Anrufer tatsächlich um den langjährig gesuchten, Meisterdieb Tom handelt, können sie ihr Glück kaum fassen. Denn dessen Geld könnte ihre Eintrittskarte in ein besseres Leben sein. Ein Katz-und-Maus-Spiel um die Millionenbeute beginnt, bei dem die Grenzen zwischen Gut und Böse immer mehr verschwimmen…</t>
  </si>
  <si>
    <t>I Saw the Devil</t>
  </si>
  <si>
    <t>tt1588170</t>
  </si>
  <si>
    <t>Lee Byung-hun, Choi Min-sik, Jeon Gook-hwan</t>
  </si>
  <si>
    <t>Kyung-chul ist ein gefährlicher Serienmörder, dem die Polizei schon lange auf den Fersen ist. Skrupellos und äußerst brutal vorgehend, vergreift er sich an jungen Frauen. An einem verschneiten Abend ermordet er Ju-yeon, die Tochter des Polizeichefs Jang, auf bestialische Weise. Ihr Verlobter - Geheimagent Soo-hyun - schwört gnadenlose Rache. Er will Kyung-chul all die Schmerzen zufügen, die dieser seinen Opfern antut. Auch wenn er dazu selbst zum Monster werden muss. Er lässt sich für zwei Wochen beurlauben. Nicht, um das schreckliche Trauma zu verarbeiten, sondern um den psychopathischen Killer auf eigene Faust zu jagen. Ein erbarmungsloser Schlagabtausch beginnt, bei dem Soo-hyun seinen intelligenten Kontrahenten zu unterschätzen scheint.</t>
  </si>
  <si>
    <t>I'll Be Watching</t>
  </si>
  <si>
    <t>tt17624610</t>
  </si>
  <si>
    <t>Eliza Taylor, Bob Morley, Seth Michaels</t>
  </si>
  <si>
    <t>Nachdem ihre Schwester ermordet wurde, versucht Julie mit ihrem Ehemann Marcus auf dem Land einen Neuanfang. Als dieser auf Geschäftsreise fahren muss, soll eine KI-gesteuerte Alarmanlage Julie in Sicherheit wiegen. Doch bald häufen sich beängstigende Phänomene, und sie glaubt, dass ihr eigener Ehemann sie töten will.</t>
  </si>
  <si>
    <t>Im Eishaus</t>
  </si>
  <si>
    <t>The Ice House</t>
  </si>
  <si>
    <t>tt0119348</t>
  </si>
  <si>
    <t>Frances Barber, Kitty Aldridge, Corin Redgrave</t>
  </si>
  <si>
    <t>Im letzten Sommer</t>
  </si>
  <si>
    <t>Dernier été à Tanger</t>
  </si>
  <si>
    <t>France, Italy</t>
  </si>
  <si>
    <t>Crime, Drama, Romance</t>
  </si>
  <si>
    <t>tt0090932</t>
  </si>
  <si>
    <t>Valeria Golino, Thierry Lhermitte, Roger Hanin</t>
  </si>
  <si>
    <t>Im Licht Des Vergessens</t>
  </si>
  <si>
    <t>Ulzhan</t>
  </si>
  <si>
    <t>Kazakhstan, Germany, France</t>
  </si>
  <si>
    <t>tt1016033</t>
  </si>
  <si>
    <t>Philippe Torreton, Ayanat Ksenbai, David Bennent</t>
  </si>
  <si>
    <t>Charles ist eine entrückte Person. Wie abwesend wandert der Franzose durch Kasachstans Steppe. Kurz nach der Grenze hat er sein Auto stehen gelassen, jetzt ist er zu Fuß unterwegs. Mit sich hat er nur eine Lederreisetasche, die ihm im Laufe der Zeit die Hand blutig scheuert. Nach und nach entledigt er sich jeglicher Habe. Nur ein verblasstes Familienfoto und eine Postkarte bewahrt er wie eine Reliquie. Die Reste einer Vergangenheit, die anders ist, als das gegenwärtige triste Dasein. War es vielleicht sogar eine glückliche Vergangenheit? Um diese wieder zu finden, oder sie zu vergessen, steuert er nun Richtung Osten ins Herz Zentralasiens. Auf dem Weg begegnen ihm bizarre Gestalten, so der Wortverkäufer Shakuni und die schöne Lehrerin Ulzhan. Beide wollen ihm bei seiner verzweifelten Suche helfen.</t>
  </si>
  <si>
    <t>Missione speciale Lady Chaplin</t>
  </si>
  <si>
    <t>Italy, France, Spain</t>
  </si>
  <si>
    <t>tt0060704</t>
  </si>
  <si>
    <t>Ken Clark, Daniela Bianchi, Helga Liné</t>
  </si>
  <si>
    <t>Lady Chaplin ist eine Modeikone mit einem Atelier in Paris. Außerdem ist sie die rechte Hand Zoltans, einem stinkreichen Amerikaner, der sich auf Schiffsbergungen spezialisiert hat. Dick Malloy ist CIA-Agent. Alle drei suchen das gesunkene Atom-U-Boot "Tresher". Denn dort sind noch Atomraketen an Bord. Und die kann man gewinnbringend verkaufen - oder in Sicherheit bringen und die Welt retten.</t>
  </si>
  <si>
    <t>Im Sumpf des Verbrechens</t>
  </si>
  <si>
    <t>Scene of the Crime</t>
  </si>
  <si>
    <t>tt0041847</t>
  </si>
  <si>
    <t>Van Johnson, Arlene Dahl, Gloria DeHaven</t>
  </si>
  <si>
    <t>Mike Conovan ist mit Leib und Seele Polizei-Detective in Los Angeles. Als einer seiner Kollegen auf offener Straße erschossen wird, macht er sich auf die Suche nach dem Mörder. Noch während der schwierigen Ermittlungen gibt es weitere Opfer. Conovan steht vor einer schweren Entscheidung: er will diesen Fall lösen, doch seine Frau droht ihm, ihn zu verlassen, wenn er seinen gefährlichen Dienst nicht quittiert...</t>
  </si>
  <si>
    <t>Germany, United States</t>
  </si>
  <si>
    <t>In 3 Tagen bist du tot II</t>
  </si>
  <si>
    <t>In 3 Tagen bist du tot 2</t>
  </si>
  <si>
    <t>tt1188993</t>
  </si>
  <si>
    <t>Sabrina Reiter, Andreas Kiendl, Anna Rot, Martin Loos, Julia Rosa Peer</t>
  </si>
  <si>
    <t>Nach den schrecklichen Erlebnissen des letzten Sommer ist Nina (Sabrina Reiter) nach Wien gezogen und versucht ihr Leben in normale Bahnen zu lenken. Alles geht seinen geregelten Gang, bis eines Nachts Mona (Julia Rosa Stöckl), ihre damals beste Freundin anruft und sie in Todesangst um Hilfe anfleht…</t>
  </si>
  <si>
    <t>In den Fängen der Entführer</t>
  </si>
  <si>
    <t>Kidnapped: In the Line of Duty</t>
  </si>
  <si>
    <t>tt0113408</t>
  </si>
  <si>
    <t>Dabney Coleman, Timothy Busfield, Lauren Tom</t>
  </si>
  <si>
    <t>In der Stille der Nacht</t>
  </si>
  <si>
    <t>Silent Night</t>
  </si>
  <si>
    <t>United States, Austria</t>
  </si>
  <si>
    <t>Biography, Drama, Music</t>
  </si>
  <si>
    <t>tt2562132</t>
  </si>
  <si>
    <t>Carsten Clemens, Markus von Lingen, Janina Elkin</t>
  </si>
  <si>
    <t>Weihnachten 1944. Elisabeth Vincken hat sich mit ihrem 12-jährigen Sohn Fritz in eine abgelegene Jagdhütte geflüchtet. Plötzlich stehen drei amerikanische Soldaten in der Tür, einer von ihnen ist verwundet. Elisabeth ist bereit, den Verletzten zu versorgen – unter der Bedingung, dass die Männer ihre Waffen ablegen. Kurz darauf tauchen noch mehr Soldaten aus dem Wald auf. Es sind Deutsche. Der resoluten Frau gelingt es, die explosive Situation zu entschärfen und die verfeindeten Männer davon zu überzeugen, dass an Weihnachten die Waffen schweigen sollen. Zögernd beteiligen sich alle an den Vorbereitungen für ein kleines Fest. Es wird ein Heiligabend werden, den keiner jemals vergessen wird.</t>
  </si>
  <si>
    <t>In ihren Augen</t>
  </si>
  <si>
    <t>Oslo, August 31st</t>
  </si>
  <si>
    <t>Norway, Denmark, Sweden</t>
  </si>
  <si>
    <t>tt1736633</t>
  </si>
  <si>
    <t>Anders Danielsen Lie, Hans Olav Brenner, Ingrid Olava</t>
  </si>
  <si>
    <t>Holland in den 30er Jahren. Im katholischen Städtchen Oss im Süden des Landes geben kriminelle Elemente den Ton an und liefern sich sporadische Scharmützel mit den protestantischen Militäreinheiten, die von der Regierung eigentlich gesandt wurden, um die Lage zu befrieden. In all dem Tumult versucht die Restaurantbetreiberin Johanna ein friedliches Leben zu führen, was von ihrem Gangstergatten jedoch regelmäßig konterkariert wird. Als sie auf Abhilfe sinnt, verstrickt sie sich nur noch stärker in den Armen der Unterwelt.</t>
  </si>
  <si>
    <t>In My Skin</t>
  </si>
  <si>
    <t>tt0337961</t>
  </si>
  <si>
    <t>Marina de Van, Laurent Lucas, Léa Drucker</t>
  </si>
  <si>
    <t>Esther ist eine erfolgreiche Geschäftsfrau und lebt in einer glücklichen Beziehung. Ihre Umwelt und sie selbst geraten allerdings außer Kontrolle, als Esther beginnt, ihren Körper immer wieder absichtlich zu verletzen und dabei Lust zu empfinden.</t>
  </si>
  <si>
    <t>Influencer - Trau niemandem, dem Du folgst</t>
  </si>
  <si>
    <t>Influencer</t>
  </si>
  <si>
    <t>tt13309170</t>
  </si>
  <si>
    <t>Cassandra Naud, Emily Tennant, Rory J. Saper, Sara Canning, Paul Spurrier</t>
  </si>
  <si>
    <t>Madison ist eine erfolgreiche Online-Influencerin mit einer hohen sechsstelligen Zahl von Fans auf ihrem Social-Media-Account. Aktuell ist sie in Thailand und teilt ihren Urlaub via Videos und Fotos, begleitet von Schilderungen ihres privilegierten Lifestyles, mit den Followern. Was sie diese jedoch nicht wissen lässt: Sie macht sich ernsthafte Sorgen um die Beziehung zu ihrem Boyfriend Ryan. Denn der hat sie in letzter Sekunde einfach allein abreisen lassen. Dann lernt sie allerdings die coole CW, eine seit ein paar Jahren in Thailand lebende Amerikanerin, kennen. Madison ist komplett fasziniert von der kurioserweise offenbar keinerlei Online-Präsenz besitzenden jungen Frau. Die charismatische CW führt sie jenseits der ausgetretenen Touristenpfade herum und eine echte Freundschaft scheint zu entstehen. Doch dann ist Madisons Reisepass verschwunden und der eben noch so wunderbar anmutende Trip mutiert zu einem Albtraum …</t>
  </si>
  <si>
    <t>Inheritance - Ein dunkles Vermaechtnis</t>
  </si>
  <si>
    <t>Inheritance</t>
  </si>
  <si>
    <t>tt7923220</t>
  </si>
  <si>
    <t>Lily Collins, Simon Pegg, Connie Nielsen, Chace Crawford, Patrick Warburton</t>
  </si>
  <si>
    <t>Nach dem plötzlichen Tod ihres Vaters, erfährt die junge Staatsanwältin Lauren Monroe, dass er ihr ein schockierendes und alles veränderndes Erbe hinterlassen hat – ein Erbe, das sie nicht ignorieren kann und das droht, ihre gesamte Familie zu zerstören. Die Vergangenheit ihres Vaters ist allgegenwärtig und Lauren auf sich alleingestellt…</t>
  </si>
  <si>
    <t>Insomnia - Todesschlaf</t>
  </si>
  <si>
    <t>tt0119375</t>
  </si>
  <si>
    <t>Stellan Skarsgård, Sverre Anker Ousdal, Bjørn Floberg, Maria Mathiesen, Gisken Armand</t>
  </si>
  <si>
    <t>Im Norden Norwegens soll der schwedische Kommissar Engström mit seinem Kollegen Vik der örtlichen Polizei helfen, den Mord an einer Siebzehnjährigen aufzuklären. Sie können den Täter im Nebel stellen, doch als dieser flüchtet, erschießt Engström versehentlich Vik. Es gelingt ihm, dies als Tat des geflüchteten Mörders erscheinen zu lassen, doch mit zunehmender Dauer der Ermittlungen macht ihm nicht nur seine Schlaflosigkeit zu schaffen sondern auch, dass der Mörder ihn mit dem Wissen um seine Tat unter Druck setzt.</t>
  </si>
  <si>
    <t>Insomnia – Schlaflos</t>
  </si>
  <si>
    <t>It Comes at Night</t>
  </si>
  <si>
    <t>tt4695012</t>
  </si>
  <si>
    <t>Joel Edgerton, Christopher Abbott, Carmen Ejogo</t>
  </si>
  <si>
    <t>Die Welt des Familienoberhaupts Paul (Joel Edgerton), seiner schüchternen Frau Sarah (Carmen Ejogo) und des Teenager-Sohns Travis (Kelvin Harrison Jr.) wird regelmäßig von einer bösartigen, pestähnlichen Bedrohung heimgesucht. Um Schutz vor den lebensgefährlichen Umständen zu finden, ziehen sie sich in ein abgelegenes Haus im Wald zurück. Doch die Ruhe wird gestört, als eines Tages der fremde Will (Christopher Abbott) versucht, die Vordertür des Hauses aufzubrechen. Will überzeugt die Familie davon, ihm bei der Suche nach seiner Frau Kim (Riley Keough) und seinem Sohn Andrew (Griffin Robert Faulkner) zu helfen und die beiden mit in den wohlbehüteten Schutzort zu bringen. Bald bricht jedoch Paranoia zwischen den neuen und alten Bewohnern aus.</t>
  </si>
  <si>
    <t>Ittefaq - Es geschah eines Nachts</t>
  </si>
  <si>
    <t>इत्तेफ़ाक़</t>
  </si>
  <si>
    <t>tt6692354</t>
  </si>
  <si>
    <t>Akshaye Khanna, Sidharth Malhotra, Sonakshi Sinha, Mandira Bedi, Mir Sarwar</t>
  </si>
  <si>
    <t>Ein Polizeibeamter ermittelt in einem Doppelmord-Fall, der nur zwei Zeugen hat, die auch die Hauptverdächtigen sind. Die Verdächtigen - Vikram, ein gefeierter Schriftsteller, und Maya, eine junge Hausfrau, erzählen unterschiedliche Geschichten über die Ereignisse dieser schicksalhaften Nacht.</t>
  </si>
  <si>
    <t>Jacob’s Ladder – In der Gewalt des Jenseits</t>
  </si>
  <si>
    <t>Jacob's Ladder</t>
  </si>
  <si>
    <t>Drama, Mystery, Horror</t>
  </si>
  <si>
    <t>tt0099871</t>
  </si>
  <si>
    <t>Tim Robbins, Elizabeth Peña, Danny Aiello, Matt Craven, Pruitt Taylor Vince</t>
  </si>
  <si>
    <t>Grausame Visionen, die seinen Blick für die Realität trüben, quälen den New Yorker Postbeamten Jacob Singer. In der U-Bahn haben Fremde Hörner und Schwänze, eine Party scheint von Dämonen bevölkert, und aus dem Kühlschrank starrt ihm ein Tierkopf entgegen. Mit Hilfe seines Chiropraktikers Louis kommt dem unscheinbaren Vietnamheimkehrer der Verdacht, daß er im Krieg Opfer militärischer Drogenexperimente geworden ist. Oder ist doch etwas Übernatürliches hinter ihm her und zerstört langsam aber sicher seine Realität. Oder gibt es einen ganz anderen Grund? Immer mehr verwischen die Grenzen...</t>
  </si>
  <si>
    <t>Jimmy Hoffa</t>
  </si>
  <si>
    <t>Killing Jimmy Hoffa</t>
  </si>
  <si>
    <t>tt3953944</t>
  </si>
  <si>
    <t>George Anastasia, David Ashenfelter, Alan Bradley</t>
  </si>
  <si>
    <t>John and the Hole</t>
  </si>
  <si>
    <t>Drama, Horror, Thriller</t>
  </si>
  <si>
    <t>tt11307724</t>
  </si>
  <si>
    <t>Charlie Shotwell, Michael C. Hall, Jennifer Ehle</t>
  </si>
  <si>
    <t>Der 13-jährige John entdeckt mit seiner Drohne ein mysteriöses Loch im Waldboden, das ihn sofort fasziniert und auf eine extreme Idee bringt: Warum nicht mal eine Auszeit von der stressigen Familie nehmen? Als Vater Brad, Mutter Anna und Schwester Laurie am nächsten Morgen ohne jegliche Fluchtmöglichkeit in der Grube aufwachen, glauben sie zunächst an einen Unfall, bestenfalls einen üblen Scherz - bis ihnen nach einigen Tagen langsam dämmert, dass sie in einer tödlichen Falle sitzen</t>
  </si>
  <si>
    <t>Julia's Eyes</t>
  </si>
  <si>
    <t>Spain, Mexico</t>
  </si>
  <si>
    <t>tt1512685</t>
  </si>
  <si>
    <t>Belén Rueda, Lluís Homar, Pablo Derqui</t>
  </si>
  <si>
    <t>Nach dem mysteriösen Suizid ihrer blinden Schwester scheint für Julia die Welt zerbrochen zu sein. Doch als sie erfährt, dass ein Selbstmord ganz und gar unwahrscheinlich ist, schöpft sie neuen Lebensmut und beginnt eigene Nachforschungen über den Tod ihrer Schwester anzustellen. Während sie nach und nach etwas Licht in die Sache bringen kann, verliert Julia gleichsam selbiges. Immer tiefer gerät sie dabei in einen Strudel aus Verrat, Geheimnissen und Lügen und schließlich beginnen auch ihre Augen an Sehkraft zu verlieren ...</t>
  </si>
  <si>
    <t>Juror 2</t>
  </si>
  <si>
    <t>Juror #2</t>
  </si>
  <si>
    <t>tt27403986</t>
  </si>
  <si>
    <t>Nicholas Hoult, Toni Collette, J.K. Simmons</t>
  </si>
  <si>
    <t>Ein Geschworener in einem Mordprozess erkennt, dass er möglicherweise den Tod des Opfers verursacht hat und muss mit dem Dilemma ringen, ob er die Jury manipulieren soll, um sich selbst zu retten, oder die Wahrheit preisgeben und sich selbst stellen soll.</t>
  </si>
  <si>
    <t>Killerjagd - Schrei, wenn Du Dich traust</t>
  </si>
  <si>
    <t>Killerjagd - Schrei wenn du dich traust</t>
  </si>
  <si>
    <t>tt1587192</t>
  </si>
  <si>
    <t>Alexandra Neldel, Emily Cox, Peter Davor, Maximilian von Pufendorf, Clemens Schick</t>
  </si>
  <si>
    <t>Auf dem Campus einer erlesenen Universität muss Anna Winter den Mord an einer jungen Frau aufklären. Umgeben von Studenten, die in erster Linie auf die eigene Karriere besessenen sind, geht sie der Frage nach, ob sich die Frau selbst tötete oder ob sie jemand umgebracht hat. Anna Winter kommt mit ihren Ermittlungen nicht gut voran und hat dennoch das Gefühl, auf einer ganz heißen Spur zu sein. Doch zur Aufklärung des Falls fehlen ihr noch die Beweise. Das Team von Anna Winter vermutet, sie würde sich zu sehr in den Fall hineinsteigern. Ihr Beziehungsleben steht auch auf dem Prüfstand: Sie kann sich einfach nicht zwischen ihren Kollegen, dem Anwalt Phillip Rothkamm und dem ehemaligen Polizist Marco Lorenz, entscheiden. Am Ende jedoch überschlagen sich die Ereignisse und Anna ist auf die Mithilfe beider angewiesen, um den Fall zu lösen</t>
  </si>
  <si>
    <t>Knight Moves – Ein mörderisches Spiel</t>
  </si>
  <si>
    <t>Knight Moves</t>
  </si>
  <si>
    <t>tt0104627</t>
  </si>
  <si>
    <t>Christopher Lambert, Diane Lane, Tom Skerritt, Daniel Baldwin, Ferdy Mayne</t>
  </si>
  <si>
    <t>Zug um Zug liefern sich die beiden Schachgroßmeister ein nervenzerreißendes Duell. Schachmatt – der König stürzt, während die junge Frau im Keller von einem Dolch durchbohrt wird. Der Killer, ein Wahnsinniger, ein Genie – mit brillant ausgedachten Rätseln kündigt er jeweils seine nächste Tat an. Die Zeit rast – weitere Morde geschehen. Es gilt, die blutigen Mordstrategien des Killers zu erkennen und ihn in diesem Spiel um Leben und Tod ein für allemal schachmatt zu setzen.</t>
  </si>
  <si>
    <t>Knox Goes Away</t>
  </si>
  <si>
    <t>tt20115766</t>
  </si>
  <si>
    <t>Michael Keaton, Ray McKinnon, Cassie Moronez</t>
  </si>
  <si>
    <t>Als bei dem Auftragskiller John Knox (Michael Keaton) eine schnell fortschreitende Form von Demenz diagnostiziert wird, bietet sich ihm die Gelegenheit, sich selbst zu rehabilitieren, indem er das Leben seines entfremdeten erwachsenen Sohnes rettet. Um dies zu tun, muss er gegen die Polizei anrennen, die ihm auf den Fersen ist, und gegen die tickende Uhr seines eigenen, sich schnell verschlechternden Geistes.</t>
  </si>
  <si>
    <t>Kompromat Die Macht der Lüge</t>
  </si>
  <si>
    <t>Kompromat</t>
  </si>
  <si>
    <t>France, Lithuania</t>
  </si>
  <si>
    <t>tt13349892</t>
  </si>
  <si>
    <t>Gilles Lellouche, Joanna Kulig, Michail Witaljewitsch Gorewoi, Sasha Piltsin, Михаил Сафронов</t>
  </si>
  <si>
    <t>Sibirien, 2017: Der französische Diplomat Mathieu wird Opfer einer Intrige des russischen Geheimdienstes. Vor den Augen seiner Tochter wird er verhaftet, inhaftiert und isoliert. Ohne Chance auf Verteidigung oder Hilfe von der eigenen Regierung bleibt dem Staatsfeind nur ein Ausweg, wenn er seine Familie je wiedersehen will: die abenteuerliche Flucht auf eigene Faust durch ein fremdes und feindseliges Land.</t>
  </si>
  <si>
    <t>Krieg der Bestatter</t>
  </si>
  <si>
    <t>The Burial</t>
  </si>
  <si>
    <t>tt5648882</t>
  </si>
  <si>
    <t>Tommy Lee Jones, Jamie Foxx, Jurnee Smollett, Alan Ruck, Mamoudou Athie</t>
  </si>
  <si>
    <t>Als Jeremiah O'Keefe, Inhaber eines traditionsreichen Bestattungsunternehmens in Biloxi, Mississippi, von einem kanadischen Großkonzern, der ebenfalls auf Beerdigungen spezialisiert ist, über den Tisch gezogen werden soll, heuert er den wortgewandten Anwalt Willie E. Gary an. Gary soll die strittigen Vertragsangelegenheiten klären und gerät dabei an Mame Downes, die Anwältin der Gegenseite, die ihm in vielerlei Hinsicht ebenbürtig ist. Während des Prozesses wird dann klar, dass es bei diesem Fall um viel mehr geht, als bloß um unlautere Geschäfte, denn auch Alltagsrassismus und die Ausbeutung der unteren Klassen hängen mit den Ereignissen, die vor Gericht aufgerollt werden, unmittelbar zusammen.</t>
  </si>
  <si>
    <t>Lakeview Terrace</t>
  </si>
  <si>
    <t>tt0947802</t>
  </si>
  <si>
    <t>Samuel L. Jackson, Patrick Wilson, Kerry Washington</t>
  </si>
  <si>
    <t>Das Ehepaar Chris und Lisa Mattson sind frisch verheiratet und in ihr Traumhaus eingezogen. Doch das Glück währt nicht lang, denn auf Grund ihrer verschiedenen Hautfarben geraten die beiden ins Fadenkreuz ihrer konservativen Nachbarn. Abel Turner, ein strenger, alleinerziehender Vater und Polizist, ist selbst erklärter Wachhund der Nachbarschaft. Durch seine regelmäßigen Streifzüge gibt er den Leuten die nötige Sicherheit, doch aufgrund seiner Schikanen gegen die Mattsons entwickelt sich der Polizist immer mehr zum Dorn im Auge des Paares. Diese beschließen schließlich, den Kampf aufzunehmen.</t>
  </si>
  <si>
    <t>Lass ihn gehen</t>
  </si>
  <si>
    <t>John Cho, Mia Isaac, Kaya Scodelario</t>
  </si>
  <si>
    <t>Last Passenger - Zug ins Ungewisse</t>
  </si>
  <si>
    <t>Last Passenger</t>
  </si>
  <si>
    <t>tt1858481</t>
  </si>
  <si>
    <t>Dougray Scott, Kara Tointon, David Schofield, Iddo Goldberg, Lindsay Duncan</t>
  </si>
  <si>
    <t>Als vielbeschäftigter Arzt und alleinerziehender Vater ist Lewis Shaler vollkommen überfordert. Zusammen mit seinem siebenjährigen Sohn Max steigt er in den letzten Londoner Pendelzug in Richtung Vorort und trifft dort auf die schöne Sarah. Beide verstehen sich auf Anhieb und Lewis glaubt, endlich einmal Glück zu haben. Doch dann kommt alles anders: Das Zugpersonal scheint plötzlich spurlos verschwunden, der Zug hält nicht mehr an den Bahnhöfen und rast ungebremst hinein ins Nirgendwo. Auch die Notbremsen wurden deaktiviert und die wenigen Passagiere müssen eine Möglichkeit finden, die rasende Maschine zu stoppen. Bald ist klar, dass ein schwer gestörter Psychopath hinter dem Debakel steckt - und dieser will den Zug um jeden Preis entgleisen lassen will…</t>
  </si>
  <si>
    <t>Liebes Kind</t>
  </si>
  <si>
    <t>Es ging Tag und Nacht, liebes Kind</t>
  </si>
  <si>
    <t>tt0804249</t>
  </si>
  <si>
    <t>Melanie Spitta</t>
  </si>
  <si>
    <t>Lights Out</t>
  </si>
  <si>
    <t>Horror, Mystery</t>
  </si>
  <si>
    <t>tt4786282</t>
  </si>
  <si>
    <t>Teresa Palmer, Gabriel Bateman, Maria Bello</t>
  </si>
  <si>
    <t>Als kleines Kind litt Rebecca unter schlimmen Ängsten, vor allem, wenn abends das Licht ausgeschaltet wurde. Besonders traumatisch war für sie, nicht unterscheiden zu können, ob die Schreckgestalten in ihrem Zimmer real oder nur eingebildet waren. Als erwachsene Frau ist Rebecca diese Angstzustände nun endlich los, reagiert jedoch alarmiert, als ihr kleiner Halbbruder Martin in seinem dunklen Kinderzimmer von ähnlichen Erscheinungen heimgesucht wird. Hängen diese Ereignisse etwa mit ihrem Elternhaus oder gar mit Martins und ihrer gemeinsamen Mutter Sophie zusammen? Mit ihrem Freund Bret begibt sich Rebecca auf Spurensuche und entdeckt, dass ihre gesamte Familie in höchster Gefahr schwebt – und zwar immer dann, wenn das Licht ausgeht…</t>
  </si>
  <si>
    <t>Locked</t>
  </si>
  <si>
    <t>tt26671996</t>
  </si>
  <si>
    <t>Bill Skarsgård, Anthony Hopkins, Ashley Cartwright</t>
  </si>
  <si>
    <t>Als Eddie in einen luxuriösen Geländewagen einbricht, tappt er in eine tödliche Falle, die ihm William gestellt hat, ein Selbstjustizler, der seine eigene Art von verdrehter Gerechtigkeit ausübt. Ohne Fluchtmöglichkeit muss Eddie um sein Überleben kämpfen - in einer Welt, in der die Flucht eine Illusion, das Überleben ein Albtraum und die Gerechtigkeit ein hohes Tempo hat.</t>
  </si>
  <si>
    <t>Lone Star</t>
  </si>
  <si>
    <t>Drama, Mystery, Western</t>
  </si>
  <si>
    <t>tt0116905</t>
  </si>
  <si>
    <t>Chris Cooper, Elizabeth Peña, Stephen Mendillo</t>
  </si>
  <si>
    <t>Alles vergeben und vergessen? Der Fund eines ausgebleichten Skeletts läßt die unrühmliche Vergangenheit eines drögen Provinznests auferstehen: Sheriff Deeds bekommt bei seinen Recherchen heraus, dass der Tote der berüchtigte Ex-Sheriff Wade von Frontera ist .</t>
  </si>
  <si>
    <t>Lou</t>
  </si>
  <si>
    <t>tt5315210</t>
  </si>
  <si>
    <t>Allison Janney, Jurnee Smollett, Logan Marshall-Green</t>
  </si>
  <si>
    <t>Lou führt ein ruhiges und zurückgezogenes Leben. Sie ist lieber für sich, beweist im Umgang mit Menschen nicht viel Fingerspitzengefühl und versteckt ihre weiche Seite gerne unter einem harten Kern. Das ändert sich eines Tages, als ihre Nachbarin sie verzweifelt darum bittet, ihr zu helfen, ihre Tochter zu retten, die entführt wurde. In einer stürmischen Nacht begeben sie sich auf die Suche nach dem Mädchen. Die beiden Frauen könnten unterschiedlicher nicht sein, aber für diese Aufgabe müssen sie zusammenarbeiten und lernen, einander zu vertrauen. Auf dieser Mission kommen sie jedoch schockierenden und finsteren Geheimnissen ihrer Vergangenheit auf die Spur, die sie zweifeln lässt, ob man sich auf den anderen verlassen kann. Werden sie es schaffen, das Mädchen trotz aller Hindernisse zu befreien?</t>
  </si>
  <si>
    <t>Ma sieht alles</t>
  </si>
  <si>
    <t>Ma</t>
  </si>
  <si>
    <t>tt7958736</t>
  </si>
  <si>
    <t>Octavia Spencer, Juliette Lewis, Diana Silvers, McKaley Miller, Corey Fogelmanis</t>
  </si>
  <si>
    <t>Bei Ma sind alle willkommen. Es scheint ein glückliches Zusammentreffen zu sein: Sue Ann lebt einsam und allein in einem braven Kaff in Ohio. Neuankömmling Maggie und ihre Freunde wollen feiern - dürfen als Teenager aber noch keinen Alkohol kaufen. Also besorgt Sue Ann ihnen den Stoff. Und bietet den neuen, jugendlichen Freunden auch gleich noch ihren Keller als Partylocation an.  Doch es herrschen klare Regeln in Sue Anns Haus: Wer fährt, bleibt nüchtern! Keine Kraftausdrücke! Die oberen Stockwerke sind tabu! Und Sue Ann wird "Ma" genannt.  Bald entpuppt sich die vermeintliche Gastfreundschaft Mas als obsessive Gier nach Gesellschaft. Der scheinbare Teenager-Traum verwandelt sich zum grauenvollen Albtraum. Und Mas Haus wird vom heißesten Schuppen der Stadt zur Hölle auf Erden.</t>
  </si>
  <si>
    <t>Machtlos</t>
  </si>
  <si>
    <t>tt12149220</t>
  </si>
  <si>
    <t>Alexander Diosegi, Shana Braungart-Zink, Elena Halangk</t>
  </si>
  <si>
    <t>Zwei Lehrer. Ein obskures Elternpaar. Ein Junge, den sie um jeden Preis retten wollen.  Deutschland, 1983. Weil sie für das seltsame Verhalten eines Schülers keine Erklärung finden, statten die Lehrer Christina und Robert den Eltern des Kindes einen Besuch ab. Doch seit dem Moment, in dem sie das Haus der Familie betreten, lässt sie dieses merkwürdige Gefühl nicht los. Das Gefühl, dass irgendetwas nicht stimmt mit diesem Haus - und der Familie.</t>
  </si>
  <si>
    <t>Mad Dog - Am Abgrund des Bösen</t>
  </si>
  <si>
    <t>Ai confini del male</t>
  </si>
  <si>
    <t>tt13982526</t>
  </si>
  <si>
    <t>Edoardo Pesce, Massimo Popolizio, Chiara Bassermann, Roberta Caronia, Luka Zunic</t>
  </si>
  <si>
    <t>Als die beiden Jugendlichen Adele und Luca nach einer Party spurlos verschwinden, weckt das in dem abgelegenen toskanischen Landstrich Angst und Misstrauen unter den Einheimischen. Zusammen mit seinem Vorgesetzten Rio ermittelt ausgerechnet der unberechenbare Leutnant Meda, den alle nur Mad Dog nennen, in diesem mysteriösen Fall: ein rabiater und wortkarger Einzelgänger mit eigenwilligen Methoden, der keinen Stein auf dem anderen lässt, um den Täter zu finden. Doch plötzlich taucht der geschundene Luca in einem Feld wieder auf – und bald darauf wird die Leiche von Adele entdeckt. Viel zu schnell wird unter der erdrückenden Last der Beweise ein Täter verhaftet, doch der starrköpfige Meda entdeckt immer mehr Verbindungen zu einer bulgarischen Prostituierten, deren Tochter ebenfalls in dieser Nacht verschwunden ist. Nichts scheint bei diesem Verbrechen zusammenzupassen, und als die Ereignisse sich plötzlich überschlagen, beginnt für den Mad Dog ein atemloses Wettrennen gegen die Zeit…</t>
  </si>
  <si>
    <t>Maldoror</t>
  </si>
  <si>
    <t>Belgium, France</t>
  </si>
  <si>
    <t>tt15459206</t>
  </si>
  <si>
    <t>Anthony Bajon, Alba Gaïa Bellugi, Alexis Manenti</t>
  </si>
  <si>
    <t>Als zwei Mädchen verschwinden, wird Paul Chartier, ein impulsiver junger Polizeirekrut, der Geheimeinheit „Maldoror“ zugeteilt. Diese wurde gegründet, um einen gefährlichen Sexualstraftäter zu überwachen. Als die Operation scheitert, begibt sich Chartier, der die Grenzen des Rechtssystems satthat, auf die einsame Jagd, um die Täter zu fassen.</t>
  </si>
  <si>
    <t>Malice – Eine Intrige</t>
  </si>
  <si>
    <t>Malice</t>
  </si>
  <si>
    <t>tt0107497</t>
  </si>
  <si>
    <t>Alec Baldwin, Nicole Kidman, Bill Pullman, Bebe Neuwirth, George C. Scott</t>
  </si>
  <si>
    <t>Tracy und Andy führen eigentlich eine harmonische Ehe, zu deren Glück nur ein Kind fehlt. Doch nach einer missglückten Operation gerät ihre Ehe ins Schwanken - und Andy beginnt an allem zu zweifeln.</t>
  </si>
  <si>
    <t>Manhattan Night</t>
  </si>
  <si>
    <t>tt3100274</t>
  </si>
  <si>
    <t>Adrien Brody, Yvonne Strahovski, Campbell Scott</t>
  </si>
  <si>
    <t>Boulevardjournalist Peter Wren (Adrien Brody) bekommt den Auftrag von einer schönen Unbekannten (Yvonne Strahovski), den Mord an ihrem Ehemann aufzudecken. Er ahnt nicht, dass er dabei nicht nur sein eigenes, sondern auch das Leben seiner Familie aufs Spiel setzt...</t>
  </si>
  <si>
    <t>Manhattan Nocturne – Tödliches Spiel</t>
  </si>
  <si>
    <t>Adrien Brody, Yvonne Strahovski, Campbell Scott, Jennifer Beals, Steven Berkoff</t>
  </si>
  <si>
    <t>Manhunt</t>
  </si>
  <si>
    <t>tt7801964</t>
  </si>
  <si>
    <t>Martin Clunes, Claudie Blakley, Matthew Gravelle</t>
  </si>
  <si>
    <t>Housefull 2: The Dirty Dozen ist eine Bollywood-Komödie über vier Betrüger, die sich mit vier gutaussehenden Frauen verheiraten wollen. Leider geht beim Besuch der Schwiegerväter alles drunter und drüber.</t>
  </si>
  <si>
    <t>Manhunter – Roter Drache</t>
  </si>
  <si>
    <t>Manhunter</t>
  </si>
  <si>
    <t>tt0091474</t>
  </si>
  <si>
    <t>William Petersen, Tom Noonan, Dennis Farina, Brian Cox, Kim Greist</t>
  </si>
  <si>
    <t>Zwei Familien werden bei Vollmond auf grässliche Weise ermordet. Das FBI zieht den demissionierten Profiler Graham hinzu, der fast selbst den Verstand verlor, als er Serienmörder Dr. Hannibal Lecter zur Strecke brachte. Graham nimmt mit Lecter Kontakt auf, der ihn hintergeht und seine Adresse an den Mörder weiter gibt. Graham rückt dem Killer näher, der den Journalisten Lounds entführt und tötet und mit seiner blinden Kollegin Reba schläft. Er bringt Reba aus Eifersucht in seine Gewalt. Im Wettlauf mit der Zeit kann Graham sie retten.</t>
  </si>
  <si>
    <t>Marie – Eine wahre Geschichte</t>
  </si>
  <si>
    <t>Marie: A True Story</t>
  </si>
  <si>
    <t>tt0089555</t>
  </si>
  <si>
    <t>Sissy Spacek, Jeff Daniels, Keith Szarabajka, Morgan Freeman, Fred Thompson</t>
  </si>
  <si>
    <t>Memories of Murder</t>
  </si>
  <si>
    <t>tt0353969</t>
  </si>
  <si>
    <t>Song Kang-ho, Kim Sang-kyung, Kim Roe-ha</t>
  </si>
  <si>
    <t>In einem Dorf in Südkorea des Jahres 1986 treibt ein Frauenmörder sein Unwesen. Zwei Polizisten konnten zwar durch etliche Foltermethoden Geständnisse aus verschiedenen Verdächtigen herauslocken, aber der Richtige war bisher nicht dabei. Da kommt ein gewitzter Polizist aus Seoul den beiden zur Hilfe.</t>
  </si>
  <si>
    <t>Message Man Schatten der Vergangenheit</t>
  </si>
  <si>
    <t>Paul O'Brien, Aji Santosa, Verdi Solaiman, Mario Irwinsyah, Agni Pratistha</t>
  </si>
  <si>
    <t>Midnight</t>
  </si>
  <si>
    <t>tt14757872</t>
  </si>
  <si>
    <t>Jin Ki-joo, Wi Ha-joon, Park Hoon</t>
  </si>
  <si>
    <t>Die Ermittlungen der FBI-Agenten Karl Helter und Rebecca Lombardi sind kurz davor, einen Sexhandelsring auffliegen zu lassen. Dabei kreuzen sie die Wege eines brutalen und seit Jahren agierenden Serienmörders. Sie schließen sich daraufhin mit dem Texas Ranger Byron Crawford zusammen, der dem Täter schon seit geraumer Zeit auf den Fersen ist. Als Rebecca schließlich selbst von der Zielperson entführt wird, beginnt für die Drei ein Wettlauf gegen die Zeit.</t>
  </si>
  <si>
    <t>Midnight in the Switchgrass - Auf der Spur des Killers</t>
  </si>
  <si>
    <t>Midnight in the Switchgrass</t>
  </si>
  <si>
    <t>tt11656220</t>
  </si>
  <si>
    <t>Megan Fox, Bruce Willis, Emile Hirsch, Lukas Haas, Caitlin Carmichael</t>
  </si>
  <si>
    <t>Modus - Der Mörder in uns</t>
  </si>
  <si>
    <t>Modus</t>
  </si>
  <si>
    <t>Sweden, Germany, Norway, Denmark, Iceland, Belgium, United Kingdom</t>
  </si>
  <si>
    <t>tt4600404</t>
  </si>
  <si>
    <t>Melinda Kinnaman, Henrik Norlén, Esmeralda Struwe</t>
  </si>
  <si>
    <t>Monkey Man</t>
  </si>
  <si>
    <t>Canada, Singapore, United States</t>
  </si>
  <si>
    <t>tt9214772</t>
  </si>
  <si>
    <t>Dev Patel, Sharlto Copley, Pitobash</t>
  </si>
  <si>
    <t>Nach einem Massaker in seinem Heimatdorf versucht ein junger Mann in der Stadt Yatana über die Runden zu kommen. Seinen Lebensunterhalt verdient sich Kid durch illegale Kämpfe. Dabei lässt er sich, sein Gesicht hinter einer Gorilla-Maske verborgen, Nacht für Nacht von bekannteren Gegnern in blutigen Kämpfen zusammenschlagen.  Doch selbst nach vielen Jahren sinnt der junge Mann noch immer auf Rache an denen, die ihm alles genommen haben, als er noch ein Kind war.</t>
  </si>
  <si>
    <t>Motherly</t>
  </si>
  <si>
    <t>tt11464730</t>
  </si>
  <si>
    <t>Lora Burke, Tessa Kozma, Kristen MacCulloch</t>
  </si>
  <si>
    <t>Nachdem ihr Mann wegen Mordes an einem jungen Mädchen verurteilt wurde und sich im Gefängnis umgebracht hat, beginnt die nunmehr alleinerziehende Mutter Kate mit ihrer Tochter Beth ein neues Leben. Sie ziehen auf eine abgelegene Farm, doch bald tauchen die rachsüchtigen Eltern des ermordeten Mädchens auf. Sie fordern von Kate die Wahrheit über den Mord an ihrer Tochter und drohen, Beth etwas anzutun, sollte sie nicht kooperieren.</t>
  </si>
  <si>
    <t>Mothers Instinct</t>
  </si>
  <si>
    <t>Mothers' Instinct</t>
  </si>
  <si>
    <t>United States, Belgium, France, United Kingdom</t>
  </si>
  <si>
    <t>tt13397574</t>
  </si>
  <si>
    <t>Jessica Chastain, Anne Hathaway, Anders Danielsen Lie</t>
  </si>
  <si>
    <t>Die beiden besten Freundinnen und Nachbarinnen Alice (Jessica Chastain) und Céline (Anne Hathaway) führen beide ein scheinbar idyllisches Leben in vollkommener Harmonie. Dieses wird plötzlich durch einen tragischen Unfall zerstört. Schuldgefühle, Misstrauen und Paranoia lassen die Beziehung zwischen den beiden Frauen zerbrechen.</t>
  </si>
  <si>
    <t>Mr. &amp; Mrs. Smith</t>
  </si>
  <si>
    <t>tt0356910</t>
  </si>
  <si>
    <t>Brad Pitt, Angelina Jolie, Adam Brody</t>
  </si>
  <si>
    <t>Was tun, wenn der Hafen der Ehe eine Sackgasse geworden ist? Viele Paar-Therapeuten raten dann dazu, ein gemeinsames Hobby zu finden, das das Ehepaar enger zusammenschweißt. Andere empfehlen, unterschiedlichen Interessen nachzugehen, um sich wieder interessanter, weil geheimnisvoller zu machen. Mr. und Mrs. Smith suchen und finden schließlich ihr Heil in der richtigen Mischung, die unter gegebenen Umständen zur Zündung kommt. Dies geschieht, als Mr. und Mrs. Smith ihr Doppelleben als Profikiller aufdecken müssen, in der bitteren Erkenntnis, dass sie aufeinander angesetzt worden sind. Aber wie sagt man so schön: Extreme Situationen haben bindenden Charakter. Und extrem kann man die Situation wahrhaftig beschreiben, als eine wahre Schwadron an Killern anrückt, um das zu vollenden, wozu Mr. und Mrs. Smith nicht imstande waren.</t>
  </si>
  <si>
    <t>Mr. Brooks - Der Mörder In Dir</t>
  </si>
  <si>
    <t>Mr. Brooks</t>
  </si>
  <si>
    <t>tt0780571</t>
  </si>
  <si>
    <t>Kevin Costner, Demi Moore, Dane Cook, William Hurt, Marg Helgenberger</t>
  </si>
  <si>
    <t>Mr. Brooks führt seit Jahren unerkannt ein Doppelleben als Killer. Tagsüber ist er erfolgreicher Geschäftsmann und Nachts ein eiskalter Serienmörder. Doch als Mr. Brooks bei einem Mord von einem Fotografen beobachtet wird, zwingt dieser ihn auf seinem nächsten Mord zu begleiten. Langsam aber sicher bröckelt Mr. Brooks Fassade und sein Leben gerät außer Kontrolle.</t>
  </si>
  <si>
    <t>Murder in the First</t>
  </si>
  <si>
    <t>tt0113870</t>
  </si>
  <si>
    <t>Christian Slater, Kevin Bacon, Gary Oldman</t>
  </si>
  <si>
    <t>Der verurteilte Dieb Henri Young wird auf die Gefängnisinsel Alcatraz in der Bucht von San Francisco gebracht. Hier erwartet ihn der sadistische stellvertretende Direktor Glenn, der Young gleich bei einem Fluchtversuch erwischt. Die Strafe: Young landet im dunklen Kerker - für drei Jahre! Aus der Isolationshaft entlassen, ersticht Young bei der ersten Gelegenheit einen Mitgefangenen, den er für seinen Verräter hält. Dafür soll er zum Tode verurteilt werden.</t>
  </si>
  <si>
    <t>Murder Mystery 2</t>
  </si>
  <si>
    <t>tt15255288</t>
  </si>
  <si>
    <t>Adam Sandler, Jennifer Aniston, Mark Strong</t>
  </si>
  <si>
    <t>Nach der Gründung ihrer eigenen Detektei ziehen Nick und Audrey Spitz einen karrierefördernden Fall an Land, als ihr Milliardärsfreund auf seiner Hochzeit entführt wird.</t>
  </si>
  <si>
    <t>Music Box – Die ganze Wahrheit</t>
  </si>
  <si>
    <t>Music Box</t>
  </si>
  <si>
    <t>Drama, Thriller, Mystery</t>
  </si>
  <si>
    <t>tt0100211</t>
  </si>
  <si>
    <t>Jessica Lange, Armin Mueller-Stahl, Donald Moffat, Lukas Haas, Cheryl Lynn Bruce</t>
  </si>
  <si>
    <t>Vor 40 Jahren kam Mike Laszlo nach dem Ende des Zweiten Weltkriegs als ungarischer Immigrant in die USA. Heute ist der ehemalige Arbeiter US-amerikanischer Staatsbürger. Doch jetzt wird er beschuldigt, in seiner Jugend als Mitglied der Pfeilkreuzer, der ungarischen Faschisten, grauenhafte Kriegsverbrechen begangen zu haben. Er bittet seine Tochter Ann, eine bekannte Rechtsanwältin, ihn vor Gericht zu verteidigen.</t>
  </si>
  <si>
    <t>Muzzle - K-9 Narcotics Unit</t>
  </si>
  <si>
    <t>Muzzle</t>
  </si>
  <si>
    <t>tt17663876</t>
  </si>
  <si>
    <t>Aaron Eckhart, Stephen Lang, Diego Tinoco, Leslie Black, Penelope Mitchell</t>
  </si>
  <si>
    <t>Der LAPD-K-9-Beamte Jake Rosser wurde gerade Zeuge des schockierenden Mordes an seiner engagierten Partnerin durch einen mysteriösen Angreifer. Während er die Identität des Schützen untersucht, deckt er eine riesige Verschwörung auf, die die Stadt im Würgegriff hat, in dieser spannenden Reise durch die verwinkelten Straßen von Los Angeles und die korrupte Bürokratie des LAPD.</t>
  </si>
  <si>
    <t>My Sugardaddy - Gefährliche Liebe</t>
  </si>
  <si>
    <t>Prisoner of Love</t>
  </si>
  <si>
    <t>tt14181388</t>
  </si>
  <si>
    <t>Katie Kelly, James Hyde, Tiffany Montgomery, Ryan Francis, Heather Lynn Harris</t>
  </si>
  <si>
    <t>Die 18-jährige Nachwuchsdesignerin Carly (Katie Kelly) trifft ihren neuen Nachbarn, den 50-jährigen Kyle (James Hyde). Trotz des Altersunterschieds fühlt sie sich sofort zu dem gutaussehenden und offenbar erfolgreichen Geschäftsmann hingezogen. Kyle beauftragt sie und ihre Mutter, die Innenarchitektin Sarah (Tiffany Montgomery), sein Heim zu renovieren und einzurichten. Dabei bemerkt das Mädchen, dass er sie offenbar ebenfalls mag und lässt sich nach kurzem Zögern auf eine Beziehung ein. Von seinen teuren Geschenken, liebevollen Worten und charmanten Gesten überwältigt, ist Carly so happy wie nie zuvor.</t>
  </si>
  <si>
    <t>Mystic River</t>
  </si>
  <si>
    <t>United States, Australia</t>
  </si>
  <si>
    <t>tt0327056</t>
  </si>
  <si>
    <t>Sean Penn, Tim Robbins, Kevin Bacon</t>
  </si>
  <si>
    <t>Einst waren sie Jugendfreunde, Jimmy, Sean und Davey, bis ein Verbrechen alles zerstörte. Zwei Männer, die sich als Polizisten ausgeben, entführen eines Tages Davey und missbrauchen ihn daraufhin tagelang, bis er schließlich entkommen kann.30 Jahre später ist nichts davon vergessen, die Wunden sind vernarbt, aber sie schmerzen noch. Jimmy ist nach einer Gefängnisstrafe jetzt ruhiger geworden, verheiratet und Vater zweier Töchter. Davey leidet, trotz glücklicher Ehe immer noch unter den Ereignissen von damals, während Sean inzwischen Polizist geworden ist.Als Jimmys ältere Tochter Opfer eines brutalen Verbrechens wird, nutzt Sean seine beruflichen Kompetenzen für einen privaten Rachefeldzug, in den auch seine immer noch mit ihm verbundenen Freunde mit hineingezogen werden...</t>
  </si>
  <si>
    <t>Nächster Halt - Fruitvale Station</t>
  </si>
  <si>
    <t>Fruitvale Station</t>
  </si>
  <si>
    <t>tt2334649</t>
  </si>
  <si>
    <t>Michael B. Jordan, Melonie Díaz, Octavia Spencer, Kevin Durand, Chad Michael Murray</t>
  </si>
  <si>
    <t>Fruitvale Station ist die auf wahren Begebenheiten beruhende tragische Geschichte des 22-jährigen Oscar Grant. Kurz vor Mitternacht am Sylvesterabend 2008 wurde er an der Fruitvale Station aus einem Nahverkehrszug gezogen und von der Polizei in den Rücken geschossen. Er starb damals an seinen Verletzungen, doch ein Handy filmte den gesamten Vorfall. In der Folge wurde ein Officer zu zwei Jahren Gefängnis verurteilt. Vor diesem tödlichen Zwischenfall begleitet der Zuschauer Oscar aber noch auf seiner Reise durch die Bay Area an einem ganz gewöhnlichen Tag, an dem er sich mit Problemen im Job, seiner Familie und den Vorbereitungen für eine unvergessliche Nacht beschäftigt.</t>
  </si>
  <si>
    <t>Nacht über Manhattan</t>
  </si>
  <si>
    <t>Fear City</t>
  </si>
  <si>
    <t>tt0087247</t>
  </si>
  <si>
    <t>Tom Berenger, Billy Dee Williams, Jack Scalia</t>
  </si>
  <si>
    <t>Matt Rossi  und Nicky Parzeno betreiben in New York eine ‘Talentagentur’. Diese vermittelt Stripperinnen. Als zwei der Tänzerinnen ermordet werden, verdächtigen Matt und Nicky ihren Konkurenten Carmine. Dieser steht mit der Mafia in Verbindung. Allerdings leugnet er seine Schuld. Dann wird die Freundin von Matts Ex-Geliebter ermordet. Schwer bewaffnet suchen Matt und Nicky deshalb ihren Kontrahenten auf.</t>
  </si>
  <si>
    <t>Narrow Margin - 12 Stunden Angst</t>
  </si>
  <si>
    <t>Narrow Margin</t>
  </si>
  <si>
    <t>Action, Thriller, Krimi, Mystery</t>
  </si>
  <si>
    <t>tt0100224</t>
  </si>
  <si>
    <t>Gene Hackman, Anne Archer, James B. Sikking, Harris Yulin, J. T. Walsh</t>
  </si>
  <si>
    <t>Die attraktive Single-Frau Carol Hunnicut wird heimlich Zeuge bei einem eiskalten Mord, verübt von dem mächtigen Gangsterboss Leo Watts. Voller Angst um ihr Leben flüchtet sie in eine abgelegene Berghütte. Hier wird sie von dem ehrgeizigen Staatsanwalt Caulfield und dem Polizisten Berti aufgespürt und soll in Sicherheit gebracht werden. Doch ein Killerkommando ist bereits vor Ort und will die lästige Zeugin liquidieren. Mit knapper Not gelingt es Caulfield und seiner Zeugin, einen Langstreckenzug zu erreichen...</t>
  </si>
  <si>
    <t>Night Always Comes</t>
  </si>
  <si>
    <t>tt31567422</t>
  </si>
  <si>
    <t>Vanessa Kirby, Jennifer Jason Leigh, Zack Gottsagen</t>
  </si>
  <si>
    <t>In einer mittlerweile unerschwinglichen Stadt droht einer Familie der Rauswurf. Die verzweifelte Lynette greift zu allen Mitteln, um in nur einer Nacht 25.000 Dollar aufzutreiben.</t>
  </si>
  <si>
    <t>Night of the Missing</t>
  </si>
  <si>
    <t>tt27749942</t>
  </si>
  <si>
    <t>Meredith Thomas, Jill Awbrey, Philip Estrin</t>
  </si>
  <si>
    <t>An einem stürmischen Abend zur Weihnachtszeit erhält Sheriff Hudson unangemeldeten Besuch von einer mysteriösen Frau. Die beginnt eine Reihe bizarrer Geschichten über vermisste Personen zu erzählen, deren Antlitze allesamt auf Plakaten an der Wand der Polizeistation zu sehen sind. Ohne wirklich zum Punkt zu kommen, berichtet der Gast der ungeduldig werdenden Gesetzeshüterin nacheinander von einem beunruhigenden Telefonanruf, von einem zwielichtigen Eisverkäufer, von einer Freundin, die sich plötzlich nicht mehr meldet und von einem gebrochenen Versprechen mit schlimmen Folgen. Sheriff Hudson überlegt, ob sie die Frau einfach hinauswerfen soll oder ob eine andere Reaktion angebracht wäre. Vielleicht weiß sie ja, dass die Polizistin selbst für die sich häufenden Fälle in der Gegend verantwortlich ist?</t>
  </si>
  <si>
    <t>Nightmare Alley</t>
  </si>
  <si>
    <t>United States, Mexico, Canada</t>
  </si>
  <si>
    <t>tt7740496</t>
  </si>
  <si>
    <t>Bradley Cooper, Cate Blanchett, Toni Collette</t>
  </si>
  <si>
    <t>Als der charismatische, aber vom Pech verfolgte Stanton Carlisle  auf einem Jahrmarkt die Hellseherin Zeena  und ihren Mann und Mentalisten Pete kennenlernt, wittert er seine Chance. Er nutzt die Gelegenheit, lernt von ihnen was er nur kann und nutzt sein neu erworbenes Wissen, um die wohlhabende Elite der New Yorker Gesellschaft der 40er Jahre auszunehmen. Mit der ihm treu ergebenen Molly, plant Stanton den gefährlichen Tycoon Ezra Grindle  zu betrügen. Eine mysteriöse Psychiaterin soll ihm dabei helfen. Doch ausgerechnet sie könnte sich als seine bisher gefährlichste Gegnerin erweisen.</t>
  </si>
  <si>
    <t>Nirgendwo</t>
  </si>
  <si>
    <t>tt15157216</t>
  </si>
  <si>
    <t>Michael Fritsch</t>
  </si>
  <si>
    <t>Die Kriegswaisen Elene und Leo leben seit frühester Kindheit mit ihrem Großvater Davit in einem kleinen Dorf in der Nähe der Stadt Gori in Georgien. Obwohl der russisch-georgische Krieg von 2008 nun Jahre zurückliegt, sind seine Auswirkungen deutlich präsent: In der Nähe des Hauses der kleinen Familie verläuft die vom russischen Militär illegal errichtete Grenze und bedroht durch die schleichende Verlagerung zunehmend ihre Existenz.</t>
  </si>
  <si>
    <t>No Sudden Move</t>
  </si>
  <si>
    <t>tt11525644</t>
  </si>
  <si>
    <t>Don Cheadle, Benicio Del Toro, David Harbour</t>
  </si>
  <si>
    <t>Curt Goynes (Don Cheadle) kommt frisch aus dem Gefängnis und hat direkt wieder Ärger: Er wird in die Machenschaften des afroamerikanischen Verbrechersyndikats von Detroit verstrickt. Seine Chance, dem Ärger zu entgehen, besteht in einem Job, den ihm der zwielichtige Mittelsmann Jones (Brendan Fraser) anbietet. Curt soll einen Babysitter-Job für die Familie des einfachen Autoverkäufers Matt Wertz (David Harbour) übernehmen – und findet sich plötzlich mit zwei anderen Kleinkriminellen, Ronald Russo (Benicio Del Toro) und Charley Barnes (Kieran Culkin), im Haus der Familie des Autoverkäufers wieder. Bald darauf gehen die Dinge so richtig schief. Curt und Ronald geraten mitten rein in den Kampf der lokalen Verbrecherwelt, bei dem es um ein Stück Papier in einem Safe geht. Auch die Polizei tritt auf und Detective Joe Finney (Jon Hamm) macht die Sache dabei für alle beteiligten Gangster noch unangenehmer, als sie eh schon ist.</t>
  </si>
  <si>
    <t>No Way Out – Es gibt kein Zurück</t>
  </si>
  <si>
    <t>No Way Out</t>
  </si>
  <si>
    <t>tt0093640</t>
  </si>
  <si>
    <t>Kevin Costner, Gene Hackman, Sean Young, Will Patton, Howard Duff</t>
  </si>
  <si>
    <t>Der hochdekorierte Marineoffizier Tom Farrell beginnt im Pentagon, seinem neuen Arbeitsplatz, ein Verhältnis mit Susan Atwell, ohne zu ahnen, daß sie die Geliebte des Verteidigungsministers David Brice ist. Der tötet Susan bei einem Streit und will sich der Polizei stellen. Das aber wird ihm von Mitarbeiter Scott Pritchard ausgeredet, der die Suche nach dem Mitwisser der Tat - Tom Farrell - in die Jagd nach einem Sowjetspion namens Yuri umfunktioniert. Tom erhält den Auftrag, Yuri zu suchen. Als sich die Situation zuspitzt, läßt Brice Pritchard fallen, der sich erschießt. Was keiner ahnt, Tom ist wirklich Yuri, der jetzt das volle Vertrauen von Brice besitzt.</t>
  </si>
  <si>
    <t>Nocturnal Animals</t>
  </si>
  <si>
    <t>tt4550098</t>
  </si>
  <si>
    <t>Amy Adams, Jake Gyllenhaal, Michael Shannon</t>
  </si>
  <si>
    <t>Die Kunsthändlerin Susan Morrow führt in Los Angeles ein privilegiertes, aber unerfülltes Leben mit ihrem neuen Ehemann. Als dieser erneut zu einer seiner zahlreichen Geschäftsreisen aufbricht, erhält sie ein Manuskript mit dem Titel Nocturnal Animals, geschrieben von ihrem Ex-Ehemann Edward Sheffield, mit dem sie seit Jahren keinen Kontakt mehr hat.  Der Roman ist Susan gewidmet, doch sein Inhalt ist brutal und niederschmetternd. Edward erzählt darin die Geschichte von Tony Hastings, der mit seiner Familie durch Texas fährt und dort eines Nachts von der Straße abgedrängt wird. Machtlos muss Tony dabei zusehen, wie seine Familie entführt wird und seine größten Ängste Wirklichkeit werden.  Tief bewegt von Edwards Worten erinnert sich Susan an die intimsten Momente ihrer eigenen Liebesbeziehung zu ihm. Je weiter die Erzählung in Nocturnal Animals auf eine Abrechnung zuläuft, desto dramatischere Auswirkungen hat sie nicht nur auf ihren Helden, sondern auch auf Susan.</t>
  </si>
  <si>
    <t>November Criminals</t>
  </si>
  <si>
    <t>tt3266284</t>
  </si>
  <si>
    <t>Ansel Elgort, Chloë Grace Moretz, David Strathairn</t>
  </si>
  <si>
    <t>Washington D.C.: Der 18-jährige Addison Schacht ist ein Teenager eher rebellischer Natur. Gerade hat er den Abschluss an seiner jüdischen Highschool geschafft. Nun soll er sich für die Universität in Chigaco bewerben, um Altphilologie zu studieren. Beim Schreiben seiner Bewerbung zum Thema “Was sind deine besten und schlechtesten Qualitäten?” stellt Addison allerdings fest, dass er nur schlechte Eigenschaften hat: In seinem letzten Schuljahr hat er mit Drogen gedealt, beleidigende Witze über seine Mitschüler gesammelt und Lehrer und Eltern beleidigt.  Als allerdings Kevin Broadus, mit dem Addison zusammen zur Schule gegangen ist, in einer sinnlosen Schießerei getötet wird, beginnt der Rebell auf eigene Faust zu ermitteln. Zusammen mit Phoebe verstrickt er sich immer weiter in die Untersuchung der Umstände, die in der Unterwelt von Washington D.C. zum Tod seines ehemaligen Mitschülers geführt haben.</t>
  </si>
  <si>
    <t>Oderbruch</t>
  </si>
  <si>
    <t>tt15557828</t>
  </si>
  <si>
    <t>Julius Gause, Felix Kramer, Karoline Schuch</t>
  </si>
  <si>
    <t>Offenes Geheimnis</t>
  </si>
  <si>
    <t>Todos lo saben</t>
  </si>
  <si>
    <t>Spain, France, Italy, Argentina, Germany</t>
  </si>
  <si>
    <t>tt4964788</t>
  </si>
  <si>
    <t>Penélope Cruz, Javier Bardem, Ricardo Darín, Eduard Fernández, Bárbara Lennie</t>
  </si>
  <si>
    <t>Zur Hochzeit ihrer Schwester kehrt Laura nach Jahren aus Argentinien in ihr Heimatdorf nahe von Madrid zurück. Dort trifft sie auch ihre Jugendliebe Paco wieder, der inzwischen glücklich liiert ist und es als Weinbauer zu einigem Ansehen gebracht hat. Das ausgelassene Hochzeitfest findet ein jähes Ende, als Lauras Tochter plötzlich spurlos verschwunden ist. Paco ist sich bald sicher, dass hinter dem Verschwinden des Mädchens kein Außenstehender stecken kann. Bald verdächtigt jeder jeden, und das so harmonisch wirkende Familiengefüge entlarvt sich selbst, als es plötzlich wichtig wird, wer wann was über wen gewusst hat. Die ans Licht kommenden Geheimnisse werden das Leben von Laura und ihrer Familie für immer verändern.</t>
  </si>
  <si>
    <t>Official Secrets</t>
  </si>
  <si>
    <t>United Kingdom, United States, China, Canada</t>
  </si>
  <si>
    <t>tt5431890</t>
  </si>
  <si>
    <t>Keira Knightley, Matt Smith, Matthew Goode</t>
  </si>
  <si>
    <t>2003: Katharine Gun, Übersetzerin beim britischen Nachrichtendienst GCHQ, erhält ein streng geheimes Memo. Darin fordert der US-Geheimdienst NSA die britischen Kollegen auf, einige Mitgliedsstaaten des UN-Sicherheitsrats auszuspionieren. Der perfide Plan: belastendes Material zu sammeln, um eine Zustimmung zur UN-Resolution für den Irakkrieg zu erpressen. Katharine gerät in einen moralischen Zwiespalt, entscheidet sich aber, das Dokument zu leaken. Die brisanten Informationen werden schließlich von Journalist Martin Bright im „Observer“ veröffentlicht – ein Coup! Sofort beginnt bei GCHQ die fieberhafte Jagd nach dem Whistleblower. Als Katharine erlebt, wie ihre Kollegen unter immer größerem Druck verhört werden, gesteht sie. Sie wird verhaftet und angeklagt, gegen den „Official Secrets Act“ verstoßen zu haben. Ihrem kurdischen Ehemann Yasar droht die sofortige Abschiebung. Katharines letzte Hoffnung: Menschenrechtsanwalt Ben Emmerson, mit dessen Hilfe sie ihre Verteidigung vorbereitet.</t>
  </si>
  <si>
    <t>Operation Schwarze Krabbe</t>
  </si>
  <si>
    <t>Svart krabba</t>
  </si>
  <si>
    <t>tt6708668</t>
  </si>
  <si>
    <t>Noomi Rapace, Jakob Oftebro, Dar Salim, Erik Enge, Ardalan Esmaili</t>
  </si>
  <si>
    <t>Um einen apokalyptischen Krieg zu beenden und ihre Tochter zu retten, nimmt eine Soldatin eine verzweifelte und gefährliche Mission an, nämlich eine geheime Fracht auf Schlittschuhen über ein zugefrorenes Meer zu transportieren.</t>
  </si>
  <si>
    <t>Ordinary Angels</t>
  </si>
  <si>
    <t>tt4996328</t>
  </si>
  <si>
    <t>Hilary Swank, Alan Ritchson, Emily Mitchell</t>
  </si>
  <si>
    <t>ORDINARY ANGELS basiert auf einer bemerkenswerten wahren Geschichte. Im Mittelpunkt steht Sharon, eine kämpferische, aber erfolglose Friseurin in der Kleinstadt Kentucky. Ihr Leben ändert sich, als sie Ed, einen verwitweten Vater und seine beiden Töchter kennenlernt. Da die Jüngste schwer krank ist und auf eine Lebertransplantation wartet, mobilisiert die engagierte Frau eine ganze Gemeinde, um zu helfen. Auch als die Stadt von einem Jahrhundert-Schneesturm getroffen wird, versucht Sharon, das Wunder wahr zu machen.</t>
  </si>
  <si>
    <t>Out Come the Wolves - Wir sind die Beute</t>
  </si>
  <si>
    <t>Out Come the Wolves</t>
  </si>
  <si>
    <t>tt4853290</t>
  </si>
  <si>
    <t>Missy Peregrym, Joris Jarsky, Damon Runyan</t>
  </si>
  <si>
    <t>Sophie ist mit ihrem Verlobten, dem Journalisten Nolan, in die alte Waldhütte ihrer Familie in der Wildnis gefahren. Nolan, der eigentlich primär über kulinarische Spezialitäten schreibt, möchte einen Artikel über die Jagd verfassen. Da Sophie mittlerweile Veganerin geworden ist und deshalb selbst das Jagen aufgegeben hat, ruft sie ihren Jugendfreund Kyle herbei. Er soll Nolan in die Traditionen und Praktiken auf der Pirsch einweihen. Im Geheimen hofft sie, dass die beiden Männer sich dabei vielleicht sogar anfreunden könnten. Doch Kyle hat offenbar noch immer Gefühle für Sophie, was Nolan aufgrund seiner unterschwelligen Aggressivität ihm gegenüber gleich spürt. Trotz dieser Spannung gehen die zwei am nächsten Morgen zusammen auf die Jagd. Schnell wird aus ihnen allerdings die Beute, als sie auf einen hungrigen Wolf treffen, der Nolan angreift und ihn schwer verletzt. Und wie sich herausstellt, ist das Tier nicht allein …</t>
  </si>
  <si>
    <t>Out of this World</t>
  </si>
  <si>
    <t>Out of This World</t>
  </si>
  <si>
    <t>Documentary, Short, Fantasy</t>
  </si>
  <si>
    <t>tt0282822</t>
  </si>
  <si>
    <t>Joseph Campanella, Ralph Clanton</t>
  </si>
  <si>
    <t>Parasite</t>
  </si>
  <si>
    <t>tt6751668</t>
  </si>
  <si>
    <t>Song Kang-ho, Lee Sun-kyun, Cho Yeo-jeong</t>
  </si>
  <si>
    <t>Familie Kim ist ganz unten angekommen: Vater, Mutter, Sohn und Tochter hausen in einem grünlich-schummrigen Keller und sind sich für keinen Aushilfsjob zu schade. Erst als der Jüngste eine Anstellung als Nachhilfelehrer in der todschicken Villa der Familie Park antritt, steigen die Kims ein ins Karussell der Klassenkämpfe. Mit findigen Tricksereien, bemerkenswertem Talent und großem Mannschaftsgeist gelingt es ihnen, die bisherigen Bediensteten der Familie Park nach und nach loszuwerden. Bald schon sind die Kims unverzichtbar für ihre neuen Herrschaften. Doch dann löst ein unerwarteter Zwischenfall eine Kette von Ereignissen aus, die so unvorhersehbar wie unfassbar sind.</t>
  </si>
  <si>
    <t>Pathology – Jeder hat ein Geheimnis</t>
  </si>
  <si>
    <t>Pathology</t>
  </si>
  <si>
    <t>tt0964539</t>
  </si>
  <si>
    <t>Milo Ventimiglia, Alyssa Milano, Michael Weston, Lauren Lee Smith, Johnny Whitworth</t>
  </si>
  <si>
    <t>Kaum hat Medizinstudent Ted Gray sein Fach als Jahrgangsbester summa cum laude abgeschlossen, da ereilt ihn eine Einladung zum prestigeträchtigsten Pathologie-Programm des Landes. Auch dort fallen seine Leistungen schnell auf und so stellen ihm die Verantwortlichen Dr. Jake Gallo vor, der ihn in außerplanmäßige Aktivitäten einweiht. Inhalt: Einen perfekten Mord begehen, den kein Gerichtsmediziner nachweisen kann. Dem Schock zugeneigter Medizinthriller um Halbgötter in Weiß, die in ihrem arroganten Zynismus Kokain, Sex und motivlose Morde auf dem Freizeitprogramm stehen haben. Ted vergisst im kalten Licht des Leichenschauhauses seinen hippokratischen Eid.</t>
  </si>
  <si>
    <t>Pfad der Rache</t>
  </si>
  <si>
    <t>BEE82: Undisputed II (2006) &amp; Ninja - Pfad der Rache (2013) mit Sebastian Rothe</t>
  </si>
  <si>
    <t>tt18757764</t>
  </si>
  <si>
    <t>Casey lebt zufrieden mit seiner schwangeren Frau Namiko in Japan, wo er eine Kampfkunstschule leitet. Überzeugt davon, er könne sein vorheriges Leben als todbringender Ninja hinter sich lassen, wird Namiko von Unbekannten brutal ermordet. Getrieben von Rache führt ihn die Spur der Killer über Thailand nach Burma, wo er die Hintergründe des Attentats herausfindet. Nun gibt es kein Halten mehr: Mit beispielloser Härte geht der ausgezeichnete Ninjutsu-Fighter in den Kampf und hinterlässt eine Schneise der Zerstörung in den Reihen eines international agierenden Drogenrings …</t>
  </si>
  <si>
    <t>Pinguine in der Bronx</t>
  </si>
  <si>
    <t>Five Corners</t>
  </si>
  <si>
    <t>tt0093029</t>
  </si>
  <si>
    <t>Jodie Foster, Tim Robbins, Todd Graff, John Turturro, Elizabeth Berridge</t>
  </si>
  <si>
    <t>Die Bronx in den 60ern. Heinz, ein gewalttätiger Psychopath, ist aus dem Gefängnis entlassen worden und wieder hinter seinem ehemaligen Opfer Linda her. Angsterfüllt wendet sie sich an ihren damaligen Retter Harry, doch der glaubt mittlerweile an das Gute im Menschen und will die Gefahr nicht sehen …</t>
  </si>
  <si>
    <t>Break Point</t>
  </si>
  <si>
    <t>Comedy, Sport</t>
  </si>
  <si>
    <t>tt3062742</t>
  </si>
  <si>
    <t>Jeremy Sisto, David Walton, Adam Devine</t>
  </si>
  <si>
    <t>Psych The Movie</t>
  </si>
  <si>
    <t>Psych: The Movie</t>
  </si>
  <si>
    <t>Comedy, Crime, Mystery</t>
  </si>
  <si>
    <t>tt6868216</t>
  </si>
  <si>
    <t>James Roday Rodriguez, Dulé Hill, Timothy Omundson</t>
  </si>
  <si>
    <t>Psych: The Movie, ist der Film zur gleichnamigen Serie. Shawn Spencer (James Roday)und Burton Guster (Dulé Hill) führt es nach San Francisco, wo sie eine neue Detektei mit dem schönen Namen „Psychphrancisco“ eröffnen. Doch das Leben wird ihnen nicht leicht gemacht, denn der mysteriöser Bösewicht Thin White Duke (Zachary Levi), hat es auf einen von ihnen abgesehen...</t>
  </si>
  <si>
    <t>Psycho Raman</t>
  </si>
  <si>
    <t>tt5662932</t>
  </si>
  <si>
    <t>Nawazuddin Siddiqui, Vicky Kaushal, Sobhita Dhulipala</t>
  </si>
  <si>
    <t>Mumbai in der Gegenwart. Hier treibt Serienkiller Ramanna sein Unwesen, inspiriert von dem wahren Raman Raghav, der in den 1960er Jahren mehr als 40 Menschen tötete. Ramannas erster Mord erwischt ausgerechnet den Dealer des jungen, trendigen Polizisten Raghavan, der ein Verhältnis mit der attraktiven Simmy und eine ausgeprägte Beziehung zu Koks hat. Der Psychopath heftet sich an die Fersen des Cops, den er für seinen Doppelgänger hält und ist besessen von ihm...</t>
  </si>
  <si>
    <t>Rache auf Texanisch</t>
  </si>
  <si>
    <t>Vengeance</t>
  </si>
  <si>
    <t>tt11976532</t>
  </si>
  <si>
    <t>B.J. Novak, Boyd Holbrook, J. Smith-Cameron, Issa Rae, Ashton Kutcher</t>
  </si>
  <si>
    <t>Ein Journalist und Podcaster aus New York City reist nach West-Texas, um über den Tod eines Mädchens zu berichten, mit dem er zusammen war.</t>
  </si>
  <si>
    <t>Raum</t>
  </si>
  <si>
    <t>Turkey, Czech Republic</t>
  </si>
  <si>
    <t>Short, Fantasy</t>
  </si>
  <si>
    <t>tt2364835</t>
  </si>
  <si>
    <t>Vojta Fülep</t>
  </si>
  <si>
    <t>Wall·E ist ein kleiner Haushaltsroboter, der klaglos seinen Dienst verrichtet und Müll zusammenpresst, um ihn zu Wolkenkratzern aufzustapeln. Denn der kleine rostige Kasten macht seinen Job seit nunmehr 700 Jahren! Damals verließen alle Menschen die völlig zugemüllte Erde. Nun ist Wall·E der letzte seiner Art auf einem toten Planeten. Bis Androidin Eve als Lichtgestalt vom Himmel herunterschwebt.</t>
  </si>
  <si>
    <t>Reality</t>
  </si>
  <si>
    <t>tt24068064</t>
  </si>
  <si>
    <t>Sydney Sweeney, Josh Hamilton, Marchánt Davis</t>
  </si>
  <si>
    <t>Augusta, Georgia, Vereinigte Staaten, 3. Juni 2017. Nachdem sie einige Besorgungen gemacht hat, kehrt Reality Winner nach Hause zurück, wo sie von zwei Männern angesprochen wird.</t>
  </si>
  <si>
    <t>Red Eye</t>
  </si>
  <si>
    <t>tt0421239</t>
  </si>
  <si>
    <t>Rachel McAdams, Cillian Murphy, Brian Cox</t>
  </si>
  <si>
    <t>Lisa Reisert hat panische Flugangst, doch sie muss nach Miami und deshalb überwindet sie ihre Angst und steigt in ein Flugzeug - ein fataler Fehler wie sich schnell herausstellt. Kurz nach Start der Maschine stellt sich ihr Nachbar Jackson Rippner als Auftragskiller vor, der auf diesem Flug einen Mord verüben soll. Dafür braucht er allerdings Lisa, mit deren Hilfe er einen Geschäftsmann umbringen soll. Als sie nicht einwilligt, weiß er sich zu wehren und erpresst sie: Wenn sie ihm nicht hilft, stirbt ihr Vater Joe</t>
  </si>
  <si>
    <t>Red Right Hand</t>
  </si>
  <si>
    <t>tt19244260</t>
  </si>
  <si>
    <t>Orlando Bloom, James Neeley, Scott Haze</t>
  </si>
  <si>
    <t>Cash versucht seiner gewalttätigen Vergangenheit zu entfliehen und ein ehrliches und ruhiges Leben zu führen. Er kümmert sich liebevoll um seine Nichte Savannah in der Kleinstadt Odim County. Als die sadistische Gangsterbraut "Big Cat", die die Stadt mit ihren brutalen Machenschaften kontrolliert, ihn zwingt, sich wieder in ihre Dienste zu stellen, erfährt Cash, dass er zu allem fähig ist, um die Stadt und seine kleine Familie zu schützen. Cash wird in einen Strudel aus Gewalt und Korruption hineingezogen, aus dem es scheinbar kein Entrinnen gibt.</t>
  </si>
  <si>
    <t>Redemption – Stunde der Vergeltung</t>
  </si>
  <si>
    <t>Hummingbird</t>
  </si>
  <si>
    <t>tt1893256</t>
  </si>
  <si>
    <t>Jason Statham, Agata Buzek, Vicky McClure, Benedict Wong, Ger Ryan</t>
  </si>
  <si>
    <t>Der Ex-Special-Forces-Soldat Joey Jones ist aus seiner Spezialeinheit desertiert, um einer Anklage vor dem Militärgericht zu entkommen. Seitdem ist er auf der Flucht und fristet ein schäbiges Leben in der Gosse. Bloß nicht auffallen, ist sein Motto. Nachdem Schläger ihn verprügelt und seine Freundin Isabel verjagt haben, findet Joey in einem über den Sommer leerstehendem Luxusapartment Zuflucht. Durch diesen glücklichen Zufall bekommt er die Möglichkeit, unter neuem Namen sein Leben neu zu beginnen. Der ehemalige Elitesoldat findet auch bald einen gutbezahlten Job: als Schläger für die chinesische Mafia. Als man jedoch Isabels Leiche findet, macht sich Joey auf die Suche nach dem Mörder, um Rache zu nehmen...</t>
  </si>
  <si>
    <t>Reprisal: Nimm dir, was dir gehört!</t>
  </si>
  <si>
    <t>Reprisal</t>
  </si>
  <si>
    <t>tt6547170</t>
  </si>
  <si>
    <t>Bruce Willis, Frank Grillo, Johnathon Schaech</t>
  </si>
  <si>
    <t>Nachdem er einen blutigen und für einen Kollegen tödlichen Raubüberfall auf seine Filiale überlebt hat, verbündet sich Bankmanager Jakob mit seinem Nachbarn, dem Ex-Cop James, um das unmenschliche Verbrechen zu rächen und den Täter zur Strecke zu bringen. Doch der brutale Killer Gabriel erweist sich als äußerst clever und scheint den beiden immer einen Schritt voraus. Als er dann auch noch Jakobs Frau und seine Tochter entführt, eskaliert die Situation – zumal Jakob ein doppeltes Spiel spielt. Eine kompromisslose und knallharte Jagd beginnt …</t>
  </si>
  <si>
    <t>Reservoir Dogs – Wilde Hunde</t>
  </si>
  <si>
    <t>Reservoir Dogs</t>
  </si>
  <si>
    <t>tt0105236</t>
  </si>
  <si>
    <t>Harvey Keitel, Tim Roth, Michael Madsen, Chris Penn, Steve Buscemi</t>
  </si>
  <si>
    <t>Ein perfekt geplanter Coup endet in einem rücksichtslosen Psycho-Horrortrip, der blutige Opfer fordert. Beteiligt sind sechs elegant gekleidete Profi-Gangster, die zu einem Überfall auf ein Juweliergeschäft zusammenkommen. Alles, was die Gentlemen voneinander wissen, sind die Decknamen, die ihnen ihr Auftraggeber Joe Cabot gegeben hat. Mr. White, Mr. Orange, Mr. Pink, Mr. Blonde, Mr. Blue, Mr. Brown. Doch der todsichere Coup misslingt, die Polizei war informiert. Am geheimen Treffpunkt, einem leerstehenden Lagerhaus, wird ein Verdacht zur Gewissheit: unter ihnen ist ein Spitzel. Tödliches Misstrauen macht sich breit. Während einer der Gangster zu verbluten droht, entwickeln sich die anderen zu reißenden Bestien, die weder vor der Folter an einem gekidnappten Polizisten noch vor blutiger Gewalt untereinander zurückschrecken.</t>
  </si>
  <si>
    <t>Resurrection</t>
  </si>
  <si>
    <t>tt11540726</t>
  </si>
  <si>
    <t>Rebecca Hall, Tim Roth, Grace Kaufman</t>
  </si>
  <si>
    <t>Die alleinerziehende Mutter Margaret (Rebecca Hall) erhält nach vielen Jahren Besuch von ihrem Ex David (Tim Roth), der sie damals manipuliert und womöglich auch etwas mit dem damaligen Verschwinden des gemeinsamen Sohnes Ben zu tun hat. Nun steht er wieder auf der Matte – und behauptet zudem, auch Ben dabei zu haben, der unbedingt seine Mutter wiedersehen wolle…</t>
  </si>
  <si>
    <t>Return to Sender</t>
  </si>
  <si>
    <t>tt2948790</t>
  </si>
  <si>
    <t>Rosamund Pike, Shiloh Fernandez, Nick Nolte</t>
  </si>
  <si>
    <t>Miranda Wells ist eine ehrgeizige Krankenschwester, die hart daran arbeitet, sich als OP-Schwester zu qualifizieren, um sich ein größeres Haus kaufen zu können. Ihr Privatleben kommt bei ihrem stressigen Beruf allerdings etwas zu kurz, weshalb eine Kollegin ein Blind Date für sie arrangiert. Der Mann  der viel zu früh vor ihrer Tür steht, hat jedoch ganz andere Absichten als ein romantisches Abendessen. Er vergewaltigt sie auf brutale Weise. Zwar wird der Täter kurze Zeit später gefasst und verurteilt, aber bei Miranda hat der Vorfall tiefe Wunden hinterlassen. Ihr Vater kann deshalb auch überhaupt nicht nachvollziehen, warum sie beginnt, ihrem Peiniger Briefe zu schreiben und dass sie ihn sogar regelmäßig im Gefängnis besucht. Langsam gewinnt Miranda das Vertrauen des Täters. Versucht sie auf diese Weise, sich von dem traumatischen Erlebnis zu befreien?</t>
  </si>
  <si>
    <t>Revenge</t>
  </si>
  <si>
    <t>Action, Drama, Horror</t>
  </si>
  <si>
    <t>tt6738136</t>
  </si>
  <si>
    <t>Matilda Lutz, Kevin Janssens, Vincent Colombe</t>
  </si>
  <si>
    <t>Als die junge Kunststudentin Noelle von ihrem charmanten Kommilitonen Luke auf eine Party eingeladen wird, ahnt sie nicht, dass diese Nacht ihr Leben für immer verändern wird - das romantische Techtelmechtel mit dem attraktiven Mittzwanziger endet in einer brutalen Vergewaltigung. Niemand schenkt der einst so lebensfrohen Studentin Glauben, und so durchstreift Noelle getrieben von unbändiger Wut den nächtlichen Campus, und fortan ist kein Mann, der je einer Frau Leid angetan hat, seines Lebens mehr sicher.</t>
  </si>
  <si>
    <t>Revenge – Eine gefährliche Affäre</t>
  </si>
  <si>
    <t>Inn of the Frightened People</t>
  </si>
  <si>
    <t>tt0067248</t>
  </si>
  <si>
    <t>Joan Collins, James Booth, Ray Barrett</t>
  </si>
  <si>
    <t>Ripper Untold</t>
  </si>
  <si>
    <t>tt14267154</t>
  </si>
  <si>
    <t>Jacob Anderton, Chris Bell, Dawn Butler</t>
  </si>
  <si>
    <t>London im Herbst 1888: Detective Edmund Rees (Phil Molloy) ermittelt in einer Reihe von Morden an Prostituierten im Stadtteil Whitechapel. Zeitungsreporter Stubb (Chris Bell) ist ebenfalls an dem Fall dran und scheint sogar einen Vorsprung gegenüber Rees zu haben. Erhält er doch immer wieder mysteriöse Briefe, die nur vom Killer selbst stammen können, den er in seinen Artikeln „Jack The Ripper“ nennt. Beide Männer stellen eine Liste von Verdächtigen auf. Darauf finden sich unter anderen der alkoholkranke Gerichtsmediziner Locque (Jonathan Hansler), der reiche Lowry (Barry Shannon), der Chef einer Selbstjustiz propagierenden Bürgerwehr ist, und die Bordellchefin Miss Levine (Dawn Butler), von der getuschelt wird, dass sie einst ihren Ehemann um die Ecke gebracht habe. Wer von ihnen ist also Jack? Oder ist es vielleicht doch eine komplett andere Person?</t>
  </si>
  <si>
    <t>Ritualmord</t>
  </si>
  <si>
    <t>Ritualmord in Ungarn</t>
  </si>
  <si>
    <t>tt2524366</t>
  </si>
  <si>
    <t>Peter Brang, Rudolf Christoph, Otto Dierichs, Lothar Dimke</t>
  </si>
  <si>
    <t>Kiki Schelfthaut ist Polizeitaucherin und macht bei ihrer Arbeit eines Tages eine grausige Entdeckung: Im trüben Wasser eines Brüsseler Kanals findet sie eine menschliche Hand. Zwar gibt es keine Leiche, zu der die Hand gehört, doch schon bald gibt es einen weiteren Fund. Alle Hinweise deuten auf eine Art Ritual und so nimmt Schelfthaut gemeinsam mit Polizeikommissar Cafmeyer die Ermittlungen auf. Schon bald entdecken sie, dass mit den blutigen Ritualen teuflische Kräfte in Schach gehalten werden sollen. Doch auch der belgische Staat und Schelfthauts Familie scheinen in den Fall verwickelt zu sein …_x000D_ Basiert auf dem Thriller „Ritualmord“ von Mo Hayder.</t>
  </si>
  <si>
    <t>River Wild</t>
  </si>
  <si>
    <t>United States, Hungary</t>
  </si>
  <si>
    <t>tt21291992</t>
  </si>
  <si>
    <t>Leighton Meester, Taran Killam, Adam Brody</t>
  </si>
  <si>
    <t>Folgt einem Paar Geschwistern, die sich lieben, aber misstrauen, als sie sich mit einer kleinen Gruppe auf eine Wildwasser-Rafting-Reise begeben. Einer ihrer Freunde aus der Kindheit erweist sich als gefährlicher, als er scheint.</t>
  </si>
  <si>
    <t>tt3359350</t>
  </si>
  <si>
    <t>Jake Gyllenhaal, Daniela Melchior, Conor McGregor</t>
  </si>
  <si>
    <t>Der ehemalige UFC-Kämpfer Dalton nimmt einen Job als Türsteher in einem Road House auf den Florida Keys an, nur um festzustellen, dass dieses Paradies nicht so ist, wie es scheint.</t>
  </si>
  <si>
    <t>Role Play</t>
  </si>
  <si>
    <t>United States, France, Germany, Belgium</t>
  </si>
  <si>
    <t>Action, Comedy, Romance</t>
  </si>
  <si>
    <t>tt12964320</t>
  </si>
  <si>
    <t>Kaley Cuoco, David Oyelowo, Bill Nighy</t>
  </si>
  <si>
    <t>Emma hat einen wundervollen Ehemann und zwei Kinder in einem Vorort von New Jersey. Aber sie führt auch ein geheimes Leben als Auftragskillerin – ein Geheimnis, hinter das ihr Mann David kommt, als die beiden beschließen, ihre Ehe mit einem kleinen Rollenspiel aufzupeppen und sich in einem Hotel vergnügen wollen. Denn dort trachten dunkle Gestalten nach Emmas Leben. Um ihre Familie nicht in Gefahr zu bringen, nimmt sie die Beine in die Hand und flieht nach Berlin. Dort will sie sich ihren Verfolgern stellen. So einfach ist das jedoch nicht, denn David ist ihr hinterhergereist und steckt deshalb plötzlich selbst mit mitten im Chaos.</t>
  </si>
  <si>
    <t>Ruby Herring Mysteries</t>
  </si>
  <si>
    <t>Ruby Herring Mysteries: Silent Witness</t>
  </si>
  <si>
    <t>tt9466236</t>
  </si>
  <si>
    <t>Taylor Cole, Stephen Huszar, Shawn Christian</t>
  </si>
  <si>
    <t>Die Verbraucherreporterin Ruby Herring untersucht mit unorthodoxen Mitteln gemeinsam mit dem Polizisten Jake Killian von der Mordkommission von Seattle einen verdächtigen Autounfall mit tödlichem Ausgang. Die beiden glauben, den Fall bereits gelöst zu haben, als Ruby auf neues Beweismaterial stößt. Schnell wird nun klar, dass die beiden mit ihren bisherigen Schlussfolgerungen völlig falsch gelegen haben.</t>
  </si>
  <si>
    <t>Rufmord – Jenseits der Moral</t>
  </si>
  <si>
    <t>The Contender</t>
  </si>
  <si>
    <t>tt0208874</t>
  </si>
  <si>
    <t>Joan Allen, Gary Oldman, Jeff Bridges, Christian Slater, Sam Elliott</t>
  </si>
  <si>
    <t>Der Vizepräsident ist tot, und als der Präsident sich für einen Ersatz entscheidet, wird ein geheimer Willenskampf von einem starken Rivalen ausgetragen. Als Senator Laine Hanson als erste Frau der Geschichte nominiert wird, die das Amt innehat, explodieren verborgene Agenden in einen Kampf um die Macht.</t>
  </si>
  <si>
    <t>Ruhe in Frieden</t>
  </si>
  <si>
    <t>Rest in Peace</t>
  </si>
  <si>
    <t>tt28769440</t>
  </si>
  <si>
    <t>Joaquín Furriel, Griselda Siciliani, Gabriel Goity</t>
  </si>
  <si>
    <t>Sergio hat mit finanziellen und gesundheitlichen Problemen zu kämpfen, als ihm das Schicksal einen Weg weist, um seine Familie zu retten. Doch dazu muss er für immer verschwinden.</t>
  </si>
  <si>
    <t>Runaway Train</t>
  </si>
  <si>
    <t>tt0089941</t>
  </si>
  <si>
    <t>Jon Voight, Eric Roberts, Rebecca De Mornay</t>
  </si>
  <si>
    <t>Ein Hochsicherheitsgefängnis in Alaska: Oscar „Manny“ Manheim sitzt lebenslänglich ein und gilt im Zuchthaus als Legende. Sehr zum Leidwesen des Direktors, der ihn schon lange auf dem Kieker hat. Gemeinsam mit dem jungen Buck, der wegen Vergewaltigung einsitzt, gelingt ihm eines Nachts die Flucht in die Kälte. Das ungleiche Gespann landet irgendwann in einem Zug, der quer durch Alaska fährt. Dessen Schaffner fällt allerdings nach kurzer Fahrt mit einem Herzstillstand von der Lok. Der eingeleitete Nothalt führt nur zu durchgebrannten Bremsen, nicht zur Verlangsamung. Während Manny und Buck denken, dass alles in Ordnung ist, versucht die Einsatzleitung den Zug irgendwie unter Kontrolle zu bringen – zumal der Plan ihn entgleisen zu lassen schnell zu den Akten gelegt wird, da sich die Bahnarbeiterin Sara noch an Bord befindet. Ohne jede Aussicht auf einen Stopp rast der Zug direkt auf eine Katastrophe zu …</t>
  </si>
  <si>
    <t>Safe Haven - Wie ein Licht in der Nacht</t>
  </si>
  <si>
    <t>Salt</t>
  </si>
  <si>
    <t>tt0944835</t>
  </si>
  <si>
    <t>Angelina Jolie, Liev Schreiber, Chiwetel Ejiofor</t>
  </si>
  <si>
    <t>Evelyn Salt genießt bei der CIA den Ruf, eine der besten Agentinnen des Geheimdienstes zu sein. Loyalität und Patriotismus stehen bei ihr an vorderster Stelle. Niemand würde ihre Integrität in Frage stellen. Bis ein Überläufer sie beschuldigt, eine russische Spionin zu sein. Salt setzt sich ab. Während sie ihre gesammelten Fähigkeiten einsetzt, um ihre Verfolger zu täuschen und abzuschütteln, müht sie sich darum, ihre Unschuld zu beweisen. Damit bewirkt sie aber nur das Gegenteil. Offenbar gibt es ein Geheimnis, von dem keiner erfahren soll.</t>
  </si>
  <si>
    <t>Saltburn</t>
  </si>
  <si>
    <t>tt17351924</t>
  </si>
  <si>
    <t>Barry Keoghan, Jacob Elordi, Rosamund Pike</t>
  </si>
  <si>
    <t>Der Student Oliver Quick kämpft darum, seinen Platz an der Universität Oxford zu finden, und wird in die Welt des charmanten und aristokratischen Felix Catton hineingezogen, der ihn für einen unvergesslichen Sommer nach Saltburn, dem weitläufigen Anwesen seiner exzentrischen Familie, einlädt.</t>
  </si>
  <si>
    <t>Schatten der Vergangenheit</t>
  </si>
  <si>
    <t>Austria, Germany</t>
  </si>
  <si>
    <t>tt0028223</t>
  </si>
  <si>
    <t>Luise Ullrich, Gustav Diessl, Lucie Höflich</t>
  </si>
  <si>
    <t>Schatten der Wahrheit</t>
  </si>
  <si>
    <t>The Good Mother</t>
  </si>
  <si>
    <t>tt21222462</t>
  </si>
  <si>
    <t>Hilary Swank, Olivia Cooke, Jack Reynor</t>
  </si>
  <si>
    <t>Das Leben von Investigativ-Journalistin Marissa ist in Schieflage geraten. Ihr Mann ist gestorben, der Kontakt zu ihrem drogensüchtigen Sohn abgebrochen und ihre letzte große Story ist auch schon eine ganze Weile her. Als Sohn Michael ermordet wird, lernt die Journalistin auf der Beerdigung dessen schwangere Freundin Paige kennen und nimmt sie bei sich auf. Beim Versuch, Michaels Tod aufzuklären, geraten die beiden ungleichen Frauen in eine unheilvolle Welt voller Drogen und Korruption.</t>
  </si>
  <si>
    <t>Schön Bis In Den Tod</t>
  </si>
  <si>
    <t>The Prey</t>
  </si>
  <si>
    <t>tt0086137</t>
  </si>
  <si>
    <t>Debbie Thureson, Steve Bond, Lori Lethin</t>
  </si>
  <si>
    <t>Eine Gruppe Jugendlicher macht einen Ausflug in den Bergen, um mal die wilde Natur genießen zu können. Doch es wird wilder als erhofft, denn im dunklen Tann geht ein geheimnisvoller Mörder um, der letzte Überlebende einer vor Jahren ausgelöschten Zigeunersippe, und dezimiert die Urlaubenden einen nach dem anderen...</t>
  </si>
  <si>
    <t>Schön bis in den Tod</t>
  </si>
  <si>
    <t>Schwarz wie Schnee</t>
  </si>
  <si>
    <t>Morts au Sommet</t>
  </si>
  <si>
    <t>tt29347280</t>
  </si>
  <si>
    <t>Laurent Gerra, Clémentine Poidatz, Pierre Kiwitt</t>
  </si>
  <si>
    <t>Als ein SUV, der für einen Raubüberfall in der Schweiz benutzt wurde, zerschmettert am Fuße einer Klippe in den französischen Bergen entdeckt wird, muss Adjutantin Constance Vivier (Clémentine Poidatz) von der PGHM erneut mit Hauptmann Meyer (Laurent Gerra) von der Schweizer Polizei zusammenarbeiten, um die drei flüchtigen Bankräuber und ihre Beute zu finden. Doch der Fund der Leiche eines von ihnen lässt vermuten, dass noch jemand anderes versucht, sich den in den Gipfeln verlorenen Schatz anzueignen...</t>
  </si>
  <si>
    <t>Sea Fog</t>
  </si>
  <si>
    <t>tt3303728</t>
  </si>
  <si>
    <t>Kim Yoon-seok, Park Yoo-chun, Han Ye-ri</t>
  </si>
  <si>
    <t>Um seinen Fischkutter zu retten, erklärt sich der hoffnungslos verschuldete Kapitän Kang bereit, 25 illegale Einwanderer von China nach Korea zu schmuggeln. Das Unterfangen steht unter keinem guten Stern: Nur dem beherzten Einsatz des jungen Bootsmannes Dong-sik ist es zu verdanken, dass eine junge Frau gerade noch aus den Fluten gerettet werden kann. Die Stimmung in der Mannschaft ist mies und kippt endgültig, als der Kutter in eine dichte Nebelbank gerät und das Manövrieren unmöglich wird. Panik bricht aus, die Situation eskaliert, die Gewalt explodiert.</t>
  </si>
  <si>
    <t>Searching</t>
  </si>
  <si>
    <t>United States, Russia</t>
  </si>
  <si>
    <t>tt7668870</t>
  </si>
  <si>
    <t>John Cho, Debra Messing, Joseph Lee</t>
  </si>
  <si>
    <t>Nachdem die 16-jährige Tochter von David Kim spurlos verschwindet, wird eine örtliche Untersuchung eingeleitet und Kriminalkommissarin Rosemary Vick dem Fall zugeteilt. Als es 37 Stunden später immer noch kein Lebenszeichen von Margot gibt, beschließt David, am einzigen Ort zu suchen, an dem bisher noch keiner nachgesehen hat – dort, wo heutzutage alle Geheimnisse aufbewahrt werden: Er durchsucht den Laptop seiner Tochter.</t>
  </si>
  <si>
    <t>See for Me</t>
  </si>
  <si>
    <t>tt11209212</t>
  </si>
  <si>
    <t>Kim Coates, Jessica Parker Kennedy, Laura Vandervoort</t>
  </si>
  <si>
    <t>Als die junge Athletin Sophie durch eine Krankheit erblindet, wird ihre vielversprechende Ski-Karriere abrupt beendet. Nun schlägt sie sich mit Gelegenheitsjobs bei wohlhabenden Familien durch. Ihr neuester Auftrag: Cat-Sitting in einer abgelegenen Luxusvilla in Upstate New York. Aus dem vermeintlich langweiligen Job wird ein Kampf ums nackte Überleben, als nachts drei skrupellose, brutale Einbrecher in die Villa eindringen. Sophies letzte Hoffnung: Die App "See For Me". Über ihr Smartphone wird sie per Zufall mit der Veteranin Kelly verbunden, die jetzt das Sehen für Sophie über die Webcam übernimmt. Mit vereinten Kräften stellen sich die beiden jungen Frauen den Eindringlingen, die nicht einmal vor einem Mord zurückschrecken.</t>
  </si>
  <si>
    <t>Sharper</t>
  </si>
  <si>
    <t>tt12573454</t>
  </si>
  <si>
    <t>Julianne Moore, Sebastian Stan, Justice Smith</t>
  </si>
  <si>
    <t>In Sharper, einem Neo-Noir-Thriller über Geheimnisse und Lügen in den Schlafzimmern, Bars und Chefetagen von New York City, ist niemand, wer er zu sein scheint. Die Protagonisten kämpfen in einem riskanten Spiel voller Ehrgeiz, Gier, Lust und Eifersucht um Wohlstand und Macht – spannend und fesselnd bis zum letzten Moment.</t>
  </si>
  <si>
    <t>Shattered – Gefährliche Affäre</t>
  </si>
  <si>
    <t>Switzerland, Germany, United States</t>
  </si>
  <si>
    <t>tt14923008</t>
  </si>
  <si>
    <t>Cameron Monaghan, Lilly Krug, Frank Grillo, Sasha Luss, John Malkovich</t>
  </si>
  <si>
    <t>Als der einsame Tech-Millionär Chris auf die charmante und attraktive Sky trifft, funkt es auf Anhieb zwischen den beiden – und als er verletzt wird, springt sie kurzerhand als seine Krankenschwester ein. Doch Skys seltsames Verhalten lässt Chris bald vermuten, dass sie einen perfiden Plan verfolgt, vor allem, als ihre Mitbewohnerin aus mysteriösen Gründen tot aufgefunden wird.</t>
  </si>
  <si>
    <t>Shut In</t>
  </si>
  <si>
    <t>Canada, France, United States, India</t>
  </si>
  <si>
    <t>tt2582500</t>
  </si>
  <si>
    <t>Naomi Watts, Charlie Heaton, Jacob Tremblay</t>
  </si>
  <si>
    <t>Die Kinderpsychologin Mary lebt seit dem Tod ihres Mannes zurückgezogen in einem ländlichen Teil von Neuengland fern der Zivilisation und kümmert sich aufopferungsvoll um ihren Sohn der seit einem Autounfall komplett gelähmt und deshalb pflegebedürftig ist. Ihr einziger Kontakt ist ihr Kollege Dr. Wilson mit dem sie gelegentliche Videochats führt. Als sie sich dazu entschließt, den Waisenjungen Tom bei sich zu Hause aufzunehmen, scheint sich endlich etwas Positives in ihrem Leben zu tun. Aber noch am ersten Abend verschwindet Tom, als ausgerechnet ein gefährlicher Schneesturm wütet. Fortan wird Mary zunehmend von Schlafproblemen und Albträumen heimgesucht. Nur wenig später geschehen seltsame und furchteinflößende Dinge in Marys Haus. Ob Tom wirklich tot ist?</t>
  </si>
  <si>
    <t>Siberia – Tödliche Nähe</t>
  </si>
  <si>
    <t>Siberia</t>
  </si>
  <si>
    <t>Canada, United States, Germany</t>
  </si>
  <si>
    <t>tt6494418</t>
  </si>
  <si>
    <t>Keanu Reeves, Boris Gulyarin, Ashley St. George</t>
  </si>
  <si>
    <t>Lucas Hill, ein nicht ganz lupenreiner Diamantenhändler, fliegt nach Russland, um dem mafiösen Oligarchen Boris Volkov einige extrem seltene Edelsteine zu verkaufen. Doch Hills Kontaktmann vor Ort ist verschwunden und mit ihm die kostbare Ware. Um diese wiederzubeschaffen, muss Lucas ins frostige Sibirien reisen, wo ihm Katya, die schöne und weltgewandte Besitzerin einer kleinen Bar, bald aus tödlicher Bedrängnis hilft. Denn ein Mann wie Volkov verzeiht keine Fehler und seine Leibwächter kennen kein Erbarmen, wenn es um krumme Deals, verletzte Ehre und Rache geht.</t>
  </si>
  <si>
    <t>Side Effects - Tödliche Nebenwirkungen</t>
  </si>
  <si>
    <t>Side Effects</t>
  </si>
  <si>
    <t>tt2053463</t>
  </si>
  <si>
    <t>Rooney Mara, Jude Law, Catherine Zeta-Jones, Channing Tatum, Vinessa Shaw</t>
  </si>
  <si>
    <t>Emily Taylor und Ehemann Martin führen ein glückliches Leben im Wohlstand, bis der Broker wegen Insiderhandels alles verliert - sogar die Freiheit. Nach seiner Verurteilung stürzt Emily nicht nur finanziell in ein tiefes Loch. Vier Jahre später wird Martin entlassen, doch diese Veränderung überfordert sie erneut vollends. Der ehrgeizige und äußerst erfolgreiche Psychiater Dr. Jonathan Banks nimmt sich ihrer an. Nachdem seine ersten Versuche, Emily zu stabilisieren, scheitern, verschreibt er ihr ein neues Medikament. Anfangs geht es ihr besser, doch schon bald erweisen sich die Nebenwirkungen als äußerst dramatisch. Alle Beteiligten geraten in einen unaufhaltsamen Strudel, der ihre Beziehungen, ihre Karrieren und, nach einem mysteriösen Todesfall, sogar ihre Leben bedroht. Fieberhaft sucht Banks nach Antworten. Doch als er sie findet, droht die von ihm aufgedeckte Wahrheit auch noch das Wenige zu zerstören, das ihm geblieben ist... und das ist nicht viel.</t>
  </si>
  <si>
    <t>Sleeper</t>
  </si>
  <si>
    <t>Comedy, Sci-Fi</t>
  </si>
  <si>
    <t>tt0070707</t>
  </si>
  <si>
    <t>Woody Allen, Diane Keaton, John Beck</t>
  </si>
  <si>
    <t>Miles Monroe wollte sich eigentlich nur ein Furunkel entfernen lassen. Doch als er aus der Narkose aufwacht, sind 200 Jahre vergangen, Amerika ist ein Polizei- und Überwachungsstaat, und Sex gibt es nur noch aus der Orgasmusmaschine.</t>
  </si>
  <si>
    <t>Sleeping Dogs</t>
  </si>
  <si>
    <t>tt8542964</t>
  </si>
  <si>
    <t>Russell Crowe, Karen Gillan, Marton Csokas</t>
  </si>
  <si>
    <t>Der ehemalige Ermittler der Mordkommission Roy Freeman, der unter Gedächtnisschwund leidet, sieht sich gezwungen, einen früheren Fall (an den er sich nicht erinnern kann) wieder aufzurollen, um einen brutalen Mord aufzuklären. Während das Leben eines Mannes in der Todeszelle auf dem Spiel steht, beginnt Freeman mit aller Entschlossenheit zu recherchieren und versucht, die Beweise aus der zehn Jahre zurückliegenden Mordermittlung zusammenzusetzen. Was er dabei aufdeckt, ist ein düsteres Netz aus streng gehüteten Geheimnissen und Verrat, das auch mit seiner eigenen Vergangenheit und seinen Dämonen verbunden ist. Bruchstückhaft blitzen Erinnerungen und Hinweise auf, die sich wie kleine Puzzleteile langsam zusammenfügen und immer neue Wendungen nehmen … In einem Geflecht aus Mysterium und Täuschung gefangen, kann sich Freeman nur noch auf seinen Instinkt verlassen und muss die erschreckende Wahrheit erkennen: Manchmal ist es besser, schlafende Hunde nicht zu wecken.</t>
  </si>
  <si>
    <t>Slender Killer Das Boese kehrt zurück – löschen</t>
  </si>
  <si>
    <t>Sling Blade – Auf Messers Schneide</t>
  </si>
  <si>
    <t>Billy Bob Thornton, Dwight Yoakam, J. T. Walsh, John Ritter, Lucas Black</t>
  </si>
  <si>
    <t>Sneakers – Die Lautlosen</t>
  </si>
  <si>
    <t>Sneakers</t>
  </si>
  <si>
    <t>tt0105435</t>
  </si>
  <si>
    <t>Robert Redford, Sidney Poitier, David Strathairn, Dan Aykroyd, River Phoenix</t>
  </si>
  <si>
    <t>Wer heutzutage als Einbrecher erfolgreich sein will, muß etwas mehr bieten als Strumpfmaske und vorgehaltene Pistole. Das beweisen die "Sneakers" sehr eindrucksvoll mit Hilfe modernster Computertechnologien. Die Truppe um Boß Martin Bishop läßt sich von großen Firmen für Einbrüche anheuern, um Sicherheitssysteme auf undichte Stellen zu überprüfen. Ganz legal versteht sich. Das ändert sich allerdings, als zwei Beamte der Spionageabwehr die Sneakers zwingen, ihnen das geheime Dechiffrierungsprogramm SETEC zu beschaffen. Ein Abenteuer mit ungeahnten Dimensionen, denn SETEC entpuppt sich als brisante Waffe zur Gefährdung des Weltfriedens, an der eine Menge Leute brennend interessiert sind...</t>
  </si>
  <si>
    <t>Solo für Weiss</t>
  </si>
  <si>
    <t>tt7856254</t>
  </si>
  <si>
    <t>Anna Maria Mühe, Peter Jordan, Jan Krauter</t>
  </si>
  <si>
    <t>Spiel mit der Angst</t>
  </si>
  <si>
    <t>Mørkeleg</t>
  </si>
  <si>
    <t>tt0117140</t>
  </si>
  <si>
    <t>Line Kruse, Christian Grønvall, Mari-Anne Jespersen</t>
  </si>
  <si>
    <t>Vier Jugendliche in einer dänischen Stadt probieren ein neuartiges Spiel aus. In ‘Backstabbed’,  scheinbar ein Kult-Spiel aus Amerika, geht es darum, sich mit einfachen Waffen, die aber mit allerlei High-Tech ausgestattet sind, umzubringen. Nicht wirklich, natürlich. In einem einsamen Haus wird nun dieses seltsame Spiel gespielt. Erst scheint alles planmäßig zu verlaufen, doch plötzlich liegen ‘richtige’  Leichen herum - einer der Mitspieler meint es ernst mit dem Töten...</t>
  </si>
  <si>
    <t>Spurlos - Die Entführung der Alice Creed</t>
  </si>
  <si>
    <t>The Disappearance of Alice Creed</t>
  </si>
  <si>
    <t>tt1379177</t>
  </si>
  <si>
    <t>Gemma Arterton, Martin Compston, Eddie Marsan</t>
  </si>
  <si>
    <t>Zwei Männer – der eine Anfang 20, der andere fast 40 – treffen Vorbereitungen. Sie legen den Stauraum eines Transporters mit Plastik aus, kaufen eine Bohrmaschine, eine Matratze und andere Utensilien. In einer kleinen Wohnung bauen sie ein Bett und verbarrikadieren die Wände. Den ganzen Aufwand betreiben sie für die Entführung einer jungen Frau. Die Kidnapper sind Danny und Vic, zwei ehemalige Gauner, die sich eine hohe Lösegeldsumme erhoffen. Ihre Gefangene ist Alice Creed, Tochter eines wohlhabenden Geschäftsmannes. Doch schon bald stellt sich heraus, dass die junge Frau sich nicht kampflos ihrem Schicksal ergeben wird.</t>
  </si>
  <si>
    <t>Spy Games - Grenzenlose Jagd</t>
  </si>
  <si>
    <t>tt31050620</t>
  </si>
  <si>
    <t>Phoebe Dynevor, Rhys Ifans, Ciara Baxendale, Kersti Bryan, Majd Eid</t>
  </si>
  <si>
    <t>Maya (Phoebe Dynevor) entdeckt überraschend, dass ihr Vater einst als Spion tätig war – ein Geheimnis, das ihr Leben auf den Kopf stellt. Plötzlich gerät sie in den Strudel einer internationalen Verschwörung, bei der nichts ist, wie es scheint. Während sie versucht, die Wahrheit hinter der Vergangenheit ihres Vaters zu entschlüsseln, muss sie sich gefährlichen Gegnern stellen und lernen, wem sie vertrauen kann.</t>
  </si>
  <si>
    <t>Standoff - Die einzige Zeugin</t>
  </si>
  <si>
    <t>Standoff</t>
  </si>
  <si>
    <t>tt3703908</t>
  </si>
  <si>
    <t>Thomas Jane, Laurence Fishburne, Jim Watson, Ella Ballentine, Joanna Douglas</t>
  </si>
  <si>
    <t>Carter Greene ist ein gebrochener Kriegsveteran, der von Schuldgefühlen zerfressen ist. Zurückgezogen lebt er auf einer entlegenen Farm und trauert dort in Einsamkeit um seinen verstorbenen Sohn. Die zwölfjährige Bird hat auch schon einige Verluste erlitten, sie ist eine Waise. Am Todestag ihrer Eltern besucht sie deren Grab auf dem Dorffriedhof. Dort wird sie Zeugin eines schrecklichen Verbrechens: Ein eiskalter Killer erschießt einen Friedhofsbesucher nach dem anderen. Das kleine Mädchen erschrickt und flieht völlig verängstigt von dem Gelände. Zuflucht findet sie im Haus von Carter. Für ihn stellt die Situation eine Chance zur Buße und Wiedergutmachung dar. Mit der Hoffnung auf persönliche Erlösung schwört er, das Leben der jungen Bird zu verteidigen.</t>
  </si>
  <si>
    <t>Stay</t>
  </si>
  <si>
    <t>tt0371257</t>
  </si>
  <si>
    <t>Ewan McGregor, Naomi Watts, Ryan Gosling</t>
  </si>
  <si>
    <t>Der New Yorker Psychiater Sam Foster übernimmt von einer erkrankten Kollegin den Fall des Kunststudenten Henry Letham. Dieser leidet nach einem Unfall an Amnesie, macht dafür jedoch wirre Vorhersagen, die sich aus mysteriösen Gründen bewahrheiten. Als Henry ankündigt, sich in drei Tagen – an seinem 21. Geburtstag, exakt um Mitternacht – das Leben zu nehmen, will Sam ihn unbedingt aufhalten. Bei seinen Nachforschungen in Henrys Umfeld entdeckt er eine Welt voller Widersprüche und Rätsel, die sein eigenes Leben und besonders die Beziehung zu Sams schöner Freundin Lila zu beeinflussen scheint. Sein Versuch, Henry zu retten, wird zum alptraumhaften Psychotrip, bei dem Traum, Realität und Wahnsinn verschwimmen und der Sam immer mehr an seiner eigenen Wahrnehmung zweifeln lässt.</t>
  </si>
  <si>
    <t>Stoker</t>
  </si>
  <si>
    <t>tt1682180</t>
  </si>
  <si>
    <t>Mia Wasikowska, Nicole Kidman, Matthew Goode</t>
  </si>
  <si>
    <t>India Stoker verliert bei einem Autounfall ihren Vater und besten Freund Richard. Die Einöde des Familiengrundstücks in einer ruhigen Stadt und die Düsternis in ihrem Leben werden durch den Besuch ihres Onkels Charlie durchbrochen. Bis zu seinem Besuch wusste India nichts von seiner Existenz. Als der Onkel bei dem Mädchen und seiner instabilen Mutter Evelyn, genannt Evie, einzieht, glaubt India, dass die Lücke in ihrem Leben nach dem schrecklichen Unfall endlich geschlossen wurde. Doch der mysteriöse und gleichzeitig charmante Mann scheint versteckte, unheilvolle Absichten zu haben. Anstatt sich zu fürchten, nähert sich India dem geheimnisvollen Mann immer mehr an. Aber schon bald stößt sie auf ein furchtbares Geheimnis, das ihr Onkel vor ihr verbirgt.</t>
  </si>
  <si>
    <t>Stunde der Angst</t>
  </si>
  <si>
    <t>Douze heures d'horloge</t>
  </si>
  <si>
    <t>France, West Germany</t>
  </si>
  <si>
    <t>tt0052757</t>
  </si>
  <si>
    <t>Lino Ventura, Eva Bartok, Hannes Messemer</t>
  </si>
  <si>
    <t>Die Sträflinge Serge, Fourbieux und Kopetzky sind aus einem Gefängnis nahe Nizza entflohen. Von einem Dorf am Meer aus wollen sie mit dem Schiff in Richtung Freiheiten türmen. Falsche Pässe und Geld müssen dafür aber erst mal her. Kopetzky hatte vor seiner Inhaftierung seiner Freundin Barbara dreihunderttausend Francs gegeben. Dieses Geld will Serge bei ihr abholen. Sie lebt mit dem Fotografen Blanche zusammen, der wiederrum hatte ihr die Moneten abgenommen. So erpresst Barbara den Betrug von einem jungen Verehrer. Das Schicksal aber meint es nicht gut mit den Beteiligten...</t>
  </si>
  <si>
    <t>Suicide Tourist - Es gibt kein Entkommen</t>
  </si>
  <si>
    <t>Selvmordsturisten</t>
  </si>
  <si>
    <t>Denmark, Norway, Germany, France, Sweden</t>
  </si>
  <si>
    <t>Mystery, Thriller, Drama</t>
  </si>
  <si>
    <t>tt8765580</t>
  </si>
  <si>
    <t>Nikolaj Coster-Waldau, Tuva Novotny, Sonja Richter, Kate Ashfield, Robert Aramayo</t>
  </si>
  <si>
    <t>Der schwer erkrankte Max, der an einem unheilbaren Gehirntumor leidet, beschließt sich das Leben zu nehmen. Sein Plan sich zu erhängen scheitert jedoch im letzten Moment an seiner Willenskraft. Kurze Zeit später erhält er einen überraschenden Anruf seiner früheren Kundin Alice, die er als Versicherungsmakler betreut hat. Sie möchte den Tod ihres Mannes Arthur aufdecken, um endlich seine Lebensversicherung in Anspruch nehmen zu können. Bei seiner Recherche stößt Max auf einen Imagefilm des Hotels Aurora, mit dem Arthur anscheinend Kontakt hatte. Ein Hotel, das geplante und betreute Suizide anbietet. Einmal dort eingecheckt, gibt es kein Zurück mehr. Max nimmt schließlich aus eigenem Interesse Kontakt auf – unter der Vorgabe die Spuren Arthurs zu verfolgen. Im abgelegenen Hotel angekommen begibt sich Max auf eine existentielle Reise auf der Suche nach Wahrheit und die Unausweichlichkeit des Todes …</t>
  </si>
  <si>
    <t>Sympathy for Mr. Vengeance</t>
  </si>
  <si>
    <t>tt0310775</t>
  </si>
  <si>
    <t>Song Kang-ho, Shin Ha-kyun, Bae Doona</t>
  </si>
  <si>
    <t>Der taubstumme Ryu hat nur ein Ziel vor Augen: er will seiner schwerkranken Schwester eine Nierentransplantation ermöglichen. Doch er muss einsehen, dass er dies auf legale Weise nicht erreichen wird. Ein Deal mit einer kriminellen Bande von Organhändlern soll das Leben seiner Schwester retten, aber die Gangster haben nur ihre eigenen Interessen im Sinn und stehlen ihm sein Geld. Als letzten verzweifelten Schritt plant er eine Kindesentführung. Doch dies erweist sich für ihn als ein weiterer, äußerst fataler Fehler.</t>
  </si>
  <si>
    <t>Take Back</t>
  </si>
  <si>
    <t>tt11799110</t>
  </si>
  <si>
    <t>Mickey Rourke, Michael Jai White, James Russo</t>
  </si>
  <si>
    <t>Zara und Brian leben das perfekte Kleinstadtleben. Als Zara heldenhaft einen Raubüberfall vereitelt, steht sie auf einmal im Mittelpunkt der Öffentlichkeit und wird dadurch mit ihrer mysteriösen Vergangenheit konfrontiert. Killer brechen in ihr Haus ein und Zaras Tochter wird von einem sadistischen Sexhandelsring entführt, angeführt vom skrupellosen Boss Patrick. Ein Wettlauf gegen die Zeit beginnt und eine erbarmungslose Jagd endet tödlich.  Actionvehikel mit diversen B-Genrestars, das an Videothekenware früherer Jahrzehnte anzuknüpfen versucht.</t>
  </si>
  <si>
    <t>Taken Requiem</t>
  </si>
  <si>
    <t>Trafficking</t>
  </si>
  <si>
    <t>tt9470210</t>
  </si>
  <si>
    <t>Evie Hughes, Michael McKell, Nicholas Ball, Noel Brendan McAlley, Steve Wraith</t>
  </si>
  <si>
    <t>Ein ehemaliger Auftragskiller und Schuldeneintreiber erfährt, dass er Krebs im Endstadium hat. Um seine Vergangenheit zu sühnen, rettet er ein junges Mädchen aus einem Kinderhändlerring, der ihn in ein tödliches Katz-und-Maus-Spiel zwingt.</t>
  </si>
  <si>
    <t>Taking Lives – Für Dein Leben würde er töten</t>
  </si>
  <si>
    <t>Taking Lives</t>
  </si>
  <si>
    <t>tt0364045</t>
  </si>
  <si>
    <t>Angelina Jolie, Ethan Hawke, Kiefer Sutherland, Gena Rowlands, Olivier Martinez</t>
  </si>
  <si>
    <t>Eine FBI-Agentin jagt einen Serienkiller, und dies auf eine unkonventionelle Art und Weise. Sie entdeckt, dass der Mörder nach der Tat die Identität seiner Opfer annimmt. Die Ermittlungen laufen gut, bis sie den Verdacht hat, dass ihr Freund vielleicht auch etwas mit der Sache zu tun haben könnte.</t>
  </si>
  <si>
    <t>The Accountant</t>
  </si>
  <si>
    <t>tt2140479</t>
  </si>
  <si>
    <t>Ben Affleck, Anna Kendrick, J.K. Simmons</t>
  </si>
  <si>
    <t>Christian Wolff ist ein Mathematik-Genie, der mit Zahlen deutlich besser zurechtkommt als mit Menschen. Unter der Tarnung einer kleinstädtischen Steuerberatung arbeitet er als Buchhalter für einige der gefährlichsten Unterweltorganisationen der Welt. Die Steuerfahndungsabteilung des Finanzministeriums unter Leitung von Ray King kommt ihm auf die Spur – deshalb akzeptiert Christian den Auftrag eines legalen Kunden: einer Firma, die Pionierarbeit im Bereich der Robotik leistet: Dort hat nämlich eine Buchhalterin Unstimmigkeiten in Millionenhöhe entdeckt. Doch während Christian ins Labyrinth der Buchführung einsteigt und der Wahrheit immer näher kommt, steigt die Zahl der Todesfälle in seiner Umgebung.</t>
  </si>
  <si>
    <t>The Accountant 2</t>
  </si>
  <si>
    <t>tt7068946</t>
  </si>
  <si>
    <t>Ben Affleck, Jon Bernthal, Cynthia Addai-Robinson</t>
  </si>
  <si>
    <t>Christian Wolff hat ein Talent dafür, komplizierte Probleme zu lösen. Als ein alter Weggefährte ermordet wird und eine kryptische Nachricht hinterlässt, in der es heißt, man solle „den Accountant finden“, ist Wolff gezwungen, sich des Falls anzunehmen. Bald erkennt er, dass drastische Schritte unumgänglich sind. Also zieht er seinen entfremdeten und hochgefährlichen Bruder Brax als Verstärkung heran. Gemeinsam mit Marybeth Medina, der stellvertretenden Direktorin des US-Finanzministeriums, decken sie eine tödliche Verschwörung auf. Dadurch geraten sie ins Visier eines skrupellosen Netzwerks von Killern, die vor nichts zurückschrecken, um ihre Geheimnisse zu vertuschen.</t>
  </si>
  <si>
    <t>The Anchor - Stimmen aus der Dunkelheit</t>
  </si>
  <si>
    <t>앵커</t>
  </si>
  <si>
    <t>tt19245482</t>
  </si>
  <si>
    <t>Chun Woo-hee, 신하균, 이혜영, 박지현, 차래형</t>
  </si>
  <si>
    <t>Nachrichtensprecherin Se-ra erhält kurz vor ihrer Sendung einen verstörenden Anruf: Eine junge Frau behauptet, dass ein fremder Mann in ihrer Wohnung sei und sie und ihre Tochter umbringen wird. Der vermeintliche Telefonstreich lässt Se-ra nicht ruhen. Sie beschließt, der Sache nachzugehen, kommt aber zu spät: Unter der angegebenen Adresse findet sie zwei Leichen. Kurz nach dieser Tragödie hört Se-ra plötzlich Stimmen und wird von geisterhaften Erscheinungen geplagt. Was geht hier nur vor? Auf der verzweifelten Suche nach Antworten trifft Se-ra auf den unheimlichen Psychiater des Opfers und entdeckt eine schockierende Wahrheit, auf die sie nicht vorbereitet war…</t>
  </si>
  <si>
    <t>The Bank</t>
  </si>
  <si>
    <t>Drama, Romance, Thriller</t>
  </si>
  <si>
    <t>tt0241223</t>
  </si>
  <si>
    <t>David Wenham, Anthony LaPaglia, Sibylla Budd</t>
  </si>
  <si>
    <t>Die Bank, eine Welt, die reif ist für Geiz und Korruption, in der O'Reilly und seinesgleichen gedeihen können und ehrliche australische Kämpfer alles verlieren. Man nehme Jim Doyle, einen eigenwilligen Mathematiker, der eine Formel zur Vorhersage der Schwankungen des Aktienmarktes entwickelt hat. Wenn er sich O'Reilly anschließt, muss er zunächst seine Loyalität gegenüber dem Ethos "Gier ist gut" beweisen. Welchen Weg wird er gehen? Was hat er zu verbergen?</t>
  </si>
  <si>
    <t>The Body - Die Leiche</t>
  </si>
  <si>
    <t>The Body</t>
  </si>
  <si>
    <t>tt1937149</t>
  </si>
  <si>
    <t>Jose Coronado, Hugo Silva, Belén Rueda</t>
  </si>
  <si>
    <t>Die Ermittlungen im Zusammenhang mit einem merkwürdigen Unfall führen Inspektor Jaime Peña zum örtlichen Leichenschauhaus. Dort stellt sich heraus, daß der Leichnam der kürzlich verstorbenen Geschäftsfrau Mayka Villaverde spurlos aus dem Kühlraum verschwunden ist. Schnell gerät ihr Ehemann unter Verdacht, in irgendeiner Form in den immer mysteriöser werdenden Fall verwickelt zu sein, ist er doch derjenige, der am meisten vom plötzlichen Dahinscheiden seiner mächtigen, wohlhabenden Ehefrau profitiert. Doch in diesem Fall ist nichts so wie es scheint, und je weiter die Ermittlungen voranschreiten, desto rätselhafter erscheinen die Zusammenhänge…</t>
  </si>
  <si>
    <t>The Broadcast Incident - Die Verschwörung</t>
  </si>
  <si>
    <t>Broadcast Signal Intrusion</t>
  </si>
  <si>
    <t>tt11151336</t>
  </si>
  <si>
    <t>Harry Shum Jr., Kelley Mack, Chris Sullivan, Michael B. Woods, Arif Yampolsky</t>
  </si>
  <si>
    <t>Vor Jahren verschwand seine Frau unter mysteriösen Umständen. Seitdem leidet James unter Alpträumen. Ablenkung findet er in seiner Arbeit als Video-Archivar. Beim Sichten alter TV-Nachrichten stößt er auf verstörende Interferenzen. Maskierte Hacker erscheinen im Bild, erzählen seltsame Dinge. Obsessiv macht sich James auf die Suche - und stellt bald eine Verbindung zu seiner vermissten Frau her.</t>
  </si>
  <si>
    <t>The Captive - Spurlos verschwunden</t>
  </si>
  <si>
    <t>The Captive</t>
  </si>
  <si>
    <t>tt2326612</t>
  </si>
  <si>
    <t>Ryan Reynolds, Scott Speedman, Rosario Dawson, Mireille Enos, Kevin Durand</t>
  </si>
  <si>
    <t>Es sollte nur ein kleiner Zwischenstopp sein, doch niemand konnte ahnen, dass er das Leben von Matthew und seiner Familie grundlegend ändern würde. Nachdem er sie für einen kurzen Moment im Auto allein gelassen hat, muss er feststellen, dass seine Tochter Cassandra spurlos verschwunden ist. Sofort schaltet Matthew die örtlichen Behörden ein, doch die sehen in ihm zunächst  einmal den Hauptverdächtigen der Tat.  Auch nach acht weiteren Jahren wird Matthew immer noch zu dem Vorfall befragt. Neue Spuren sind nur sehr spärlich hinzugekommen und die Ehe mit seiner Frau Tina hat stark darunter gelitten. Doch was sie nicht wissen:  Cassandra ist noch am Leben. Und sie versucht verzweifelt, zu ihrer Familie zurückzukommen…</t>
  </si>
  <si>
    <t>The Cellar - Verlorene Seelen</t>
  </si>
  <si>
    <t>The Cellar</t>
  </si>
  <si>
    <t>Ireland, Belgium, United States</t>
  </si>
  <si>
    <t>tt14550642</t>
  </si>
  <si>
    <t>Elisha Cuthbert, Eoin Macken, Dylan Fitzmaurice-Brady, Tara Lee, Michael-David McKernan</t>
  </si>
  <si>
    <t>Karrierefrau Keira zieht mit ihrer Familie in ein ehrwürdiges Anwesen auf dem Land. Tochter Ellie kann dem Haus mit den rätselhaften Symbolen und dem gruseligen Keller absolut nichts abgewinnen, muss sich aber genau diesem stellen, als eines elternfreien Abends plötzlich der Strom ausfällt. Ellie holt sich telefonischen Beistand bei ihrer Mutter und steigt, die zehn Stufen voller Angst zählend, die Treppe hinab: 1 – 2 – 3, gleich ist es geschafft! Doch als Ellie nach der letzten Stufe weiterzählt und danach spurlos verschwindet, ahnt Keira, dass ihr wundervolles Zuhause ein schreckliches Geheimnis birgt.</t>
  </si>
  <si>
    <t>The Chain - Du musst töten um zu sterben</t>
  </si>
  <si>
    <t>The Chain</t>
  </si>
  <si>
    <t>tt7094374</t>
  </si>
  <si>
    <t>John Patrick Amedori, Ray Wise, Madeline Zima, Adrienne Barbeau, Jamie Clayton</t>
  </si>
  <si>
    <t>Mike ist erfolgreicher Augenarzt und lebt mit seiner Frau in Los Angeles. Eines Tages nimmt sein Leben jedoch eine dramatische Wende: Der Zustand seines an einer Art schwerer Demenz leidenden Vaters verschlechtert sich so sehr, dass seine Mutter sich nicht mehr alleine um seinen Vater kümmern kann. Mike kehrt daraufhin widerwillig gemeinsam mit seiner Frau in sein Elternhaus zurück - aufgrund des zerrütteten Verhältnisses zu seinem Vater wollte er dies niemals machen. Doch damit nicht genug: Mike hat offensichtlich das neurologische Leiden seines Vaters geerbt und zeigt zunehmend ähnliche Symptome wie sein Vater. Durch Zufall gerät er an die "Chain", einen geheimen Zirkel, deren Mitglieder sich gegenseitig bei ihren aus Verzweiflung und Ausweglosigkeit geplanten Selbstmorden helfen. Mike will nicht so enden wie sein Vater und schliesst sich der Chain an. Doch wer sterben will, muss zuvor töten...</t>
  </si>
  <si>
    <t>The Commuter - Die Fremde im Zug</t>
  </si>
  <si>
    <t>The Commuter</t>
  </si>
  <si>
    <t>United States, United Kingdom, France, China, Canada, Spain</t>
  </si>
  <si>
    <t>Action, Thriller, Mystery</t>
  </si>
  <si>
    <t>tt1590193</t>
  </si>
  <si>
    <t>Liam Neeson, Patrick Wilson, Sam Neill, Jonathan Banks, Vera Farmiga</t>
  </si>
  <si>
    <t>Seit 10 Jahren pendelt der Versicherungsmakler Michael MacCauley jeden Tag aus seinem beschaulichen Vorort nach Manhattan und zurück. Doch als er nach einem harten Tag mal wieder in den ewig gleichen Zug einsteigt, ist alles anders. Die Fremde Joanna setzt sich zu ihm und verspricht ihm eine hohe Belohnung, wenn er für sie einen ganz bestimmten Passagier findet, der etwas sehr Wertvolles zu transportieren scheint. Michael erhält nur zwei Hinweise: Einen falschen Namen und den Zielbahnhof des Unbekannten. Als er zögert, macht Joanna ihm unmissverständlich klar: Sie hat nicht nur das Leben der Passagiere in ihrer Hand, sondern auch das von Michaels Familie. Michael ist Teil einer kriminellen Verschwörung geworden. Er kann nur mitspielen, oder einen Ausweg finden – und ihm bleibt nur eine Stunde Zeit.</t>
  </si>
  <si>
    <t>The Deep House</t>
  </si>
  <si>
    <t>tt11686490</t>
  </si>
  <si>
    <t>Camille Rowe, James Jagger, Eric Savin</t>
  </si>
  <si>
    <t>Ein junges Paar, das sich auf Unterwasser-Erkundungsvideos spezialisiert hat, entdeckt beim Tauchen ein Haus, das in den Tiefen des abgelegenen französischen Sees versunken ist. Was zunächst ein einzigartiger Fund war, verwandelt sich bald in einen Albtraum, als sie entdecken, dass das Haus der Schauplatz grausamer Verbrechen war.</t>
  </si>
  <si>
    <t>The Double – Eiskaltes Duell</t>
  </si>
  <si>
    <t>The Double</t>
  </si>
  <si>
    <t>United States, United Arab Emirates</t>
  </si>
  <si>
    <t>Action, Drama, Krimi</t>
  </si>
  <si>
    <t>tt1646980</t>
  </si>
  <si>
    <t>Richard Gere, Topher Grace, Martin Sheen, Tamer Hassan, Stephen Moyer</t>
  </si>
  <si>
    <t>Der ehemalige CIA-Agent Shepherdson wird aus dem Ruhestand zurückbeordert, um mit dem jungen FBI-Agenten Geary den rätselhaften Mord an einem US-Senator aufzuklären. Das Attentat weist unverkennbare Markenzeichen des legendären sowjetischen Auftragskillers Cassius auf, von dem die Behörden bislang glaubten, dass er bereits von Shepherdson eliminiert wurde.</t>
  </si>
  <si>
    <t>The Dressmaker – Die Schneiderin</t>
  </si>
  <si>
    <t>The Dressmaker</t>
  </si>
  <si>
    <t>Australia, United Kingdom</t>
  </si>
  <si>
    <t>tt2910904</t>
  </si>
  <si>
    <t>Kate Winslet, Liam Hemsworth, Caroline Goodall, Judy Davis, Hayley Magnus</t>
  </si>
  <si>
    <t>Der lange Schatten der Vergangenheit hält Myrtle „Tilly“ Dunnage nicht davon ab, in ihre verschlafene Heimatstadt zurückzukehren. Als junges Mädchen wurde die mittlerweile exzellente Schneiderin von dort vertrieben. Nach einer einzigartigen Karriere in europäischen Modemetropolen wie London und Paris lässt sie sich also erneut im australischen Städtchen Dungatar nieder, beendet den Zwist mit ihrer Mutter „Mad“ Molly und stellt sich der schwierigen gesellschaftlichen Situation. Die Schönheit führt nichts Gutes im Schilde und ist alles andere als unvorbereitet: Im Gepäck hat sie ihre Nähmaschine, die der talentierten Frau bei ihrem süßen Rachefeldzug helfen soll. Schnell sind die Bewohner von ihren Modekreationen begeistert und sie findet Gefallen an dem attraktiven Teddy.</t>
  </si>
  <si>
    <t>The Dry – Lügen der Vergangenheit</t>
  </si>
  <si>
    <t>The Dry</t>
  </si>
  <si>
    <t>Australia, United States, United Kingdom</t>
  </si>
  <si>
    <t>tt5144174</t>
  </si>
  <si>
    <t>Eric Bana, Genevieve O'Reilly, Keir O'Donnell, John Polson, Matt Nable</t>
  </si>
  <si>
    <t>Bundesagent Aaron Falk kehrt nach über zwanzig Jahren Abwesenheit in seine Heimatstadt zurück, um der Beerdigung seines Jugendfreundes Luke beizuwohnen, der angeblich seine Frau und sein Kind getötet hat, bevor er sich das Leben nahm - ein Opfer des Wahnsinns, der diese Gemeinde nach mehr als einem Jahrzehnt der Dürre heimgesucht hat. Als Falk widerwillig zustimmt, zu bleiben und das Verbrechen zu untersuchen, reißt er eine alte Wunde auf - den Tod der 17-jährigen Ellie Deacon. Falk beginnt zu vermuten, dass diese beiden Verbrechen, die Jahrzehnte auseinander liegen, miteinander verbunden sind. Während er darum kämpft, nicht nur Lukes Unschuld, sondern auch seine eigene zu beweisen, sieht sich Falk mit Vorurteilen ihm gegenüber und der aufgestauten Wut einer verängstigten Gemeinde konfrontiert.</t>
  </si>
  <si>
    <t>The Escapist – Raus aus der Hölle</t>
  </si>
  <si>
    <t>The Escapist</t>
  </si>
  <si>
    <t>United Kingdom, Ireland</t>
  </si>
  <si>
    <t>tt0961728</t>
  </si>
  <si>
    <t>Brian Cox, Damian Lewis, Joseph Fiennes, Seu Jorge, Liam Cunningham</t>
  </si>
  <si>
    <t>Frank Perry sitzt schon seit 12 Jahren im Londoner Gefängnis und hat keinen Kontakt mehr zu seiner Familie. Als er nach langer Zeit wieder Post von dieser erhält, sind es schlechte Nachrichten. Seine inzwischen 21jährige Tochter ist drogensüchtig und hatte gerade zum zweiten Mal einen Herzstillstand. Er beschliesst auszubrechen, denn er hatte eine Schwachstelle in der Gefängniskirche hinter dem Beichtstuhl festgestellt. Zur Flucht wäre es aber nötig ganz tief in den Untergrund abzutauchen, um so durch unterirdische Verbindungsgänge einen der Londoner U-Bahnschächte zu erreichen. Da er das Unternehmen nicht allein bewerkstelligen kann, weiht er seinen besten Freund Brody und den kräftigen Lenny Drake ein. Leider erfährt auch Tony, der gewalttätige und drogenabhängige Bruder von Rizza, von den Plänen. Und Rizza, der heimliche Boss des Gefängnisses, ist der Gefährlichste von Allen...</t>
  </si>
  <si>
    <t>The Foreigner</t>
  </si>
  <si>
    <t>United Kingdom, China, United States, India, Switzerland</t>
  </si>
  <si>
    <t>tt1615160</t>
  </si>
  <si>
    <t>Katie Leung, Jackie Chan, Rufus Jones</t>
  </si>
  <si>
    <t>I Want To Know What Love Is, Cold As Ice, Waiting For A Girl Like You, Hot Blooded, Juke Box Hero. Foreigners zeitlose Hymnen rocken nach wie vor die Charts und zum ersten Mal überhaupt präsentiert eine der weltweit populärsten Rockbands alle ihre Hits in bombastischem Bild- und Tongewand mit großem Orchester und Chor. Foreigner - With The 21st Century Symphony Orchestra &amp; Chorus repräsentiert ein Jahr gemeinschaftlicher Arbeit zwischen dem Grammy-nominierten Komponisten-Team Dave Eggar und Chuck Palmer, und Mick Jones, um die starken Potentiale der zeitlosen und kultigen Foreigner-Songs auszuloten. Im Mai 2017 war es endlich soweit und Foreigner spielten in Luzern, Schweiz, zusammen mit dem von Ernst van Tiel dirigierten 21st Century Symphony Orchestra und Chorus.</t>
  </si>
  <si>
    <t>The Free Fall</t>
  </si>
  <si>
    <t>tt10703978</t>
  </si>
  <si>
    <t>Andrea Londo, Shawn Ashmore, Jane Badler</t>
  </si>
  <si>
    <t>Sara (Andrea Londo) wird Zeuge eines traumatischen Ereignisses, an dem ihre Eltern beteiligt sind. Im Schockzustand versucht sie anschließend, sich selbst das Leben zu nehmen. Was allerdings schiefgeht. Daraufhin wacht sie im Haus ihrer Familie auf und kann sich zunächst weder an ihren Selbstmordversuch noch an ihre Angehörigen erinnern. Saras Ehemann Nick (Shawn Ashmore) scheint alles zu versuchen, ihr so gut er kann beizustehen. Doch die junge Frau wird fortan immer wieder von gewalttätigen Albträumen über den Vorfall mit ihren Eltern und den darauf folgenden Suizidversuch geplagt. Sie befürchtet, langsam den Verstand zu verlieren …</t>
  </si>
  <si>
    <t>The Gift</t>
  </si>
  <si>
    <t>United States, Australia, China</t>
  </si>
  <si>
    <t>tt4178092</t>
  </si>
  <si>
    <t>Jason Bateman, Rebecca Hall, Joel Edgerton</t>
  </si>
  <si>
    <t>Simon und Robyn sind ein verheiratetes Paar wie aus dem Bilderbuch, das erst kürzlich in ein beschauliches neues Haus in einem Vorort von Los Angeles gezogen ist. Bei einem Einkauf laufen sie eines Tages Simons altem Schulkameraden Gordo über den Weg. Was anfangs noch nach einem nostalgischen Auffrischen alter Beziehungen aussieht, nimmt schon bald beängstigendere Züge an. Nach einem gemeinsamen Essen wird Gordo zunehmend aufdringlicher und schaut immer häufiger unangekündigt bei Simon und Robyn vorbei. Als die beiden daher versuchen, wieder etwas mehr Abstand zu gewinnen, machen sie damit alles nur noch schlimmer. Dabei offenbart sich nach und nach, dass Simon Robyn ein düsteres Geheimnis aus seiner Vergangenheit bislang verschwiegen hat und dass er und Gordo früher alles andere als gute Freunde gewesen sind.</t>
  </si>
  <si>
    <t>The Good Liar - Das alte Böse</t>
  </si>
  <si>
    <t>The Good Liar</t>
  </si>
  <si>
    <t>tt5563334</t>
  </si>
  <si>
    <t>Helen Mirren, Ian McKellen, Russell Tovey, Jim Carter, Mark Lewis Jones</t>
  </si>
  <si>
    <t>Hauptberuflicher Trickbetrüger Roy nimmt sein neuestes Ziel ins Visier: die kürzlich verwitwete, millionenschwere Betty. Er ist bereit, aufs Ganze zu gehen. Jedoch sowie die beiden sich näher kommen, so nimmt der einfache Schwindel ungeahnte Ausmaße an. Die legendären Schauspieler Mirren und McKellen spielen das erste Mal zusammen auf der Leinwand in einem spannenden Drama über Geheimnisse, die gehütet, und Lügen, die gelebt werden.</t>
  </si>
  <si>
    <t>The Good Nurse</t>
  </si>
  <si>
    <t>tt4273800</t>
  </si>
  <si>
    <t>Eddie Redmayne, Denise Pillott, Dartel McRae</t>
  </si>
  <si>
    <t>Eine überlastete Krankenschwester der Intensivstation kann sich auf ihren neuen Kollegen verlassen. Doch dann lässt der unerwartete Tod einer Patientin Zweifel an ihm aufkommen.</t>
  </si>
  <si>
    <t>The Gray Man</t>
  </si>
  <si>
    <t>United States, Czech Republic, United Kingdom, Canada, Thailand, Denmark, France, Cambodia, Vietnam</t>
  </si>
  <si>
    <t>Action, Mystery, Thriller</t>
  </si>
  <si>
    <t>tt1649418</t>
  </si>
  <si>
    <t>Ryan Gosling, Chris Evans, Ana de Armas</t>
  </si>
  <si>
    <t>Court Gentry, ein erfahrener CIA-Agent, wird, nachdem er rufschädigende Staatsgeheimnisse über seinen eigenen Arbeitgeber aufdeckt, von seiner eigenen Agentur zur Fahndung ausgerufen und Kollegen, mit der Befugnis ausgestattet, ihn zu töten, auf ihn angesetzt.</t>
  </si>
  <si>
    <t>The Grudge</t>
  </si>
  <si>
    <t>tt0391198</t>
  </si>
  <si>
    <t>Sarah Michelle Gellar, Jason Behr, Clea DuVall</t>
  </si>
  <si>
    <t>Die amerikanische Familie Williams bezieht in Tokio eine scheinbar ganz gewöhnliche Doppelhaushälfte, doch seltsame Ereignisse beginnen sich zu häufen. Eines Tages, als die US-Studentin und Krankenschwester Kare Davis ihren Job als Pflegerin der alten Mutter Emma antreten will, ist die Familie verschwunden, die alte Frau katatonisch. Kare selbst findet in der Wohnung einen seltsamen kleinen Jungen, doch sie ahnt nicht, daß die unheimlichen Ereignisse damit auf sie übergesprungen sind. Auf dem Haus lastet ein Fluch aus der Vergangenheit, der früher oder später jeden tötet, der damit zu tun hatte. Notgedrungen macht sich Kare mit ihrem Freund Doug daran, das Rätsel zu lösen, während der Fluch immer größere Kreise zieht.</t>
  </si>
  <si>
    <t>The Guilty</t>
  </si>
  <si>
    <t>tt9421570</t>
  </si>
  <si>
    <t>Jake Gyllenhaal, Riley Keough, Peter Sarsgaard</t>
  </si>
  <si>
    <t>Der Polizist Joe Baylor wurde zum Innendienst in die Einsatzleitstelle versetzt, da gegen ihn ein Gerichtsverfahren läuft. Sein Prozess soll am folgenden Tag stattfinden. Während seiner Nachtschicht in der Leitstelle von Los Angeles ruft eine Frau namens Emily über ihr Mobiltelefon an. Sie kann nur verklausuliert sprechen und Joe nimmt an, sie sei in einem Van entführt worden. Ausgehend vom Standort der Mobilfunkzelle und Emilys Beobachtungen schickt er einen Streifenwagen in ihre Richtung. Die Sicht ist aufgrund eines Waldbrandes am Stadtrand jedoch stark eingeschränkt; die Überprüfung eines ähnlichen Fahrzeugs durch die Beamten erweist sich als Fehlschlag. Da im Einsatzleitsystem auch Emilys Festnetznummer registriert ist, ruft Joe dort an und kann mit ihrer kleinen Tochter Abby sprechen.</t>
  </si>
  <si>
    <t>The Hanging Sun</t>
  </si>
  <si>
    <t>tt6986990</t>
  </si>
  <si>
    <t>Peter Mullan, Charles Dance, Jessica Brown Findlay</t>
  </si>
  <si>
    <t>Sky Original Crime-Drama nach einem Jo-Nesbø-Roman:  Der Sohn eines Gangsterbosses flüchtet vor seinem Vater in den Norden Norwegens - und muss sich seiner Vergangenheit als Killer stellen.</t>
  </si>
  <si>
    <t>The Happytime Murders</t>
  </si>
  <si>
    <t>tt1308728</t>
  </si>
  <si>
    <t>Melissa McCarthy, Elizabeth Banks, Maya Rudolph</t>
  </si>
  <si>
    <t>In einer Welt in der Puppen als ‚Menschen‘ zweiter Klasse mit eben diesen koexistieren, ist der Privatdetektiv und Ex-Cop Phil Phillips auf der Jagd nach einem Mörder, der bereits seinen Bruder auf dem Gewissen hat. Aktuell hat der Verbrecher es auf die Darsteller der berühmten 80er-Jahre-Fernsehshow „The Happytime Gang“ abgesehen und killt ein Ensemblemitglied nach dem anderen. – Phil sorgte zwar mit einem Fehler einst dafür, dass sämtliche Puppen vom Polizeidienst ausgeschlossen wurden, doch nun sind die Cops auf sein Insiderwissen angewiesen. – Bei den Ermittlungen im düster-versauten Milieu der Puppen stellen Connie und Phil bald fest, dass es der Killer auch auf Phils Ex-Freundin Jenny abgesehen hat …</t>
  </si>
  <si>
    <t>The Hate U Give</t>
  </si>
  <si>
    <t>tt5580266</t>
  </si>
  <si>
    <t>Amandla Stenberg, Regina Hall, Russell Hornsby</t>
  </si>
  <si>
    <t>Starr Carters Leben spielt sich ständig zwischen zwei Welten ab: da ist zum eine das arme, hauptsächliche schwarze Viertel, in dem sie lebt und zum anderen gibt es die reiche, hauptsächlich weiße Privatschule, die sie besucht. Das empfindliche Gleichgewicht zwischen diesen Welten wird erschüttert, als sie Zeugin wird, wie Khalil, ihr bester Freund aus Kindertagen, von einem Polizisten erschossen wird. Nun ist es an Starr, trotz des Drucks, der von allen Seiten auf sie ausgeübt wird, ihre Stimme zu erheben und für Gerechtigkeit einzustehen.</t>
  </si>
  <si>
    <t>The Hotel Haunting</t>
  </si>
  <si>
    <t>The Bates Haunting</t>
  </si>
  <si>
    <t>tt1833887</t>
  </si>
  <si>
    <t>Jean Louise O'Sullivan, Zachary Fletcher, Dante Zucca</t>
  </si>
  <si>
    <t>Vor einem Jahr war Agnes Rickover zur Eröffnungsnacht des Bates Motels und dessen Haunted Hayride gefahren, um der ersten Show ihrer Freundin Lily beizuwohnen. Doch Lilys Auftritt ging schrecklich schief und der Unfall kostete ihr Leben. Agnes hat das Ereignis noch immer nicht überwunden und ist davon überzeugt, dass Lilys Tod kein Unfall gewesen ist. Die Polizei hat die Ermittlungen jedoch längst aufgegeben. Angeregt von ihrem Psychologen und ihrem Vater begibt sich Agnes schließlich erneut zum Ort des Geschehens und nimmt einen Job im Motel an, um endlich mit der Vergangenheit ins Reine zu kommen. Doch kurz nach ihrer Ankunft beginnen ihre Mitarbeiter plötzlich in merkwürdigen Unfällen zu sterben und es ist an Lily das Geheimnis hinter diesen Vorfällen aufzuklären.</t>
  </si>
  <si>
    <t>The Hunted - Der Gejagte</t>
  </si>
  <si>
    <t>The Night of the Hunted</t>
  </si>
  <si>
    <t>tt0081250</t>
  </si>
  <si>
    <t>Brigitte Lahaie, Alain Duclos, Dominique Journet</t>
  </si>
  <si>
    <t>Elisabeth hat ihr Gedächtnis verloren und kann sich nur noch daran erinnern verfolgt zu werden. Robert, ein junger Mann der sie auf einer Landstrasse antrifft, nimmt sie zu sich nach Hause wo beide die Nacht zusammen verbringen. Elisabeth wird aber von einem Professor aufgespürt und in eine Anstalt gebracht wo nur Menschen ohne Erinnerungsvermögen Leben. Robert beschliesst sie zu befreien.</t>
  </si>
  <si>
    <t>The I Inside – Im Auge des Todes</t>
  </si>
  <si>
    <t>The I Inside</t>
  </si>
  <si>
    <t>tt0325596</t>
  </si>
  <si>
    <t>Ryan Phillippe, Sarah Polley, Piper Perabo, Robert Sean Leonard, Stephen Rea</t>
  </si>
  <si>
    <t>Simon erwacht im Krankenhaus aus dem Koma und erfährt von Dr. Newborn, dass er zwei komplette Jahre verschlafen hat. Was vorher war, ist ihm leider entfallen. Statt dessen stehen zwei ihm unbekannte Damen an seinem Bett und erheben Anspruch, Frau bzw. Geliebte zu sein. Auch soll sein Bruder zwischendurch tragisch verstorben sein. Sein Erstaunen wächst, als er spontane Zeitsprünge erlebt und Stück für Stück die Vergangenheit wie ein Puzzle rekonstruiert. Könnte Simon der Mörder seines eigenen Bruders sein?</t>
  </si>
  <si>
    <t>The Impossible</t>
  </si>
  <si>
    <t>Spain, Thailand, United States</t>
  </si>
  <si>
    <t>Drama, History, Thriller</t>
  </si>
  <si>
    <t>tt1649419</t>
  </si>
  <si>
    <t>Naomi Watts, Ewan McGregor, Tom Holland</t>
  </si>
  <si>
    <t>Maria, Henry und ihre drei Söhne verbringen ihren Winterurlaub in Thailand. Sie freuen sich auf ein paar Tage im tropischen Paradies. Sie verbringen den Morgen des 26. Dezember am Pool und wollen sich von den Weihnachts-Feierlichkeiten erholen, doch dann rast eine riesige Wand schwarzen Wassers auf die Küste zu.</t>
  </si>
  <si>
    <t>The Infiltrator</t>
  </si>
  <si>
    <t>tt1355631</t>
  </si>
  <si>
    <t>Bryan Cranston, John Leguizamo, Diane Kruger</t>
  </si>
  <si>
    <t>In den 80er Jahren arbeitet der Agent der US-Drogenvollzugsbehörde Robert Mazur fünf Jahre lang als schmieriger Geschäftsmann Bob Musella undercover und wäscht Geld für das internationale Verbrechen. Mazur dringt dabei bis in die innersten Kreise des organisierten Verbrechens vor. Dabei unterstützen ihn Kathy Ertz, die sich als seine Verlobte ausgibt, sowie sein Agenten-Kollege Emir Ebreu Gemeinsam ermitteln sie gegen kriminelle Banker und Geschäftsleute, die ihren Einfluss auf der ganzen Welt ausüben und milliardenschwere Drogengeschäfte tätigen. Die in dieser Zeit gesammelten Erkenntnisse setzt Mazur später ein, um die weltweit größten Kartelle zu stürzen - darunter auch den berühmt-berüchtigten Drogenbaron Pablo Escobar, mit dessen rechter Hand Roberto Alcaino  er sich zuvor anfreundet...</t>
  </si>
  <si>
    <t>Biography, Drama, Sport</t>
  </si>
  <si>
    <t>The Jacket</t>
  </si>
  <si>
    <t>Drama, Fantasy, Mystery</t>
  </si>
  <si>
    <t>tt0366627</t>
  </si>
  <si>
    <t>Adrien Brody, Keira Knightley, Daniel Craig</t>
  </si>
  <si>
    <t>Der Veteran Jack Starks leidet unter Amnesie und kehrt eines Tages nach Vermont, seiner Heimatstadt, zurück. Kaum dort angekommen, landet er in der Irrenanstalt, da er des Mordes angeklagt wird. Der zuständige Doktor verabreicht ihm jeden Abend Drogen, steckt ihn in eine Zwangsjacke und sperrt ihn in eine Leichenhalle. Durch diesen Prozess kann Starks in die Zukunft reisen und erfährt, dass er in naher Zukunft sterben wird. Da er nicht weiß, wer ihn wie tötet, muss er schnell herausfinden, wie er sein Schicksal ändern kann. In der Zukunft lernt er Jackie kennen, die ihm bei seiner Suche zur Seite steht. Während der Suche kommen sie sich selbst und der Wahrheit immer näher...</t>
  </si>
  <si>
    <t>The Kill Room</t>
  </si>
  <si>
    <t>Comedy, Thriller</t>
  </si>
  <si>
    <t>tt11908172</t>
  </si>
  <si>
    <t>Alexis Linkletter, Joe Manganiello, Danny Plaza</t>
  </si>
  <si>
    <t>Patrice Capullo hat ein Problem: Ihre Kunstgalerie wirft kein Geld ab. Gordon hat ein noch größeres Problem: Zwar ist das Arrangieren von Morden für die Mafia lukrativ, aber er und sein Freund Reggie brauchen eine bessere Möglichkeit, ihr Geld zu waschen. Durch eine zufällige Bekanntmachung von Patrices' Drogendealer trifft die Kunstwelt auf die Unterwelt, und ein Plan wird ausgeheckt. Der einzige Haken an der Sache: Patrice braucht etwas zum Verkaufen. So zapft Reggie seinen inneren Künstler an und fertigt ein Gemälde an, das sofort für einen unglaublich hohen Preis verkauft wird. Als der beachtliche Preis für diesen neuen geheimnisvollen Künstler zufällig durchsickert, ist die Kunstkarriere von "The Bagman" geboren, der Aufmerksamkeit und Presse auf sich zieht, was seinem Vorgesetzten in der Unterwelt gar nicht gefällt.</t>
  </si>
  <si>
    <t>The Last Stop in Yuma County</t>
  </si>
  <si>
    <t>tt11674730</t>
  </si>
  <si>
    <t>Jim Cummings, Faizon Love, Jocelin Donahue</t>
  </si>
  <si>
    <t>Während er auf einer Raststätte in Arizona auf den nächsten Tankwagen wartet, gerät ein junger Messerverkäufer in eine gefährliche Geiselnahme, als zwei ebenfalls gestrandete Bankräuber auftauchen, die nicht davor zurückschrecken, ihr blutbeflecktes, ergaunertes Vermögen mit Grausamkeit - oder kaltem, hartem Stahl - zu schützen.</t>
  </si>
  <si>
    <t>The Lodge löschen</t>
  </si>
  <si>
    <t>The Nest – Alles zu haben ist nie genug</t>
  </si>
  <si>
    <t>Jude Law, Carrie Coon, Charlie Shotwell, Oona Roche, Adeel Akhtar</t>
  </si>
  <si>
    <t>The Night Clerk</t>
  </si>
  <si>
    <t>tt7979142</t>
  </si>
  <si>
    <t>Tye Sheridan, Ana de Armas, Helen Hunt</t>
  </si>
  <si>
    <t>Bart Bromley leidet an Autismus und arbeitet hart daran, seinem Zustand die Stirn zu bieten. Er arbeitet als Hotelnachtwächter und installiert Überwachungskameras, um die Gäste heimlich zu beobachten - das soll seiner Sozialkompetenz auf die Sprünge helfen. Während einer seiner Schichten wird eine Frau ermordet, Bart gerät in den Fokus der polizeilichen Ermittlungen. Seine Aufnahmen könnten seine Unschuld beweisen, doch er will sie der Polizei nicht aushändigen.</t>
  </si>
  <si>
    <t>The Nightingale – Schrei nach Rache</t>
  </si>
  <si>
    <t>The Nightingale</t>
  </si>
  <si>
    <t>Australia, Canada</t>
  </si>
  <si>
    <t>tt4068576</t>
  </si>
  <si>
    <t>Aisling Franciosi, Sam Claflin, Baykali Ganambarr, Damon Herriman, Harry Greenwood</t>
  </si>
  <si>
    <t>Tasmanien 1825: Für die junge irische Gefangene Clare ist das Leben in der australischen Strafkolonie die Hölle. Als Leibeigene von Leutnant Hawkins ist sie permanentem Missbrauch ausgesetzt und muss schließlich sogar mitansehen, wie ihre Familie grausam ermordet wird. Getrieben von ihrem Wunsch nach Vergeltung, will sie ihre Peiniger zur Strecke zu bringen. Unterstützt wird Clare dabei von einem einheimischen Fährtenleser, mit dem sie das Schicksal der Entrechteten und ihren Durst nach Rache teilt …</t>
  </si>
  <si>
    <t>The Open House</t>
  </si>
  <si>
    <t>tt7608028</t>
  </si>
  <si>
    <t>Dylan Minnette, Piercey Dalton, Patricia Bethune</t>
  </si>
  <si>
    <t>Nach dem Tod seines Vaters wollen sich der Schüler Logan Wallace und seine Mutter Naomi für eine Zeit lang zurückziehen. Ein leerstehendes Ferienhaus in einem verschneiten Örtchen scheint da der ideale Ort dafür zu sein. Einziger Haken bei der Sache: Sonntags finden immer Besichtigungstermine statt, für die sie das Haus verlassen müssen. In der Gegend scheint man sie jedoch zunächst willkommen zu heißen. Doch je länger sie dort verweilen, desto mehr wird ihnen bewusst, dass etwas nicht ganz stimmen kann. Unheimliche Geräusche machen den beiden Angst und selbst die Polizei steht vor einem Rätsel. Als auch noch die Leute aus dem Ort anfangen, sich seltsam zu verhalten, müssen Logan und Naomi wohl oder übel der Tatsache ins Auge sehen, dass übernatürliche Kräfte am Werk sein könnten…</t>
  </si>
  <si>
    <t>The Penthouse</t>
  </si>
  <si>
    <t>tt0929618</t>
  </si>
  <si>
    <t>Rider Strong, Nikki Griffin, Corey Large</t>
  </si>
  <si>
    <t>The Perfect Mother</t>
  </si>
  <si>
    <t>tt0165423</t>
  </si>
  <si>
    <t>Tyne Daly, Ione Skye, Louis Ferreira</t>
  </si>
  <si>
    <t>The Phone</t>
  </si>
  <si>
    <t>Action, Mystery, Sci-Fi</t>
  </si>
  <si>
    <t>tt5034276</t>
  </si>
  <si>
    <t>Son Hyeon-ju, Uhm Ji-won, Bae Sung-woo</t>
  </si>
  <si>
    <t>Der einst so lebensbejahende Rechtsanwalt Dong-Ho (Son Hyun-joo) ist seit dem Mord an seiner Ehefrau ein vollkommen anderer Mensch. Immer noch unter Schock stehend erhält er eines Tages einen Anruf – von seiner Frau! Zunächst hält Dong-Ho das für einen grausamen Scherz, bis er begreift, dass er dank einer elektromagnetischen Anomalie mit der Vergangenheit telefonieren kann. Nun hat er die Chance, die Ermordung seiner Frau ungeschehen zu machen. Doch ihm bleibt nicht mehr viel Zeit, denn der Mörder befindet sich in der Vergangenheit schon ganz in ihrer Nähe …</t>
  </si>
  <si>
    <t>The Place Beyond the Pines</t>
  </si>
  <si>
    <t>tt1817273</t>
  </si>
  <si>
    <t>Ryan Gosling, Bradley Cooper, Eva Mendes</t>
  </si>
  <si>
    <t>Normalerweise lebt Luke Glanton von seinen Motorradstunts auf dem Jahrmarkt und hält eher Abstand von zwischenmenschlichen Beziehungen. Eines Tages trifft er seinen alten One-Night-Stand Romina wieder und erkennt, dass sie, ohne es ihm zu sagen, seinen Sohn zur Welt gebracht hat. Luke will für ihn sorgen, allerdings nicht auf ehrliche Art und Weise: Gemeinsam mit dem zwielichtigen Mechaniker Robin beschließt er, mehrere Banken auszurauben, um Romina das Geld zu geben. Doch er hat nicht mit dem ehrgeizigen Polizisten Avery Cross gerechnet, der um jeden Preis in der Karriereleiter aufsteigen will. Dabei will er sich nur von seinen privaten Problemen mit Frau und Kind ablenken. Tatsächlich ist Cross zufällig zur Stelle, als der Motorradräuber wieder zuschlägt…</t>
  </si>
  <si>
    <t>The Poison Rose - Dunkle Vergangenheit</t>
  </si>
  <si>
    <t>The Poison Rose</t>
  </si>
  <si>
    <t>tt5862166</t>
  </si>
  <si>
    <t>John Travolta, Morgan Freeman, Peter Stormare, Famke Janssen, Robert Patrick</t>
  </si>
  <si>
    <t>Carson Philips ist ein ehemaliger Footballstar, der sich nun in Los Angeles als versoffener Privatdetektiv verdingt. Doch dann ereilt ihn ein Hilferuf aus seiner Heimatstadt Galveston in Texas: Er soll eine verschwundene Frau aufspüren. Philips übernimmt den Fall, begibt sich dabei aber auf eine gefährliche Reise in seine dunkle Vergangenheit. Neben einem Gangsterboss und einem zwielichtigen Arzt begegnet er nämlich auch seiner ehemaligen großen Liebe und seiner verschollen geglaubten Tochter…</t>
  </si>
  <si>
    <t>The Pool</t>
  </si>
  <si>
    <t>Thailand</t>
  </si>
  <si>
    <t>tt9128686</t>
  </si>
  <si>
    <t>Theeradej Wongpuapan, Ratnamon Ratchiratham</t>
  </si>
  <si>
    <t>Der junge Day arbeitet für eine Filmcrew, die in einem stillgelegten Schwimmbad einen Werbespot dreht. Nach Ende der Dreharbeiten will Day ein wenig relaxen und schläft auf einer Luftmatratze im Pool ein. Als er wieder aufwacht, ist das Wasser zur Hälfte abgelaufen. Rundherum türmen sich meterhoch die spiegelglatten Wände auf. Der Beckenrand ist unerreichbar. Die Crew ist längst nach Hause gefahren. Als dann noch Days Freundin durch einen Unfall in Pool landet und ein Krokodil auftaucht, beginnt ein gnadenloser Kampf ums Überleben.</t>
  </si>
  <si>
    <t>The Red Sea Diving Resort</t>
  </si>
  <si>
    <t>tt4995776</t>
  </si>
  <si>
    <t>Mbulelo Grootboom, Sizo Mahlangu, Michael Kenneth Williams</t>
  </si>
  <si>
    <t>Das Red Sea Diving Resort ist eine im Sudan direkt am Roten Meer gelegene Hotelanlage, die Anfang der 1980er Jahre aufgrund der gefährlichen politischen Lage aufgegeben wurde. Der israelische Geheimagent Ari (Chris Evans) kommt deshalb auf die Idee, das stillgelegte Resort zu nutzen, um mit dem Tod bedrohte äthiopische Juden aus deren Heimatland über den Sudan nach Israel in die Freiheit zu lotsen. Das wiedereröffnete Resort soll dabei als Deckmantel für die politisch heikle Operation dienen. Ari stellt für die Mission unter der Leitung seines Chefs Ethan Levin (Ben Kingsley) ein Team ehemaliger Geheimagenten zusammen. Doch um seine Pläne tatsächlich umzusetzen, braucht er auch die Hilfe des afrikanischen Juden Kebede Bimro (Michael K. Williams), der bereits versucht, so viele seiner jüdischen Landsmänner wie möglich zu retten ...</t>
  </si>
  <si>
    <t>The Resident - Ich sehe dich</t>
  </si>
  <si>
    <t>The Resident</t>
  </si>
  <si>
    <t>tt1334102</t>
  </si>
  <si>
    <t>Hilary Swank, Jeffrey Dean Morgan, Lee Pace, Christopher Lee, Aunjanue Ellis-Taylor</t>
  </si>
  <si>
    <t>Dr. Juliet Dermer, Fachärztin in der Unfallchirurgie, kann ihr Glück zunächst kaum fassen, als sie auf der Suche nach einem bezahlbaren Wohnobjekt in der besseren Gegend von New York City auf den Vermieter und sympathischen Kuscheltypen Max trifft, der ihr eine traumhafte Mietmansarde anbietet. Auch die Miete hält sich in Grenzen, da das Haus aufwendig renoviert werden soll und dadurch mit Lärmbelästigung zu rechnen ist. Max und Juliet kommen sich näher, aber Juliet blockt, da sie die Trennung von ihrem Ex noch nicht richtig verarbeitet hat. Eigentlich fühlt sich Juliet in der neuen Wohnung recht wohl, wenn sie nicht neuerdings so gerädert wäre oder sogar morgens verschläft.</t>
  </si>
  <si>
    <t>The Resort</t>
  </si>
  <si>
    <t>tt12163074</t>
  </si>
  <si>
    <t>Bianca Haase, Brock O'Hurn, Michael Vlamis</t>
  </si>
  <si>
    <t>Lex ist Schriftstellerin und von paranormalen Ereignissen besessen. Deshalb überraschen ihre drei engsten Freunde sie zum Geburtstag mit einem Trip in ein verlassenes Resort auf Hawaii. Das Hotel soll der Aufenthaltsort eines berüchtigten Geistes sein, den Lex unbedingt finden will. Als sie jedoch das letzte Boot zurück aufs Festland verpassen, sind sie dem Bösen erbarmungslos ausgeliefert.</t>
  </si>
  <si>
    <t>The Ripper</t>
  </si>
  <si>
    <t>tt0120023</t>
  </si>
  <si>
    <t>Patrick Bergin, Gabrielle Anwar, Samuel West</t>
  </si>
  <si>
    <t>The Runner</t>
  </si>
  <si>
    <t>tt5886520</t>
  </si>
  <si>
    <t>Edouard Philipponnat, Kerri Medders, Cameron Douglas</t>
  </si>
  <si>
    <t>Die Dokumentation begleitet einen Kajakfahrer bei seinem Vorhaben, als erster Mensch die vier Flüsse zu befahren, die nahe des Berges Kailash in Tibet entspringen.</t>
  </si>
  <si>
    <t>The Signal</t>
  </si>
  <si>
    <t>Drama, Mystery, Sci-Fi</t>
  </si>
  <si>
    <t>tt2910814</t>
  </si>
  <si>
    <t>Brenton Thwaites, Olivia Cooke, Beau Knapp</t>
  </si>
  <si>
    <t>Die begeisterten Hacker Nick und Jonah sind gerade in ihrem ersten Jahr auf dem MIT, als sie eine Fehde mit dem verfeindeten Hacker Nomad gemeinsam mit Nicks Freundin Hailey knapp 300 Kilometer landeinwärts führt: mitten in eine Wüste. Nach einer verstörenden Begegnung mit Nomad wachen sie plötzlich in einem mysteriösen Forschungslabor auf. Die kleine Gruppe wird von einem ominösen Mann namens Dr. Wallace Damon nach einem seltsamen Signal ausgefragt. Mit der Zeit merken die Studenten, dass sie sich verändert haben und neue unerklärliche Kräfte in ihnen schlummern. Die bedrohliche Atmosphäre veranlasst Nick, Jonah und Hailey schließlich zur Flucht aus der geheimnisvollen Forschungsanlage. Doch Polizei und Militär nehmen die Verfolgung auf…</t>
  </si>
  <si>
    <t>The Sixth Sense</t>
  </si>
  <si>
    <t>tt0167404</t>
  </si>
  <si>
    <t>Bruce Willis, Haley Joel Osment, Toni Collette</t>
  </si>
  <si>
    <t>Der Kinderpsychologe Dr. Malcolm Crowe feiert mit seiner Frau eine für ihn bedeutsame Auszeichnung. An diesem Abend wird er von Vincent Grey überrascht, einem ehemaligen Patienten, dem Crowe nicht helfen konnte. Sichtlich verzweifelt schießt er auf Dr. Crowe und begeht daraufhin Selbstmord. Im darauf folgenden Jahr betreut Dr. Crowe den neunjährigen Cole. Er erinnert ihn an seinen früheren Patienten Grey. Der Junge scheint von großen Ängsten geplagt, die er niemandem anvertraut. Von seinen Klassenkameraden wird er mit „Psycho“ angesprochen und gemieden. Sogar sein Lehrer bezeichnet ihn nach einem Streit so. Coles Mutter ist verzweifelt, und Dr. Crowe scheint dem Jungen nicht helfen zu können. Nach und nach gewinnt er schließlich das Vertrauen des Jungen; Cole verrät ihm sein Geheimnis: „Ich sehe tote Menschen. Die sind wütend. Die wissen nicht, dass sie tot sind.“ Zunächst glaubt Dr. Crowe ihm nicht.</t>
  </si>
  <si>
    <t>The Stanford Prison Experiment</t>
  </si>
  <si>
    <t>tt0420293</t>
  </si>
  <si>
    <t>Ezra Miller, Tye Sheridan, Billy Crudup</t>
  </si>
  <si>
    <t>Vom 14. bis 20. August 1971 wurde ein soziologisches Experiment durchgeführt, bei dem männlichen Probanden per Zufallsprinzip die Rolle von Gefangenen oder Gefängnisaufsehern zugeteilt wurde. Geleitet wurde die ganze Unternehmung von Psychologie-Professor Philip Zimbardo der für das US-Militär die möglichen Ursachen von Konflikten in entsprechenden Wärter-Insassen-Konstellationen untersuchen sollte. Insgesamt 24 Personen nahmen daran teil, doch sehr bald zeichnete sich ab, dass sich die Beteiligten sehr viel mehr mit ihren Rollen identifizierten, als erwartet wurde. Seelische wie körperliche Folterungen waren die Konsequenz, die nicht nur von den Wärtern ausgingen. Auch die Häftlinge untereinander begannen, sich auf Geheiß der Aufseher das Leben zur Hölle zu machen. Das Experiment geriet außer Kontrolle und wurde vorzeitig beendet, nach nur sechs von 14 Tagen.</t>
  </si>
  <si>
    <t>The Tall Man</t>
  </si>
  <si>
    <t>Canada, France</t>
  </si>
  <si>
    <t>tt1658837</t>
  </si>
  <si>
    <t>Jessica Biel, Jodelle Ferland, William B. Davis</t>
  </si>
  <si>
    <t>In einer einsamen Bergbaustadt ist das Leben nicht aufregend, besonders wenn auch die Wirtschaftskrise nicht an der Stadtgrenze Halt macht und die Gemeinde somit schleichenden Schrittes zu Grunde geht. Doch dann passieren merkwürdige Dinge und die Bevölkerung wird in helle Aufregung versetzt, als plötzlich nach und nach die Kinder der Stadt verschwinden. Es hält sich das Gerücht unter den Einwohnern, dass die Kleinen von einem unheimlichen Wesen entführt wurden, welche sie nur den „Tall Man“ nennen. Julia Denning steht der Sache jedoch skeptisch gegenüber und mag nicht an übernatürliche Wesen oder dergleichen glauben. Doch auf einmal ist auch sie selbst betroffen, als ihr kleiner Sohn David eines Nachts spurlos verschwindet. Die Krankenschwester ist völlig fassungslos, setzt aber alles daran ihr Kind zu befreien. Und durchlebt dabei den schlimmsten Albtraum, den man sich nur vorstellen kann...</t>
  </si>
  <si>
    <t>The Terror Room</t>
  </si>
  <si>
    <t>Room 333: The Voice of Terror</t>
  </si>
  <si>
    <t>tt1522268</t>
  </si>
  <si>
    <t>Julian Gonzalez Esparza, Ava Keel, Mark Kimberly</t>
  </si>
  <si>
    <t>Ex-Crystal-Meth-Junkie Jessica (Rainey Qualley) versucht verzweifelt, clean zu bleiben, während sie ihre beiden kleinen Kinder großzieht. Um endlich einen Neuanfang zu schaffen, will sie das Haus, das ihre Großmutter ihr hinterlassen hat, renovieren, verkaufen und fortziehen. Gerade, als sie mit der gröbsten Arbeit fertig ist und ein Licht am Ende des Tunnels sieht, taucht plötzlich ihr Ex-Freund, der brutale und weiterhin drogenabhängige Rob (Jake Horowitz) auf. Mit dabei hat er seinen psychopathischen Kumpel Sammy (Vincent Gallo), der – so weiß Jessica – auf kleine Mädchen steht. Es dauert nicht lange, da findet sich Jessica allein in der Speisekammer wieder – hinter einer von außen zugenagelten Tür, während ihre Kids draußen auf sich allein gestellt sind. Wird sie es schaffen, aus dem Gefängnis zu entkommen? Und was erwartet sie dann?</t>
  </si>
  <si>
    <t>The Thursday Murder Club</t>
  </si>
  <si>
    <t>tt12001534</t>
  </si>
  <si>
    <t>Helen Mirren, Pierce Brosnan, Ben Kingsley</t>
  </si>
  <si>
    <t>In diesem witzigen Krimi werden Rentner-Detektive, die mit Leidenschaft ungelöste Fälle untersuchen, in einen Mordfall verwickelt.</t>
  </si>
  <si>
    <t>The Vanished - Tage der Angst</t>
  </si>
  <si>
    <t>The Vanished</t>
  </si>
  <si>
    <t>tt9794630</t>
  </si>
  <si>
    <t>Anne Heche, Thomas Jane, Jason Patric, John D. Hickman, Peter Facinelli</t>
  </si>
  <si>
    <t>Was als entspannter Familien-Camping-Trip beginnt, verwandelt sich für die Familie Michaelson zu einem realen Albraum, als ihre 11-jährige Tochter Taylor plötzlich spurlos verschwindet. Mit der Unterstützung des örtlichen Sheriffs Baker beginnen die Eltern die verzweifelte Suche nach dem Mädchen, bei der es zu weiteren unschuldigen Opfern kommt – und bei der nichts ist, wie es zu sein scheint...</t>
  </si>
  <si>
    <t>The Villainess</t>
  </si>
  <si>
    <t>tt6777338</t>
  </si>
  <si>
    <t>Kim Ok-bin, Shin Ha-kyun, Sung Jun</t>
  </si>
  <si>
    <t>Als Tochter eines Gangsters hat Sook-hee früh gelernt, Feinde aus dem Weg zu räumen. Nachdem sie eine komplette gegnerische Bande im Alleingang niedermetzelt und im Gefängnis landet, wird eine geheime Regierungsbehörde auf die Einzelgängerin aufmerksam, die junge Frau wird zwangsweise zur Profikillerin ausgebildet. Der nicht verhandelbare Deal: "Du tötest zehn Jahre lang jeden, den wir dir auf die Abschussliste setzen, dann lassen wir dich frei."</t>
  </si>
  <si>
    <t>The Weekend Away</t>
  </si>
  <si>
    <t>tt14817272</t>
  </si>
  <si>
    <t>Leighton Meester, Christina Wolfe, Ziad Bakri</t>
  </si>
  <si>
    <t>Zwei beste Freundinnen, Kate und Orla, die persönliche Rückschläge überwunden haben und sich immer auf ihr jährliches Wochenende freuen, egal was das Leben ihnen entgegenwirft. Dieses Jahr sind sie auf einer Reise nach Lissabon und alles ist perfekt, bis Orla aufwacht und feststellt, dass Kate vermisst wird. Mit nur einer verschwommenen Erinnerung an die vergangene Nacht und ohne Hilfe der Polizei deckt ihre hektische Suche verheerende Geheimnisse näher an ihrem Zuhause auf.</t>
  </si>
  <si>
    <t>The Whole Truth - Lügenspiel</t>
  </si>
  <si>
    <t>The Whole Truth</t>
  </si>
  <si>
    <t>tt3503406</t>
  </si>
  <si>
    <t>Keanu Reeves, Renée Zellweger, Gugu Mbatha-Raw, Gabriel Basso, Jim Belushi</t>
  </si>
  <si>
    <t>Als er seiner Freundin Loretta Lassiter verspricht, ihren Sohn Mike vor dem Gefängnis zu bewahren, nimmt Strafverteidiger Richard Ramsay entgegen seiner Überzeugung, einen sehr persönlichen Fall an. Mike wird beschuldigt, seinen Vater Boone ermordet zu haben. Er hat die Tat sogar gestanden, spricht aber mittlerweile kein Wort mehr – auch nicht mit seinem Anwalt. Doch während des Verfahrens kommen neue Details über Boone ans Licht und es stellt sich schnell heraus, dass fast alle Zeugen etwas zu verheimlichen haben. Das nutzt Ramsay aus, um einen Freispruch für seinen Klienten zu erwirken, denn darum allein geht es ihm. Unterdessen stellt seine Assistentin Janelle  weitere Nachforschungen an und erhebt einen ungeheuren Verdacht.</t>
  </si>
  <si>
    <t>Three Billboards Outside Ebbing, Missouri löschen</t>
  </si>
  <si>
    <t>Three Billboards Outside Ebbing, Missouri</t>
  </si>
  <si>
    <t>tt5027774</t>
  </si>
  <si>
    <t>Frances McDormand, Woody Harrelson, Sam Rockwell</t>
  </si>
  <si>
    <t>THREE BILLBOARDS OUTSIDE EBBING, MISSOURI is a darkly comic drama from Academy Award nominee Martin McDonagh (In Bruges). After months have passed without a culprit in her daughter's murder case, Mildred Hayes (Academy Award winner Frances McDormand) makes a bold move, painting three signs leading into her town with a controversial message directed at William Willoughby (Academy Award nominee Woody Harrelson), the town's revered chief of police. When his second-in-command Officer Dixon (Academy Award winner Sam Rockwell), an immature mother's boy with a penchant for violence, gets involved, the battle between Mildred and Ebbing's law enforcement is only exacerbated.</t>
  </si>
  <si>
    <t>Die Tochter von Mildred Hayes wurde vor Monaten ganz in der Nähe ihres Zuhauses vergewaltigt und ermordet, aber noch immer tut sich in dem Fall nichts. Von einem Hauptverdächtigen fehlt jedenfalls noch jede Spur und so langsam glaubt Mildred, dass die örtliche Polizei einfach ihre Arbeit nicht richtig macht. Und ganz anders als ihr Sohn Robbie der einfach nur sein Leben weiterleben möchte, kann sie das nicht akzeptieren. Darum lässt sie eines Tages an der Straße, die in ihren Heimatort Ebbing, Missouri führt, drei Werbetafeln mit provokanten Sprüchen aufstellen, die sich an Polizeichef William Willoughby richten. Klar, dass die Situation nicht lange friedlich bleibt. Als sich dann noch Officer Dixon einmischt, ein unreifes und gewalttätiges Muttersöhnchen, eskaliert die Lage.</t>
  </si>
  <si>
    <t>Tiefe Wasser löschen</t>
  </si>
  <si>
    <t>Tiefe Wasser</t>
  </si>
  <si>
    <t>Deep Water</t>
  </si>
  <si>
    <t>Australia, United States, Canada</t>
  </si>
  <si>
    <t>tt2180339</t>
  </si>
  <si>
    <t>Ben Affleck, Ana de Armas, Tracy Letts</t>
  </si>
  <si>
    <t>Von Liebe ist beim Ehepaar Victor Van Allen und Melinda keine Rede mehr. Die Emotionen haben sich in Luft aufgelöst und die einstige Verbindung im Alltag ist verloren gegangen. Um ihrer Ehe dennoch eine Chance zu geben, einigen sie sich darauf, dass Sex-Abenteuer und Affären außerhalb ihrer Ehe erlaubt sind. Das gegenseitige Einverständnis wandelt sich schnell in ein fieses Psychospiel, in dem sich Vic und Melinda nicht nur selbst schaden, sondern auch ihr Umfeld in Gefahr bringen. Als Melindas Liebhaber tot aufgefunden wird, konzentrieren sich die Ermittlungen der Polizei auf Victor. Hat der Ehemann Rache nehmen und seiner Frau einen Denkzettel verpassen wollen? Die Suche nach dem Mörder entwickelt sich zu einem Puzzlespiel, in dem die Rolle der Verdächtigen von einer Person zur anderen wechselt. Wer sagt die Wahrheit? Und wer spielt ein falsches Spiel auf Kosten von Menschenleben?</t>
  </si>
  <si>
    <t>Tiefschnee Winter der Rache</t>
  </si>
  <si>
    <t>Off-Piste</t>
  </si>
  <si>
    <t>United Kingdom, France, Ireland</t>
  </si>
  <si>
    <t>tt4443856</t>
  </si>
  <si>
    <t>Henry Douthwaite, Lara Lemon, Yvonne O'Grady, Paul McGuinness, Jared Fortune</t>
  </si>
  <si>
    <t>Tiefschnee - Winter der Rache handelt vom ehemaligen SAS-Soldaten Stanley Winters (Henry Douthwaite), der unter posttraumatischer Belastungsstörung leidet und die Einsamkeit der Berge sucht, um seine Taten zu vergessen. Insbesondere die Tötung eines unschuldigen Jungen lastet schwer auf seinen Schultern. Doch nicht nur in seinen Träumen gerät der Veteran in Konflikt mit seiner Vergangenheit. In den Bergen trifft Stanley auf Niamh (Lara Lemon), die sich ungewöhnlich stark für dessen Zeit bei der Army interessiert. Was Stanley nicht weiß: Niamh sinnt auf Rache und damit ist sie nicht die einzige.</t>
  </si>
  <si>
    <t>Till Death – Bis dass dein Tod uns scheidet</t>
  </si>
  <si>
    <t>Till Death</t>
  </si>
  <si>
    <t>tt11804152</t>
  </si>
  <si>
    <t>Megan Fox, Eoin Macken, Aml Ameen, Callan Mulvey, Jack Roth</t>
  </si>
  <si>
    <t>In der Ehe von Emma und Mark kriselt es, weswegen Emma eine Affäre mit Tom, einem Kollegen ihres Mannes angefangen hat. Doch scheinbar gelobt der kontrollsüchtige Anwalt Mark Besserung: An ihrem zehnten Hochzeitstag, den sie mit Rosenblättern und romantischem Kerzenlicht in ihrem abgelegenen Haus am See begehen, scheint auf einmal alles wieder so wie früher. Doch nach dem unvergesslichen Abend erwacht Emma in Handschellen an ihren Ehemann gefesselt, der in genau diesem Moment Selbstmord begeht. Gefangen und isoliert in der Kälte des Winters, muss sie gegen die angeheuerten Killer Bobby Ray und Jimmy kämpfen, um den verrückten Plänen ihres Mannes zu entkommen …</t>
  </si>
  <si>
    <t>Die Polizistin und die Todesstille</t>
  </si>
  <si>
    <t>Nicole Kidman, Sam Neill, Billy Zane</t>
  </si>
  <si>
    <t>Tödliche Entscheidung</t>
  </si>
  <si>
    <t>Phantom: The Submarine</t>
  </si>
  <si>
    <t>tt0226663</t>
  </si>
  <si>
    <t>Choi Min-soo, Jung Woo-sung, Sol Kyung-gu</t>
  </si>
  <si>
    <t>Chan Seok, Marineoffizier eines koreanischen U-Boots, wird nach einer Meuterei, bei der er seinen Commander getötet hat, zum Tode verurteilt. Während man in der Öffentlichkeit seine erfolgreiche Hinrichtung bekannt gibt, wird er an Bord des neuen Atom-U-Bootes "Phantom" gebracht. Wie er sind alle dortigen Crewmitglieder zu Tode verurteilte Soldaten. Sie wissen nichts voneinander und dürfen sich auch nicht mit Namen anreden. Deshalb erhält jeder eine Nummer, die nun ihr weiteres Leben bestimmt. Nur der Captain des U-Bootes kennt alle Details der auszuführenden Missionen. Als dieser ermordet wird übernimmt Crewmitglied 202 die Kontrolle über das Schiff - und über die Atomraketen an Bord...</t>
  </si>
  <si>
    <t>Tödliche Ferien</t>
  </si>
  <si>
    <t>tt2638662</t>
  </si>
  <si>
    <t>Diego Boneta, Jocelin Donahue, Maiara Walsh</t>
  </si>
  <si>
    <t>Drei Amerikaner und ein Einheimischer treffen erste Vorbereitungen, um ein spanisches Ferienlager auf Fordermann zu bringen – bevor die Schüler anreisen. Doch die Ferienzeit steht unter keinem guten Stern. Sorge bereitet ein vermeintlich tollwütiger Hund, der im hauseigenen Streichelzoo andere Tiere verletzt und auch sonst ein aggressives Verhalten an den Tag legt. Aber der mutige Will kennt sich aus. Er ist mit Tieren aufgewachsen und traut sich in den Käfig des erkrankten Tieres. Keine gute Idee; der Hund beißt zu. Doch der verletzte Arm ist nichts im Vergleich zu dem, was folgen wird. Die Freunde verwandeln sich nacheinander in unaufhaltsame Bestien und wollen den Übrigen an den Kragen. Seltsamerweise ist die Verwandlung nur von kurzer Dauer. Kaum wie eine Furie kreischend durchs Camp geflitzt, findet man sich wenig später verstört und orientierungslos auf dem Grundstück wieder. Lange bleibt die Ursache des Zombiewerdens ungeklärt.</t>
  </si>
  <si>
    <t>Tödliche Versprechen</t>
  </si>
  <si>
    <t>Tödliche Geheimnisse - Das Versprechen</t>
  </si>
  <si>
    <t>tt9200866</t>
  </si>
  <si>
    <t>Nina Kunzendorf, Anke Engelke, Petra Schmidt-Schaller</t>
  </si>
  <si>
    <t>Als die ehemalige Chefredakteurin Karin Berger und die investigative Journalistin Rommy Kirchhoff zufällig Zeugen eines tödlichen Unfalls auf einer Großbaustelle werden, beschließen sie die Machenschaften der Bau-Mafia aufzudecken...</t>
  </si>
  <si>
    <t>Tödliches Verlangen</t>
  </si>
  <si>
    <t>Svart Lucia</t>
  </si>
  <si>
    <t>Sweden, Denmark</t>
  </si>
  <si>
    <t>tt0105502</t>
  </si>
  <si>
    <t>Tova Magnusson, Figge Norling, Björn Kjellman</t>
  </si>
  <si>
    <t>Playboy und Gelegenheitsmime Eric hat sich finanziell übernommen und sucht nach Auswegen aus der Misere. In seiner Frau Monica, einer alternden Leinwanddiva, findet er das ideale Opfer und startet, noch während er mit ihr vor der Kamera steht, eine Serie von brutalen Versuchen, sich ihres Vermögens sowie einer stattlichen Lebensversicherung zu bemächtigen. Monica hat das Manöver ihres Mannes jedoch längst durchschaut und legt ihrerseits ein paar Fallstricke aus.</t>
  </si>
  <si>
    <t>Tödliches Vertrauen</t>
  </si>
  <si>
    <t>tt0317472</t>
  </si>
  <si>
    <t>Barbara Rudnik, Otto Sander, Thomas Sarbacher</t>
  </si>
  <si>
    <t>Seit zwei Jahren verängstigt eine Mordserie die Bevölkerung Kassels. Ein offenbar wahnsinniger Mörder entführt junge Frauen und hält sie in einem Versteck gefangen, bevor er sie schließlich umbringt und ihre Körper im Kasseler Bergwald zurücklässt. Auch der Fall der vor einem Jahr spurlos verschwundenen Carmen Lehmann wird von der Öffentlichkeit in Verbindung zu der Mordserie gebracht. Davon will der ermittelnde Kommissar Tönning jedoch nichts wissen. Im Mittelpunkt seiner Ermittlungen steht der Forstarbeiter Peter Markwart, der offenbar ein gestörtes Verhältnis zu Frauen hat. Carmens Mutter wendet sich daraufhin an das LKA Wiesbaden und bittet um Hilfe.</t>
  </si>
  <si>
    <t>Torture Einladung zum Sterben</t>
  </si>
  <si>
    <t>Pledge</t>
  </si>
  <si>
    <t>tt6220752</t>
  </si>
  <si>
    <t>Zachery Byrd, Phillip Andre Botello, Aaron Dalla Villa, Zack Weiner, Erica Boozer</t>
  </si>
  <si>
    <t>Den drei College-Neulingen Ethan, David und Justin fällt es schwer, sich auf dem Campus einzuleben. Von jeder Bruderschaft werden sie abgelehnt und verspottet. Als sie jedoch zu einer Party eingeladen werden, wähnen sie sich am Ziel ihrer Träume: Denn sie bekommen die Chance einer elitären Studentenverbindung beizutreten. Doch die Aufnahme-Zeremonie entpuppt sich als grausam und unmenschlich …</t>
  </si>
  <si>
    <t>Totgemacht – The Alzheimer Case</t>
  </si>
  <si>
    <t>De zaak Alzheimer</t>
  </si>
  <si>
    <t>Belgium, Netherlands</t>
  </si>
  <si>
    <t>tt0374345</t>
  </si>
  <si>
    <t>Koen De Bouw, Werner De Smedt, Jan Decleir, Jo De Meyere, Filip Peeters</t>
  </si>
  <si>
    <t>Eine mysteriöse Mordserie, der sowohl geachtete Bürger, kleine Ganoven wie auch eine Prostituierte im schulpflichtigem Alter zum Opfer fielen, beschäftigt die Antwerpener Kommissare Vincke und Verstuyft. Nach einigen Umwegen kommt man auf die Spur eines aus Marseille angereisten Profikillers in fortgeschrittenem Alter, der, an Alzheimer leidend und seinen Job verachtend, beschlossen hat, Tabula rasa zu machen und nacheinander in der Befehlskette aufsteigend die eigenen Auftraggeber zu liquidieren.</t>
  </si>
  <si>
    <t>Traffik</t>
  </si>
  <si>
    <t>tt5670152</t>
  </si>
  <si>
    <t>Priscilla Quintana, Luke Goss, Paula Patton</t>
  </si>
  <si>
    <t>Die Journalistin Brea und ihr Freund John möchten ein romantisches Wochenende zu zweit verbringen und fahren von der Küste in die Berge. Unterwegs treffen sie an einer Tankstelle auf eine Motorradgang. Es kommt zu einer Konfrontation, schließlich setzen Brea und John ihren Weg fort - ohne zu bemerken, dass sich nun ein Mobiltelefon in ihrem Gepäck befindet. Dieses Telefon enthält wichtige Informationen und Daten zu einer Menschenhandels- und Zwangsprostitutionsaffäre. Für die Männer auf den Motorrädern ist das Gerät unheimlich wichtig - und so wird das Wochenende für die Reporterin und ihren Freund alles andere als gemütlich...</t>
  </si>
  <si>
    <t>Trance – Gefährliche Erinnerung</t>
  </si>
  <si>
    <t>Trance</t>
  </si>
  <si>
    <t>tt1924429</t>
  </si>
  <si>
    <t>James McAvoy, Vincent Cassel, Rosario Dawson, Danny Sapani, Matt Cross</t>
  </si>
  <si>
    <t>Simon ist ein Auktionator von wertvollen Kunstwerken. Da er Spielschulden hat, schließt er sich mit einer kriminellen Bande zusammen, um ein Gemälde im Wert von mehreren Millionen Dollar zu stehlen. Während des Raubes wird Simon bewusstlos geschlagen und als er wieder zu sich kommt, hat er keinerlei Erinnerungen mehr daran, wo er das Bild versteckt hat. Franck, der Anführer der Gang, versucht durch Drohungen und Folter an die Informationen zu kommen, doch ohne Erfolg. Er engagiert die Hypnotiseurin Elizabeth, die durch die Kunst der Hypnose den Ort des versteckten Gemäldes herausfinden soll. Als sie immer tiefer in Simons ohnehin schon kaputtes Unterbewusstsein vordringt, vermischen sich für ihn immer mehr die Grenzen zwischen Realität und Illusion.</t>
  </si>
  <si>
    <t>Triple 9</t>
  </si>
  <si>
    <t>tt1712261</t>
  </si>
  <si>
    <t>Casey Affleck, Chiwetel Ejiofor, Anthony Mackie</t>
  </si>
  <si>
    <t>Atlanta ist schwer vom Verbrechen gebeutelt, die örtliche Polizei sieht sich mit Straßenschlachten, öffentlichen Hinrichtung und brutaler Folter konfrontiert, mit denen die übermächtige Russenmafia ihre Vorherrschaft deutlich macht. Für viele Cops bietet sich die verführerische Möglichkeit, den ein oder anderen Dollar dazuzuverdienen, wenn sie gelegentlich wegsehen oder auch mal eine Bank für die Mafia ausrauben. Zu den korrupten Polizisten gehört auch Marcus Atwood, der gar nicht begeistert ist, als man ihm als Partner den idealistischen Frischling Chris zur Seite stellt, der ausgerechnet auch noch der Neffe des Sergeant ist. Doch der blauäugige Chris kommt Atwood und seiner korrupten Truppe ganz gelegen, als sie für einen wahnwitzigen Plan ein leicht reinzulegendes Opfer benötigen…</t>
  </si>
  <si>
    <t>Trunk - Locked In</t>
  </si>
  <si>
    <t>Trunk: Locked In</t>
  </si>
  <si>
    <t>tt27214365</t>
  </si>
  <si>
    <t>Sina Martens, Luise Helm, Artjom Gilz</t>
  </si>
  <si>
    <t>Die 28-jährige Medizinstudentin Malina wacht orientierungslos in einem verschlossenen Kofferraum auf und muss mit Entsetzen feststellen, dass ihr mehr als nur die Erinnerung fehlt. Mit ihrem Telefon als einziger Verbindung zur Außenwelt führt die intelligente junge Frau einen verzweifelten Kampf ums Überleben, während das Fahrzeug unerbittlich auf ein schreckliches Geheimnis zurast.</t>
  </si>
  <si>
    <t>Under the Rose</t>
  </si>
  <si>
    <t>The Secret Under the Rose</t>
  </si>
  <si>
    <t>tt0756708</t>
  </si>
  <si>
    <t>Jim Thalman, Victor Campos, Mark Griffin, Ty Kopp</t>
  </si>
  <si>
    <t>Tagelang kein Wort, dann plötzlich dieser Brief. Was mit Sara passiert ist, bleibt dennoch im Ungewissen. Der Verfasser behauptet, die Tochter von Julia und Oliver in seiner Gewalt zu haben. Ihr wird nichts passieren, wenn sie sich bereit erklären, ein Treffen mit dem Kidnapper zu vereinbaren. Als es klingelt und der Mann das Haus betritt, steht der Familie eine endlose Nacht der Wahrheit bevor. Bei Morgengrauen wird nichts mehr sein, wie es war. Kein Funken Hoffnung wird bleiben. Nur die Verzweiflung, denn jedes Verbrechen hat seine Konsequenzen!</t>
  </si>
  <si>
    <t>Under the Silver Lake</t>
  </si>
  <si>
    <t>tt5691670</t>
  </si>
  <si>
    <t>Andrew Garfield, Riley Keough, Topher Grace</t>
  </si>
  <si>
    <t>Der desillusionierte 33-jährige Sam entdeckt im Pool seines East-Side-Appartments in Los Angeles eine mysteriöse Frau namens Sarah. Sie haben sich kaum richtig kennengelernt, als Sarah plötzlich verschwunden ist und Sam sich auf eine surreale Suche quer durch Los Angeles begibt, um das Geheimnis ihres Verschwindens zu entschlüsseln. Seine Suche führt ihn in die düstersten Mysterien, Skandale und Verschwörungen in der Stadt der Engel.</t>
  </si>
  <si>
    <t>Unlocked</t>
  </si>
  <si>
    <t>Czech Republic, Switzerland, United Kingdom, France, United States</t>
  </si>
  <si>
    <t>tt1734493</t>
  </si>
  <si>
    <t>Noomi Rapace, Orlando Bloom, Toni Collette</t>
  </si>
  <si>
    <t>Ein vermeintlicher Terrorist wird von der CIA festgenommen und soll anschließend verhört werden. Der Vorwurf: Angeblich hat der Gefangene ein Startsignal für eine terroristische Attacke in England ausgegeben. Und dabei soll es mit einem gewöhnlichen Bombenanschlag nicht getan sein – stattdessen soll ein höchst gefährliches Virus zum Einsatz kommen, das die gesamte Menschheit in Gefahr bringen könnte. Agentin Alice Racine wird deshalb damit beauftragt, den Verdächtigen zu vernehmen. Doch als herauskommt, dass ihr Geheimdienst unterwandert wurde und ein Maulwurf ein tödliches Spiel zu spielen scheint, gerät sie in allerhöchste Gefahr. Fortan auf der Flucht, muss Alice versuchen herauszufinden, wer dahinter stecken könnte. Und nebenbei muss um jeden Preis auch noch ein Anschlag verhindert werden …</t>
  </si>
  <si>
    <t>Unsane - Ausgeliefert</t>
  </si>
  <si>
    <t>Unsane</t>
  </si>
  <si>
    <t>tt7153766</t>
  </si>
  <si>
    <t>Claire Foy, Joshua Leonard, Jay Pharoah, Juno Temple, Aimee Mullins</t>
  </si>
  <si>
    <t>Sawyer Valentini ist auf der Flucht vor dem hartnäckigen Stalker David Strine. Sie will diese Vergangenheit hinter sich lassen und in einer neuen Stadt mit einem neuen Job noch einmal von vorne beginnen. Doch dann landet sie gegen ihren Willen in einer psychiatrischen Einrichtung und wird dort festgehalten. Damit nicht genug: Während ihres unfreiwilligen Klinikaufenthalts sieht sie sich mit ihrer größten Angst konfrontiert, denn ihr Stalker scheint sich unter dem Pflegepersonal der Klink zu befinden. Aber ist das wirklich der Fall oder bildet sie sich das nur ein? Niemand vom Personal der Einrichtung ist bereit, Sawyer zu glauben, und auch die Polizei stellt sich als wenig hilfreich heraus. Mutter Angela versucht unterdessen ihr Möglichstes, die Tochter freizubekommen…</t>
  </si>
  <si>
    <t>Unschuldig – Der Fall Julia B</t>
  </si>
  <si>
    <t>Unschuldig - Der Fall Julia B.</t>
  </si>
  <si>
    <t>tt29603617</t>
  </si>
  <si>
    <t>Emily Cox, Thomas Loibl, Jan Krauter</t>
  </si>
  <si>
    <t>Fünf Jahre sitzt Julia unschuldig hinter Gittern. Die engagierte Lehrkraft soll ihren Schüler Felix Weixler verführt und erstochen haben. Als ein Zufallsfund sie vom Mordvorwurf entlastet, versucht Julia neu durchzustarten. Sie will wieder unterrichten und ihren Ex-Mann Jan zurückgewinnen, der in Kürze seine Verlobte Katrin heiraten wird. Der durch den Tod seiner Partnerin schwer traumatisierte Hauptkommissar Max Kauth rollt indessen den tragischen Mordfall neu auf und stößt auf zahlreiche Ungereimtheiten.</t>
  </si>
  <si>
    <t>Unter Kontrolle</t>
  </si>
  <si>
    <t>tt0409345</t>
  </si>
  <si>
    <t>Julia Ormond, Bill Pullman, Pell James</t>
  </si>
  <si>
    <t>Die FBI-Agenten Elizabeth Anderson und Sam Hallaway fahren zu einer kleinen Polizeistation im ländlichen Kanada. Es ist es entlang des einsamen Highways zu einer Serie brutaler Morde gekommen. Die örtlichen Polizisten brennen vor Ungeduld und wollen die Verfolgung der Täter aufnehmen, doch die Bundespolizei geht anders vor: Um dem Fall auf den Grund zu gehen, müssen sich Anderson und Hallaway zunächst von den Zeugen berichten lassen, was passiert ist, als sich ihre Lebenswege kreuzten. Allerdings zeigt sich, dass die Version, die sich jeder Zeuge zurecht gelegt hat, nicht ganz mit der Wahrheit übereinstimmt.</t>
  </si>
  <si>
    <t>Vengeance - Pfad der Vergeltung</t>
  </si>
  <si>
    <t>Savage Salvation</t>
  </si>
  <si>
    <t>tt13055982</t>
  </si>
  <si>
    <t>Jack Huston, Robert De Niro, John Malkovich</t>
  </si>
  <si>
    <t>Sheriff Church (Robert De Niro) versucht Ruhe und Ordnung in einer Kleinstadt zu wahren, in der die Bürger offenbar nur zwei Interessen haben: die Kirche oder Drogen. Zwei dieser Einwohner sind die frisch verlobten Shelby (Jack Huston) und Ruby (Willa Fitzgerald). Sie beschließen, clean zu werden, einen Neuanfang zu wagen und gemeinsam eine Familie zu gründen. Unterstützt werden sie dabei von Rubys Schwager Peter (John Malkovich). Doch dann findet Shelby seine geliebte Ruby tot auf der Veranda – gestorben an einer Überdosis, kurz bevor sie sich ihren seligsten Wunsch erfüllen konnte. Ruby wollte unbedingt im Fluss getauft werden, um sich so von den Sünden ihrer Vergangenheit reinwaschen zu lassen. Blind vor Zorn begibt sich der junge Mann auf einen rachsüchtigen Amoklauf, um all die zu bestrafen, die Ruby seiner Meinung nach auf dem Gewissen haben. Mit einer Nagelpistole bewaffnet, schaltet er reihenweise Junkies und Kleindealer aus,...</t>
  </si>
  <si>
    <t>Verachtung</t>
  </si>
  <si>
    <t>Inspektor Barbarotti - Verachtung</t>
  </si>
  <si>
    <t>tt1872088</t>
  </si>
  <si>
    <t>Anders W. Berthelsen, Trine Dyrholm, Andreas Maria Schwaiger</t>
  </si>
  <si>
    <t>Gunnar Barbarotti erhält einen Brief, der den Mord an einer gewissen Anna Palme androht. Diesen kann Barbarotti unglücklicherweise nicht verhindern. Als er einen zweiten anonymen Brief bekommt, wird der Kommissar vom Polizeidienst suspendiert</t>
  </si>
  <si>
    <t>Vergiftete Wahrheit</t>
  </si>
  <si>
    <t>Poisoned: The Dirty Truth About Your Food</t>
  </si>
  <si>
    <t>tt27548083</t>
  </si>
  <si>
    <t>Mindy Brashears, Ben Chapman, Pablo Dayer</t>
  </si>
  <si>
    <t>Mithilfe von Enthüllungsinterviews mit Experten und Opferfamilien nimmt diese fesselnde Doku das Problem tödlicher Nahrungsmittelvergiftungen in den USA unter die Lupe.</t>
  </si>
  <si>
    <t>Verlockende Falle</t>
  </si>
  <si>
    <t>Entrapment</t>
  </si>
  <si>
    <t>United Kingdom, Germany, United States, Malaysia</t>
  </si>
  <si>
    <t>Liebesfilm, Drama, Mystery</t>
  </si>
  <si>
    <t>tt0137494</t>
  </si>
  <si>
    <t>Catherine Zeta-Jones, Sean Connery, Will Patton, Maury Chaykin, Ving Rhames</t>
  </si>
  <si>
    <t>Robert MacDougal ist Dieb. Nicht irgendein Dieb, nein, er ist einer der größten Diebe der Welt. Leicht zu fassen ist so ein erfahrener Fuchs natürlich nicht, und so soll sich die attraktive Gin Baker im Auftrag ihrer Versicherungsgesellschaft an MacDougal heranmachen, indem sie vorgibt, eine Einbrecherin zu sein, um den charmanten Langfinger dann auf frischer Tat zu überführen. Und so stiehlt das Gaunerpärchen zunächst eine wertvolle antike Goldmaske aus einem Londoner Museum, um sich dann einem ganz großen Coup zu widmen: einem Einbruch in eine malaysische Großbank in Kuala Lumpur am Abend der Jahrtausendwende, bei dem 8 Millarden Dollar herausspringen sollen…</t>
  </si>
  <si>
    <t>Verschwunden in die Nacht</t>
  </si>
  <si>
    <t>Svaniti nella notte</t>
  </si>
  <si>
    <t>tt14034294</t>
  </si>
  <si>
    <t>Riccardo Scamarcio, Annabelle Wallis, Massimiliano Gallo, Gaia Coletti, Lorenzo Ferrante</t>
  </si>
  <si>
    <t>Als seine Kinder von ihrem abgelegenen Zuhause auf dem Land verschwinden, geht ein Vater, der mitten in einer schwierigen Scheidung steckt, auf eine gefährliche Mission.</t>
  </si>
  <si>
    <t>Verwandte Seelen</t>
  </si>
  <si>
    <t>Like Minds</t>
  </si>
  <si>
    <t>tt0425196</t>
  </si>
  <si>
    <t>Eddie Redmayne, Tom Sturridge, Toni Collette, Richard Roxburgh, Kate Maberly</t>
  </si>
  <si>
    <t>Der 17jährige Alex (E. Redmayne) wird des Mordes an seinem Mitschüler Nigel (T. Sturridge) bezichtigt. Doch der anfangs so eindeutige Fall entwickelt sich zu einem Fiasko des Bösen. Nigel schien die außergewöhnlich Fähigkeit zu besitzen, Alex mental zu steuern. Eine Fähigkeit, die auch noch nach seinem Tod zu bestehen scheint. Nigel war davon überzeugt, dass er und Alex auserwählt sind, eine uralte Bruderschaft zu reaktivieren. Eine reine Männergemeinschaft, bei der Ritualmord, Inzest und Nekromanie einst zur Tagesordnung gehörten ...</t>
  </si>
  <si>
    <t>Vor ihren Augen</t>
  </si>
  <si>
    <t>I Origins</t>
  </si>
  <si>
    <t>tt2884206</t>
  </si>
  <si>
    <t>Michael Pitt, Steven Yeun, Astrid Bergès-Frisbey</t>
  </si>
  <si>
    <t>Die Polizisten Franck (Gilles Lellouche) und Simon (Vincent Lindon) sind privat beste Freunde und feiern eines Abends ausgelassen den erfolgreichen Abschluss eines ihrer Fälle. Auf dem Nachhauseweg verursachen sie einen folgenschweren Verkehrsunfall, bei dem zwei Menschen ihr Leben verlieren. Der schwer verletzte Simon, der betrunken am Steuer saß, verliert kurz darauf seinen Job, seine Familie und muss für sechs Jahre ins Gefängnis. Franck hingegen bleibt unversehrt und kann weiter als Polizist arbeiten.  Als Simon Jahre später als gebrochener Mann aus dem Gefängnis freikommt, heuert er bei einer Sicherheitsfirma an und versucht so gut es geht für seinen mittlerweile 9-jährigen Sohn Théo da zu sein. Als dieser zufällig Zeuge eines Mordes wird und die Täter daraufhin versuchen den Jungen auszuschalten, macht Simon gemeinsam mit Franck unerbittlich Jagd auf die Gangster.</t>
  </si>
  <si>
    <t>Wanted</t>
  </si>
  <si>
    <t>United States, Germany, Russia</t>
  </si>
  <si>
    <t>tt0493464</t>
  </si>
  <si>
    <t>Angelina Jolie, James McAvoy, Morgan Freeman</t>
  </si>
  <si>
    <t>Wesley Gibson ist ein langweiliger Durchschnittstyp, der gute Gründe hat, sein Leben zu hassen: seine Chefin schikaniert ihn pausenlos und seine Freundin schläft mit seinem besten Freund. Doch dann trifft er die aufregende Fox, gerät mitten in eine Schießerei und erfährt, dass sein verschollener Vater gerade erst brutal ermordet wurde. Wes lernt die Bruderschaft kennen, einen mächtigen Geheimbund, der die Geschicke der Menschheit lenkt. Das frühere Weichei entwickelt durch Fox’ knallharte Ausbildung blitzschnelle Reflexe und übermenschliche Geschicklichkeit. Schließlich tritt Wes in die Fußstapfen seines Vaters, um Rache zu nehmen. Doch auch die Bruderschaft hat eine dunkle Seite und Wes muss entscheiden, wer eigentlich über sein Leben bestimmen soll …</t>
  </si>
  <si>
    <t>War Dogs</t>
  </si>
  <si>
    <t>United States, Romania</t>
  </si>
  <si>
    <t>Biography, Comedy, Crime</t>
  </si>
  <si>
    <t>tt2005151</t>
  </si>
  <si>
    <t>Jonah Hill, Miles Teller, Steve Lantz</t>
  </si>
  <si>
    <t>Efraim Diveroli  und David Packouz sind zwei Freunde aus Miami Beach, die gerne einen Joint durchziehen und ein entspanntes Leben in Florida führen. Da es sich mit etwas mehr Geld auf dem Konto selbstredend noch besser leben lassen würde, beschließen sie, eine wenig bekannte Initiative der US-Regierung auszunutzen, die kleine Firmen für amerikanische Rüstungsaufträge verpflichtet. Allerdings haben sie nicht damit gerechnet, einen 300-Millionen-Dollar-Auftrag an Land zu ziehen...</t>
  </si>
  <si>
    <t>The Town That Dreaded Sundown</t>
  </si>
  <si>
    <t>tt2561546</t>
  </si>
  <si>
    <t>Addison Timlin, Veronica Cartwright, Anthony Anderson</t>
  </si>
  <si>
    <t>65 Jahre sind vergangen, seitdem ein maskierter Serienkiller die Kleinstadt Texarkana terrorisiert hat. Nun scheint die grausame Mordserie jedoch von Neuem zu beginnen, wie Jami und ihr Freund Corey am eigenen Leib erfahren müssen. Im Gegensatz zu ihrem Freund kommt die High-School-Schülerin bei einem Übergriff des Killers aber vorerst mit dem Leben davon. Ist der nie gefasste Mörder tatsächlich zurückgekehrt oder handelt es sich um einen Nachahmer? Jami versucht nicht nur die anderen in der Stadt zu warnen, sondern beteiligt sich selbst an der Suche nach dem Täter. Da die Polizei unter der Leitung von Sheriff Underwood wenig erfolgreich in ihren Anstrengungen ist, stellt das traumatisierte Mädchen bald eigene Nachforschungen an. Unterstützt wird sie dabei von ihrer Großmutter und ihrem ehemaligen Klassenkameraden Nick. Währenddessen mordet der Maskierte brutal weiter...</t>
  </si>
  <si>
    <t>Was wir fürchten</t>
  </si>
  <si>
    <t>Katharina Tempel - Was wir fürchten</t>
  </si>
  <si>
    <t>tt33057751</t>
  </si>
  <si>
    <t>Franziska Hartmann, Stephan Szasz, Florian Stetter</t>
  </si>
  <si>
    <t>Emily will unbedingt Präsidentin ihrer Studentinnenverbindung werden. Um dieses Ziel zu erreichen, kauft sie bei einem Händler für exotische Tiere ein Faultier - das niedliche Wesen soll als Maskottchen dienen und ihr bei der Wahl die nötigen Stimmen einbringen. Tatsächlich wird "Alpha" zu einem Hit in den sozialen Medien und beschert seiner Besitzerin enorme Popularität. Was niemand ahnt: Das von Wilderern in Panama eingefangene Tier ist ein blutrünstiges und sehr rachsüchtiges kleines Monster.</t>
  </si>
  <si>
    <t>Watcher</t>
  </si>
  <si>
    <t>Romania, United Arab Emirates, United States</t>
  </si>
  <si>
    <t>tt12004038</t>
  </si>
  <si>
    <t>Maika Monroe, Karl Glusman, Burn Gorman</t>
  </si>
  <si>
    <t>Eine junge Frau zieht mit ihrem Verlobten in eine neue Wohnung und wird von dem Gefühl geplagt, dass sie von einem unsichtbaren Beobachter in einem Nachbargebäude verfolgt wird.</t>
  </si>
  <si>
    <t>Weiblich, ledig, jung sucht …</t>
  </si>
  <si>
    <t>Weiblich, ledig, jung sucht Koch</t>
  </si>
  <si>
    <t>tt14831144</t>
  </si>
  <si>
    <t>George Hooker, Rachel Shlomo</t>
  </si>
  <si>
    <t>Nach der Trennung von ihrem Freund Sam fühlt sich die junge Allison Jones einsam. Sie entschließt sich, ein Inserat zu schalten, um eine neue Mitbewohnerin zu finden. Hedra meldet sich und die beiden Frauen werden auf Anhieb beste Freundinnen. Als sich Allison jedoch wider Erwarten mit Sam versöhnt, zeigt sich die neue Mitbewohnerin plötzlich von einer bis dato nicht gekannten, erschreckenden Seite. Denn Hedra ist krankhaft eifersüchtig. In Allison sieht sie einen Ersatz für ihre verstorbene Zwillingsschwester, für deren Tod sie sich verantwortlich fühlt. Hedra begnügt sich nicht damit, das Aussehen von Allison durch Kleidung und Frisur anzunehmen, sie ergreift auch drastische Maßnahmen, um Allison und Sam wieder auseinanderzubringen.</t>
  </si>
  <si>
    <t>When Angels Sleep</t>
  </si>
  <si>
    <t>tt3732280</t>
  </si>
  <si>
    <t>Julián Villagrán, Marian Álvarez, Ester Expósito</t>
  </si>
  <si>
    <t>Ein Geschäftsmann schläft am Steuer ein und fährt eine junge Frau an. Sein Umgang mit der verängstigten Freundin seines Opfers zieht düstere Folgen nach sich.</t>
  </si>
  <si>
    <t>Wind River</t>
  </si>
  <si>
    <t>United Kingdom, France, United States, Canada</t>
  </si>
  <si>
    <t>tt5362988</t>
  </si>
  <si>
    <t>Elizabeth Olsen, Jeremy Renner, Graham Greene</t>
  </si>
  <si>
    <t>Cory Lambert arbeitet für den United States Fish and Wildlife Service und macht vor allem Jagd auf Kojoten und andere Raubtiere im Indianer-Reservat Wind River. Den kürzlichen Tod seiner Teenager-Tochter hat er noch nicht überwunden, da stolpert er in der Wildnis über die Leiche einer vergewaltigten und erfrorenen Jugendlichen. Um den Täter zu fassen, wird die noch sehr junge FBI-Agentin Jane Banner auf den Fall angesetzt. Weil sie sich in dem rauen Gelände und mit den schwierigen Wetterverhältnissen vor Ort allerdings nicht auskennt, bittet sie Cory um Hilfe bei ihren Ermittlungen und gemeinsam brechen sie auf ins Ungewisse.</t>
  </si>
  <si>
    <t>Windfall</t>
  </si>
  <si>
    <t>tt15033192</t>
  </si>
  <si>
    <t>Jason Segel, Lily Collins, Jesse Plemons</t>
  </si>
  <si>
    <t>Ein Mann bricht in das leere Ferienanwesen eines IT-Milliardärs ein. Doch als der arrogante Unternehmer und seine Frau unerwartet aufkreuzen, eskaliert die Lage.</t>
  </si>
  <si>
    <t>Winter Ridge - Eiskalte Jagd</t>
  </si>
  <si>
    <t>Winter Ridge</t>
  </si>
  <si>
    <t>tt5973658</t>
  </si>
  <si>
    <t>Michael McKell, Olwen Catherine Kelly, Hannah Waddingham, Jamie B. Chambers, Matt Hookings</t>
  </si>
  <si>
    <t>Für Detective Ryan Barnes könnte es aktuell nicht besser laufen: Er hat gute Aussichten, bald befördert zu werden, und heute auch noch Geburtstag. Doch als er nach seinem Dienst nach Hause kommt, wird ihm mitgeteilt, dass seine Frau in einem schweren Autounfall verwickelt war und nun im Koma liegt. Sieben Monate später ist ihr Gesundheitszustand noch immer unverändert – und Barnes kommt mit dieser Situation nach wie vor nicht zurecht. Um sich abzulenken, stürzt er sich in die Suche nach einem Serienmörder, der es vor allem auf ältere Leute abgesehen hat.</t>
  </si>
  <si>
    <t>Wolfs</t>
  </si>
  <si>
    <t>tt14257582</t>
  </si>
  <si>
    <t>George Clooney, Brad Pitt, Amy Ryan</t>
  </si>
  <si>
    <t>Die Wege zweier rivalisierender "Ausputzer" kreuzen sich, als sie dabei helfen sollen, den Fehltritt einer prominenten New Yorker Staatsanwältin zu vertuschen. In einer explosiven Nacht müssen sie ihre kleinlichen Streitigkeiten - und ihre Egos - beiseite lassen, um den Job zu erledigen.</t>
  </si>
  <si>
    <t>Wrongful Death</t>
  </si>
  <si>
    <t>United States, Croatia</t>
  </si>
  <si>
    <t>tt21392906</t>
  </si>
  <si>
    <t>Isabella Brenza, Michael Paré, Alexander Man</t>
  </si>
  <si>
    <t>Der selbstverliebte Journalist Jake Mills und die auch sonst sehr reizbare und permanent schlechtgelaunte Sophia McElroy kommen nach einer unbestimmten Zeit der Bewusstlosigkeit gemeinsam in einem abgeschlossenen Raum zu sich. Die beiden kennen sich nicht, haben keinerlei Erinnerung, wie sie hierhergelangt sein könnten und was das Ganze überhaupt soll. Dann kommt plötzlich ein mit einer altmodischen Gasmaske und einem schwarzen Schutz-Overall bizarr maskierter und dazu bewaffneter Mann hereingestürmt und beginnt, das Duo physisch sowie psychisch zu foltern. Im Rahmen seines sadistischen Spiels verlangt der Unbekannte, dass sie ihre Sünden beichten sollen – nur so könnten sie ihr Leben retten. Doch was genau möchte der Kerl von ihnen hören? Was hat er davon? Und wird er sie wirklich freilassen, wenn sie ihm geben, was er will?</t>
  </si>
  <si>
    <t>Zodiac – Die Spur des Killers</t>
  </si>
  <si>
    <t>Zodiac</t>
  </si>
  <si>
    <t>tt0443706</t>
  </si>
  <si>
    <t>Jake Gyllenhaal, Mark Ruffalo, Anthony Edwards, Robert Downey Jr., Chloë Sevigny</t>
  </si>
  <si>
    <t>In der sonnigen Bay Area San Franciscos beginnt 1968 eine grausame Mordserie. Der unbekannte Killer lauert verliebten Pärchen auf und bringt sie um. Anschließend führt er Polizei und Presse mit kryptischen Briefen, in denen er sich Zodiac nennt und seiner Untaten brüstet, an der Nase herum. Zeitungsreporter und Fahnder aus vier Distrikten suchen nach dem Mörder. Als ein Teenager seine Attacken überlebt und ihn als weiß Maskierten beschreibt, bricht Panik in der Stadt aus. Der unlösbare Fall wird bald zur Obsession für die vier Detectives.</t>
  </si>
  <si>
    <t>Zwielicht</t>
  </si>
  <si>
    <t>tt0117381</t>
  </si>
  <si>
    <t>Richard Gere, Laura Linney, Edward Norton</t>
  </si>
  <si>
    <t>Der Erzbischof von Chicago wird ermordet aufgefunden. Hauptverdächtiger ist dessen 19-jähriger Ministrant Aaron Stampler. Den spektakulären Fall übernimmt Star-Verteidiger Martin Vail, der sich sofort medienwirksam als Einzelkämpfer gegen die Macht der Vorverurteilung in Szene setzt. Anfangs weniger am Schicksal des Häftlings, sondern nur an seiner eigenen Karriere interessiert, gerät Vail dann aber zusehends in den Bann des charismatischen Angeklagten.</t>
  </si>
  <si>
    <t>Ordeal in the Arctic</t>
  </si>
  <si>
    <t>Canada, US</t>
  </si>
  <si>
    <t>tt0107754</t>
  </si>
  <si>
    <t>Richard Chamberlain; Catherine Mary Stewart; Melanie Mayron</t>
  </si>
  <si>
    <t>An einem Tag am Nil</t>
  </si>
  <si>
    <t>AL-NAS FIL-NIL</t>
  </si>
  <si>
    <t>ÄG,UD</t>
  </si>
  <si>
    <t>André und Ursula</t>
  </si>
  <si>
    <t>BRD</t>
  </si>
  <si>
    <t>tt0047828</t>
  </si>
  <si>
    <t>Ivan Desny; Elisabeth Müller; Walter Clemens</t>
  </si>
  <si>
    <t>Bands of Gold - The CDVideo Rock Sampler</t>
  </si>
  <si>
    <t>Barbarische Hochzeit</t>
  </si>
  <si>
    <t>Les Noces barbares</t>
  </si>
  <si>
    <t>Thierry Frémont, Marianne Basler, Yves Cotton, Marie-Ange Dutheil, André Penvern</t>
  </si>
  <si>
    <t>Ludo ist das Kind einer brutalen Vergewaltigung. Seine Mutter Nicole wurde im Alter von dreizehn Jahren von drei amerikanischen Soldaten vergewaltigt. Sie ist seitdem traumatisiert und hat ein extrem gebrochenes Verhältnis zu Männern. Sie beginnt zu trinken und schiebt ihren Sohn in ein Heim ab. Doch Ludo hört nie auf, von seiner Mutter zu träumen.</t>
  </si>
  <si>
    <t>Dominican Republic</t>
  </si>
  <si>
    <t>Boleks und Loleks große Reise</t>
  </si>
  <si>
    <t>Around the World with Bolek and Lolek</t>
  </si>
  <si>
    <t>tt0076922</t>
  </si>
  <si>
    <t>Ewa Zlotowska; Danuta Mancewicz; Jan Kociniak</t>
  </si>
  <si>
    <t>Ein Wettbewerb wird ausgeschrieben. Es geht um 20.000 Pfund in Gold und die Frage, wer es schafft in 80 Tagen die Erde zu umrunden. Natürlich nehmen die beiden kleinen Abenteurer Lolek und Bolek aus Polen teil und begeben sich mit allerlei Transportmitteln auf den Weg. Ein witziges Abenteuer mit erhöhtem Schwierigkeitsgrad beginnt, denn die beiden haben einen Gegenspieler, den finsteren Burschen Jeremias.</t>
  </si>
  <si>
    <t>Bryan Ferry and Roxy Music: A Musical History</t>
  </si>
  <si>
    <t>tt21982930</t>
  </si>
  <si>
    <t>Bryan Ferry, Shaun Ryder, Gillian Gilbert, Stephen Morris, Gaz Coombes</t>
  </si>
  <si>
    <t>Dokumentation aus der BBC-Reihe A Musical History über die Musikgruppe Roxy Music.</t>
  </si>
  <si>
    <t>Chandar, der schwarze Leopard</t>
  </si>
  <si>
    <t>Chandar, the Black Leopard of Ceylon</t>
  </si>
  <si>
    <t>tt0068355</t>
  </si>
  <si>
    <t>Ben Wright; Joe Abeywickrama; Esrom Jayasinghe</t>
  </si>
  <si>
    <t>Cordula</t>
  </si>
  <si>
    <t>tt0042345</t>
  </si>
  <si>
    <t>Paula Wessely; Attila Hörbiger; Jane Tilden</t>
  </si>
  <si>
    <t>Van de Velde: Das Leben zu zweit - Sexualität in der Ehe</t>
  </si>
  <si>
    <t>tt0065169</t>
  </si>
  <si>
    <t>Karl-Heinz Bauer; Barbara Scott; Hans Hass Jr.</t>
  </si>
  <si>
    <t>Harry's Game</t>
  </si>
  <si>
    <t>tt0084053</t>
  </si>
  <si>
    <t>Ray Lonnen; Benjamin Whitrow; Nicholas Day</t>
  </si>
  <si>
    <t>Die beiden jungen Männer Robert und Mark sind begeisterte Fans der Fernsehserie “Raumschiff Enterprise”, insbesondere von Captain Kirk alias William Shatner. Daher gibt es für sie nichts größeres, als ihr Idol eines Tages persönlich zu treffen. Als dieser Wunsch aber eines Tages wirklich zur Realität wird, müssen sie feststellen, daß er ganz anders, als sie ihn sich vorgestellt haben. Er ist nicht der große Held, wie in der Serie, sondern ein seltsamer Typ, der jeden von seiner Idee eines oskuren Musicals überzeugen will.</t>
  </si>
  <si>
    <t>Der Cornet - Die Weise von Liebe und Tod</t>
  </si>
  <si>
    <t>Der Cornet</t>
  </si>
  <si>
    <t>History, Romance, War</t>
  </si>
  <si>
    <t>tt0047952</t>
  </si>
  <si>
    <t>Götz von Langheim; Anita Björk; Wolfgang Preiss</t>
  </si>
  <si>
    <t>Der Pirat</t>
  </si>
  <si>
    <t>D, Austria, Switzerland</t>
  </si>
  <si>
    <t>tt0141732</t>
  </si>
  <si>
    <t>Jürgen Vogel; Christiane Paul; Laura Tonke</t>
  </si>
  <si>
    <t>Hamburg, Ende der 60er Jahre: Der Gelegenheitskiffer Jan, auch “der Pirat” genannt, macht in der heimischen Rauschgiftszene Drogenkarriere. Schnell wird er zum “Haschprinzen von Hamburg”. Doch als er mit Heroin zu dealen beginnt, zieht er auch seinen Bruder Ludwig in seine dunklen Geschäfte…</t>
  </si>
  <si>
    <t>The Conspirators</t>
  </si>
  <si>
    <t>tt0036719</t>
  </si>
  <si>
    <t>Hedy Lamarr; Paul Henreid; Sydney Greenstreet</t>
  </si>
  <si>
    <t>Im Jahre 1944 kommt der niederländische Widerstandskämpfer Vincent Van der Lyn nach Lissabon und findet Anschluss an eine Gruppe von Gesinnungsgefährten, die dort gegen die Nazis tätig sind. Er verliebt sich in die attraktive Irene von Mohr, weiß jedoch nicht, ob er ihr trauen darf. Als einer der Männer ermordet wird, gerät Van der Lyn in falschen Verdacht...</t>
  </si>
  <si>
    <t>A Walk in the Spring Rain</t>
  </si>
  <si>
    <t>tt0066542</t>
  </si>
  <si>
    <t>Ingrid Bergman; Anthony Quinn; Fritz Weaver</t>
  </si>
  <si>
    <t>Die Eroberung der Zitadelle</t>
  </si>
  <si>
    <t>András Fricsay Kali Son; Antonia Reininghaus; Armando Brancia</t>
  </si>
  <si>
    <t>Trick or Treat</t>
  </si>
  <si>
    <t>Animation, Short, Comedy</t>
  </si>
  <si>
    <t>tt0045261</t>
  </si>
  <si>
    <t>Ken Darby; June Foray; James MacDonald</t>
  </si>
  <si>
    <t>Als die Neffen in ihren Halloween-Kostümen zu Donalds Haus kommen, übergießt er sie mit Wasser und lacht über seinen Streich. Die Hexe Hazel sieht das und beschließt, den Kindern zu helfen. Mithilfe ihrer Magie ärgert sie Donald und die Kinder bekommen endlich ihre Süßigkeiten.</t>
  </si>
  <si>
    <t>Drei Männer im Schnee</t>
  </si>
  <si>
    <t>tt0048014</t>
  </si>
  <si>
    <t>Paul Dahlke; Günther Lüders; Claus Biederstaedt</t>
  </si>
  <si>
    <t>Der Multimillionär Eduard Schlüter nimmt unter dem Namen Schulze an einem Gewinnspiel seiner eigenen Schlüter-Werke teil und gewinnt einen Aufenthalt im Grand Hotel. Als armer Schlucker verkleidet möchte er die Reaktionen des Hotelpersonals und der Gäste studieren. Als Helfer nimmt er seinen zuverlässigen Diener Johann mit. Dort angekommen, schließt er Freundschaften und hat auch Grund zum Ärger, als seine Tochter und die Hausdame anreisen.</t>
  </si>
  <si>
    <t>You Are the World for Me</t>
  </si>
  <si>
    <t>Du bist die Welt für mich</t>
  </si>
  <si>
    <t>tt0139165</t>
  </si>
  <si>
    <t>Rudolf Schock; Annemarie Düringer; Richard Romanowsky</t>
  </si>
  <si>
    <t>Étoile sans lumière</t>
  </si>
  <si>
    <t>Drama, Music</t>
  </si>
  <si>
    <t>tt0039118</t>
  </si>
  <si>
    <t>Édith Piaf; Marcel Herrand; Jules Berry</t>
  </si>
  <si>
    <t>Edith and Marcel</t>
  </si>
  <si>
    <t>Evelyne Bouix; Jacques Villeret; Francis Huster</t>
  </si>
  <si>
    <t>Ein fast anständiges Mädchen</t>
  </si>
  <si>
    <t>D,SPA</t>
  </si>
  <si>
    <t>tt0057054</t>
  </si>
  <si>
    <t>Liselotte Pulver; Alberto de Mendoza; Martin Held</t>
  </si>
  <si>
    <t>Lili Steiner ist Sekretärin und Generaldirektor Steckler ist ihr Chef. Er nimmt Lili auf eine Geschäftsreise nach Spanien mit, weil sie die Landessprache beherrscht. In Madrid lernt sie einige erfolglose Herren kennen, die alle ihre Probleme haben: den Fotografen José, den Krawattenverkäufer Manuelo, den Café-Betreiber Rodriguez, den Schuhputzer Pepe, den Taxichauffeur Alvarez. Im neuen Lederrock macht sie ungewollt den praktisch mittellosen Fernsehmoderator Carlos auf sich aufmerksam.</t>
  </si>
  <si>
    <t>Ein idealer Gatte</t>
  </si>
  <si>
    <t>tt0283397</t>
  </si>
  <si>
    <t>Alexander Kerst; Anaid Iplicjian; Karlheinz Böhm</t>
  </si>
  <si>
    <t>Deutsche TV-Komödie</t>
  </si>
  <si>
    <t>Laura Lansing Slept Here</t>
  </si>
  <si>
    <t>tt0095502</t>
  </si>
  <si>
    <t>Katharine Hepburn; Karen Austin; Brenda Forbes</t>
  </si>
  <si>
    <t>Auf Grund einer Wette versucht eine extravagante Schriftstellerin, eine Woche bei einer ganz normalen Familie zu leben. Natürlich gewinnt sie und übernimmt den zunächst ungewohnten Lebensstil.</t>
  </si>
  <si>
    <t>Eine Frau fürs ganze Leben</t>
  </si>
  <si>
    <t>Comedy, Musical</t>
  </si>
  <si>
    <t>tt0053836</t>
  </si>
  <si>
    <t>Ruth Leuwerik; Klausjürgen Wussow; Harry Meyen</t>
  </si>
  <si>
    <t>Lady Killer</t>
  </si>
  <si>
    <t>Gueule d'amour</t>
  </si>
  <si>
    <t>France, D</t>
  </si>
  <si>
    <t>tt0028966</t>
  </si>
  <si>
    <t>Jean Gabin; Mireille Balin; Pierre Etchepare</t>
  </si>
  <si>
    <t>Einem französischen Korporal hängt der zweifelhafte Ruf eines Schürzenjägers an. Eine schöne Frau aus der feinen Gesellschaft wird ihm zum Verhängnis. Ihretwegen verlässt er die Armee. Und ohne Uniform ist er plötzlich gar nicht mehr so interessant...</t>
  </si>
  <si>
    <t>Einst kommt der Tag</t>
  </si>
  <si>
    <t>On a Clear Day You Can See Forever</t>
  </si>
  <si>
    <t>Comedy, Drama, Fantasy</t>
  </si>
  <si>
    <t>tt0066181</t>
  </si>
  <si>
    <t>Barbra Streisand; Yves Montand; Bob Newhart</t>
  </si>
  <si>
    <t>Weil sie vom Rauchen wegkommen will, läßt sich eine junge Frau von einem Psychologie-Professor in Hypnose versetzen. Die Details über ihr vergangenes wie zukünftiges Leben, die sie in diesem Zustand erzählt, lassen den Wissenschaftler allmählich an Seelenwanderung und Wiedergeburt glauben.</t>
  </si>
  <si>
    <t>Eloise im Plaza Hotel</t>
  </si>
  <si>
    <t>Eloise at the Plaza</t>
  </si>
  <si>
    <t>tt0346932</t>
  </si>
  <si>
    <t>Julie Andrews; Jeffrey Tambor; Kenneth Welsh</t>
  </si>
  <si>
    <t>Eloise ist ein sechsjähriges Mädchen, das viel Zeit im Plaza Hotel verbringen muss, weil ihre viel beschäftigte Mama ständig auf Reisen ist. Die Kleine macht das Beste daraus – natürlich nicht ohne ihre geliebte Nanny, die immer an ihrer Seite ist. Auch Weihnachten verbringt Eloise im Plaza, und sie feiert es auf ihre eigene, unnachahmliche Art...</t>
  </si>
  <si>
    <t>Eloise-Weihnachten im Plaza-Hotel</t>
  </si>
  <si>
    <t>Eloise at Christmastime</t>
  </si>
  <si>
    <t>tt0353393</t>
  </si>
  <si>
    <t>Julie Andrews; Sofia Vassilieva; Kenneth Welsh</t>
  </si>
  <si>
    <t>Es geht um mein Leben</t>
  </si>
  <si>
    <t>tt0027580</t>
  </si>
  <si>
    <t>Karl Ludwig Diehl; Kitty Jantzen; Theo Lingen</t>
  </si>
  <si>
    <t>Ferien vom Ich</t>
  </si>
  <si>
    <t>tt0057057</t>
  </si>
  <si>
    <t>Geneviève Cluny; Walther Reyer; Monika Dahlberg</t>
  </si>
  <si>
    <t>Schiffsarzt Dr. Schumacher träumt von einem Sanatorium, in dem man wirklich Abstand von allen seinen Verpflichtungen gewinnen kann. Bei der Verwirklichung seines Traumes spielt das Schicksal mit...</t>
  </si>
  <si>
    <t>Formel 1 1984 - Grundig VCR</t>
  </si>
  <si>
    <t>Für Gesetz und Ordnung</t>
  </si>
  <si>
    <t>Law and Order</t>
  </si>
  <si>
    <t>tt0074779</t>
  </si>
  <si>
    <t>Darren McGavin; Keir Dullea; Robert Reed</t>
  </si>
  <si>
    <t>Ein legendärer Ordnungshüter, der seinen Beruf aufgeben will, wird durch eine skrupellose Bande und korrupte Gesetzesvertreter noch einmal zum Eingreifen gezwungen und bricht den Terror. Ungewöhnlicher Western aus den 30er Jahren, differenziert in Charakterzeichnung und Darstellung, spannend inszeniert.</t>
  </si>
  <si>
    <t>Gleisdreick</t>
  </si>
  <si>
    <t>Gleisdreieck</t>
  </si>
  <si>
    <t>tt0027681</t>
  </si>
  <si>
    <t>Gustav Fröhlich; Heli Finkenzeller; Paul Hoffmann</t>
  </si>
  <si>
    <t>Grieche sucht Griechin</t>
  </si>
  <si>
    <t>tt0060478</t>
  </si>
  <si>
    <t>Heinz Rühmann; Irina Demick; Charles Regnier</t>
  </si>
  <si>
    <t>Archilocho fristet sein Dasein als Buchhalter. Des Alleinseins müde, gibt der Sohn griechischer Eltern eine Heiratsanzeige "Grieche sucht Griechin" auf. Groß ist sein Erstaunen, als sich die flotte Chloé meldet und ihn tatsächlich ehelichen will. In der Folge geschehen mysteriöse Dinge. Archilochos wird befördert und mit Ämtern und Würden überhäuft. Des Rätsels Lösung: Chloé ist eine stadtbekannte Liebesdienerin</t>
  </si>
  <si>
    <t>Hammersmith ist raus</t>
  </si>
  <si>
    <t>Hammersmith Is Out</t>
  </si>
  <si>
    <t>tt0068674</t>
  </si>
  <si>
    <t>Elizabeth Taylor; Richard Burton; Peter Ustinov</t>
  </si>
  <si>
    <t>Carin Abicht; Ulrich Anschütz; Uwe Baumgart</t>
  </si>
  <si>
    <t>Hawkins Der Strafverteidiger</t>
  </si>
  <si>
    <t>Hawkins</t>
  </si>
  <si>
    <t>1973–1974</t>
  </si>
  <si>
    <t>tt0069589</t>
  </si>
  <si>
    <t>James Stewart; Strother Martin; Mayf Nutter</t>
  </si>
  <si>
    <t>Nach der Beerdigung ihres verhaßten Stiefvaters macht sich die 16jährige Dedee von ihrem Heimatdorf in Louisiana zu ihrem schwulen Halbbruder Bill auf, der in Indiana lebt. Kaum bei diesem eingezogen, verwandelt sie dessen ruhiges Leben ins totale Chaos - der lebenserfahrene Teen stiehlt Geld, streitet sich mit Bills Freundin Lucia, verführt dessen Liebhaber Matt und läßt sich schwängern. Kein Wunder, daß alsbald ein Skandal droht, der den guten Ruf des beliebten High-School-Lehrers endgültig zerstören könnte...</t>
  </si>
  <si>
    <t>Sidney Poitier; Judy Geeson; Christian Roberts</t>
  </si>
  <si>
    <t>Hetzjagd</t>
  </si>
  <si>
    <t>tt1685535</t>
  </si>
  <si>
    <t>Sigfrit Steiner; Paul Bühlmann; Sylvia Lydi; Eduard Huber</t>
  </si>
  <si>
    <t>Um endlich seinen Sohn wiederzusehen, hat der Mexikaner Moses eine riskante Reise angetreten. Er hat zwei Führer bezahlt, die ihn als Teil einer Gruppe von Gleichgesinnten durch die Wüste führen und illegal den Weg in das Land der unbegrenzten Möglichkeiten weisen sollen. Doch als der Lastwagen mitten in der Wüste streikt, müssen die Leute den Rest des Weges in die USA zu Fuß zurücklegen. Aber kaum, dass sie die Grenze überschritten und US-amerikanischen Boden betreten haben, kreuzt Sam ihren Weg. Mit seinem Hund an seiner Seite und seinem Gewehr bewaffnet hat der gnadenlose Südstaatler die Grenzpatrouille in die eigene Hand genommen und will den Immigranten eine Lektion erteilen. Haben die Mexikaner gegen den ehemaligen Soldaten, der nicht einmal vor Mord zurückschreckt, überhaupt eine reelle Chance?</t>
  </si>
  <si>
    <t>Ich Will, Ich Will... Vielleicht</t>
  </si>
  <si>
    <t>I Will, I Will...For Now</t>
  </si>
  <si>
    <t>tt0074659</t>
  </si>
  <si>
    <t>Elliott Gould; Diane Keaton; Paul Sorvino</t>
  </si>
  <si>
    <t>Die Eheleute Katie  und Les leben seit zwei Jahren getrennt. Sie treffen sich zufällig wieder und wagen einen zweiten Versuch. Um diesmal ganz auf Nummer sicher zu gehen, unterzeichnen sie bei Anwalt Springer einen Ehevertrag und besuchen furchtlos eine "Beziehungsklinik</t>
  </si>
  <si>
    <t>Jane Eyre</t>
  </si>
  <si>
    <t>tt1229822</t>
  </si>
  <si>
    <t>Mia Wasikowska; Michael Fassbender; Jamie Bell</t>
  </si>
  <si>
    <t>Nach einer entbehrungsreichen Jugend im Waisenhaus tritt die 18-jährige Jane Eyre eine Stelle als Gouvernante auf dem entlegenen Landsitz Thornfield Hall an. Mr. Rochester, Herr des Hauses, ist ein knorriger und verschlossener Mann. Dennoch entbrennt Jane langsam aber sicher in stürmischer Liebe zu ihm. Er aber scheint zu ihrem großen Unglück eine andere zu bevorzugen. Außerdem gehen auf dem einsamen Anwesen in der wilden Moorlandschaft unheimliche und beängstigende Dinge vor sich, die dunkle Geheimnisse aus der Vergangenheit erahnen lassen …</t>
  </si>
  <si>
    <t>Jeder zahlt für seine Schuld</t>
  </si>
  <si>
    <t>The Bramble Bush</t>
  </si>
  <si>
    <t>tt0053673</t>
  </si>
  <si>
    <t>Richard Burton; Barbara Rush; Jack Carson</t>
  </si>
  <si>
    <t>Karren zum Schafott</t>
  </si>
  <si>
    <t>A Tale of Two Cities</t>
  </si>
  <si>
    <t>Drama, History, Romance</t>
  </si>
  <si>
    <t>tt0052270</t>
  </si>
  <si>
    <t>Dirk Bogarde; Dorothy Tutin; Cecil Parker</t>
  </si>
  <si>
    <t>Ein englischer Anwaltsgehilfe verliebt sich in eine junge Frau die durch ihren Vater und ihren Mann in die Wirren der Französischen Revolution gerät. Der Ehemann wird in Paris zum Tode verurteilt, doch der Anwaltsgehilfe lässt sich gegen ihn austauschen, um die Liebenden zu retten.</t>
  </si>
  <si>
    <t>Kinder von Hiroshima ODVD</t>
  </si>
  <si>
    <t>原爆の子</t>
  </si>
  <si>
    <t>Drama, War</t>
  </si>
  <si>
    <t>tt0044497</t>
  </si>
  <si>
    <t>Nobuko Otowa; Osamu Takizawa; Masao Shimizu</t>
  </si>
  <si>
    <t>Sechs Jahre nach dem Abwurf der Atombombe auf Hiroshima besucht die Lehrerin Takako ihre ehemalige Heimatstadt. Sie will alte Freunde und Bekannte besuchen, und mit eigenen Augen sehen, was aus der Stadt geworden ist. Nach und nach trifft sie verschiedene Menschen von damals, und ist erschüttert, wie das Leben ihnen gesundheitlich und gesellschaftlich mitgespielt hat.</t>
  </si>
  <si>
    <t>Lucky Luciano</t>
  </si>
  <si>
    <t>Italy, France, US</t>
  </si>
  <si>
    <t>tt0071782</t>
  </si>
  <si>
    <t>Gian Maria Volontè; Vincent Gardenia; Silverio Blasi</t>
  </si>
  <si>
    <t>Nach neunjähriger Haft wird der New Yorker Mafia-Boss Lucky Luciano 1946 vorzeitig entlassen und in seine italienische Heimat abgeschoben. In Neapel führt er ein offenbar ruhiges und unbescholtenes Leben. Bald jedoch kommt der Verdacht auf, dass Luciano inzwischen ein neues Gangstersyndikat mit florierendem Drogenhandel aufgebaut hat. Der Chef der US-Rauschgiftbehörde, Charles Siragusa (der sich selbst spielt), ist von Lucianos Schuld überzeugt und zwingt Luckys Verbindungsmann Gene, als Spitzel für ihn zu arbeiten. Doch bevor der offiziell gegen Luciano aussagen kann, wird er erschossen. Jahrelang kann weder die amerikanische noch die italienische Justiz Luciano etwas nachweisen; erst als sich der Verdacht erhärtet, dass er Heroin über Spanien nach Italien einzuschmuggelt, wird er verhaftet. Doch damit ist der Kampf noch nicht gewonnen...</t>
  </si>
  <si>
    <t>Madeleine</t>
  </si>
  <si>
    <t>tt0042700</t>
  </si>
  <si>
    <t>Ann Todd; Norman Wooland; Ivan Desny</t>
  </si>
  <si>
    <t>Eine Nacherzählung des tatsächlich stattgefundenen Prozesses von 1857: die junge Madeleine Smith  zieht mit ihrer Familie in die schottische Stadt Glasgow, wo sie sich über eine längere Zeit regelmäßig - und ohne Wissen der Eltern -mit ihrem Liebhaber Emile L'Angelier trifft. Sie verlobt sich sogar heimlich mit ihm, doch als er sie bedrängt, ihr Verhältnis ihrem Vater zu eröffnen, weigert sie sich aus Angst vor ihren Eltern. Die Möglichkeit, mit ihr durchzubrennen, schlägt er aus, also beendet sie die Affäre und verlangt die Liebesbriefe zurück, die sie ihm geschrieben hat. Inzwischen haben ihre Eltern einen potentiellen Ehemann für sie ausgesucht, den wohlhabenden William Minnoch. Als Mary das Angebot annehmen will, greift L'Angelier zu Erpressung...</t>
  </si>
  <si>
    <t>Männer im gefährlichen Alter</t>
  </si>
  <si>
    <t>tt0046112</t>
  </si>
  <si>
    <t>Hans Söhnker; Liselotte Pulver; Annie Rosar</t>
  </si>
  <si>
    <t>eine deutsche Filmkomödie</t>
  </si>
  <si>
    <t>München Mord - Was vom Leben übrig bleibt</t>
  </si>
  <si>
    <t>tt11920358</t>
  </si>
  <si>
    <t>Bernadette Heerwagen; Marcus Mittermeier; Alexander Held; Christoph Süß</t>
  </si>
  <si>
    <t>Mord mit doppeltem Boden</t>
  </si>
  <si>
    <t>Murder with Mirrors</t>
  </si>
  <si>
    <t>Crime, Mystery, Romance</t>
  </si>
  <si>
    <t>tt0089640</t>
  </si>
  <si>
    <t>Helen Hayes; Bette Davis; John Mills</t>
  </si>
  <si>
    <t>Gilbranson, Rechtsanwalt von Miss Marple, überzeugt sie einmal das Haus seiner Stiefmutter Carrie Louis zu besuchen. Ihr Mann hatte das Herrenhaus in ein Haus für Ex-Strafgefangene junge Männer verwandelt und er vermutet dass jemand seine Stiefmutter langsam mit Arsen vergiftet.</t>
  </si>
  <si>
    <t>Nacht der Erfüllung</t>
  </si>
  <si>
    <t>Le Jour et l'heure</t>
  </si>
  <si>
    <t>Action, Drama, Romance</t>
  </si>
  <si>
    <t>tt0056126</t>
  </si>
  <si>
    <t>Simone Signoret; Stuart Whitman; Geneviève Page</t>
  </si>
  <si>
    <t>Auf die harte Tour lernt die Französin Thérèse, dass man 1944 im von den Nationalsozialisten besetzten Frankreich politisch Stellung beziehen muss. Für ihre Ignoranz und Undankbarkeit fängt sie sich eine Ohrfeige von einem Beamten ein. Durch eine Mitfahrgelegenheit nach Paris kommt der Stein ins Rollen: Thérèse trifft auf alliierte Piloten, die von den Deutschen gesucht werden, und wird unverhofft zur Fluchthelferin. (Text: arte)</t>
  </si>
  <si>
    <t>Phil Collins: In the Air Tonight</t>
  </si>
  <si>
    <t>Short, Music, Mystery</t>
  </si>
  <si>
    <t>tt6666816</t>
  </si>
  <si>
    <t>Phil Collins</t>
  </si>
  <si>
    <t>Rashomon</t>
  </si>
  <si>
    <t>羅生門</t>
  </si>
  <si>
    <t>tt0042876</t>
  </si>
  <si>
    <t>Toshirô Mifune; Machiko Kyô; Masayuki Mori</t>
  </si>
  <si>
    <t>Drei Menschen suchen vor einem Wolkenbruch in einer Tempelruine Schutz: ein Zen-Priester, ein Holzfäller und ein Knecht. Ihr Gespräch kreist um ein grausiges Verbrechen: Ein berüchtigter Bandit überfiel ein Ehepaar, tat der Frau vor den Augen des gefesselten Mannes Gewalt an und tötete ihn dann.</t>
  </si>
  <si>
    <t>Rummelplatz der Liebe</t>
  </si>
  <si>
    <t>D,US</t>
  </si>
  <si>
    <t>tt0046257</t>
  </si>
  <si>
    <t>Eva Bartok; Curd Jürgens; Bernhard Wicki</t>
  </si>
  <si>
    <t>Lilli ist pleite und fängt an einem Zirkus an</t>
  </si>
  <si>
    <t>Spaß beiseite - Herbert kommt!</t>
  </si>
  <si>
    <t>1979–</t>
  </si>
  <si>
    <t>tt0383149</t>
  </si>
  <si>
    <t>Herbert Mensching; Inge Meysel; Helga Feddersen</t>
  </si>
  <si>
    <t>Träumerei</t>
  </si>
  <si>
    <t>Biography, Drama, Musical</t>
  </si>
  <si>
    <t>tt0037401</t>
  </si>
  <si>
    <t>Hilde Krahl; Mathias Wieman; Friedrich Kayßler</t>
  </si>
  <si>
    <t>Träumerei ist eine 1943 gedrehte deutsche Musiker-Filmbiografie von Harald Braun</t>
  </si>
  <si>
    <t>Treffpunkt London Airport</t>
  </si>
  <si>
    <t>Perfect Friday</t>
  </si>
  <si>
    <t>tt0066212</t>
  </si>
  <si>
    <t>Ursula Andress; Stanley Baker; David Warner</t>
  </si>
  <si>
    <t>Mr. Graham, ein Bankdirektor, beneidet seine reichen Kunden um ihr Vermögen. Bei einem Termin lernt er Lady Britt Dorset kennen, die mit ihrem Ehemann Nick völlig über ihre Verhältnisse lebt und dringend Geld braucht. Zusammen tüfteln die drei einen Plan aus, um die Bank von Mr. Graham um 300.000 Pfund zu erleichtern - und jeder von ihnen ist sich sicher, die anderen in der Hand zu haben ...</t>
  </si>
  <si>
    <t>Unter den tausend Laternen</t>
  </si>
  <si>
    <t>BRD, France</t>
  </si>
  <si>
    <t>tt0136549</t>
  </si>
  <si>
    <t>Michel Auclair; Gisela Trowe; Hanna Rucker</t>
  </si>
  <si>
    <t>Der Komponist Fred Apel wird ermordet. Elisa, eine junge Sängerin, die ihm liebte, befürchtet nun, dass seine letzte Komposition unvollendet bleibt. Zum Glück taucht jedoch der junge ausländische Instrumentator Michael auf und kann, nachdem er zunächst unter Mordverdacht gerät, die Komposition zu Ende führen. Darüber hinaus entpuppt er sich als wahrer Komponist aller Melodien Apels und gewinnt schliesslich auch die Gunst Elisas...</t>
  </si>
  <si>
    <t>Heinz Hoenig; Christine Reinhart; Ruth Friemel</t>
  </si>
  <si>
    <t>Wedding Hangover</t>
  </si>
  <si>
    <t>Staggered</t>
  </si>
  <si>
    <t>tt0111275</t>
  </si>
  <si>
    <t>Martin Clunes; Michael Praed; Michèle Winstanley</t>
  </si>
  <si>
    <t>Weiße Hölle</t>
  </si>
  <si>
    <t>High Ice</t>
  </si>
  <si>
    <t>tt0080869</t>
  </si>
  <si>
    <t>David Janssen; Tony Musante; Madge Sinclair</t>
  </si>
  <si>
    <t>Beim Versuch einer schwierigen Gipfelbesteigung in den nordamerikanischen Kordilleren gerät eine Gruppe unerfahrener Bergsteiger in eine ausweglose Situation. Unter dramatischen Umständen wird eine Rettungsaktion per Hubschrauber gestartet, bei der sich ein erfahrener Bergführer selbst opfert. Spannungsgeladener Abenteuerfilm, der psychologisch den konventionellen Mustern des Katastrophenfilms verhaftet ist, jedoch durch atemberaubende Stunts vor beeindruckender Naturkulisse fesselt.</t>
  </si>
  <si>
    <t>Comedy, History</t>
  </si>
  <si>
    <t>Leonard Whiting; Curd Jürgens; Marianne Comtell</t>
  </si>
  <si>
    <t>Dick Van Dyke; Edward G. Robinson; Dorothy Provine</t>
  </si>
  <si>
    <t>Wild ist der Wind</t>
  </si>
  <si>
    <t>Wild Is the Wind</t>
  </si>
  <si>
    <t>tt0051193</t>
  </si>
  <si>
    <t>Anthony Quinn; Anna Magnani; Anthony Franciosa</t>
  </si>
  <si>
    <t>2 Väter unterm Weihnachtsbaum</t>
  </si>
  <si>
    <t>Holiday Affair</t>
  </si>
  <si>
    <t>Komödie, Liebesfilm, TV-Film</t>
  </si>
  <si>
    <t>tt0116544</t>
  </si>
  <si>
    <t>David James Elliott, Cynthia Gibb, Curtis Blanck, Al Waxman, Tom Irwin</t>
  </si>
  <si>
    <t>Die verwitwete Jodie will ihren Freund Paul heiraten. Da lernt sie inmitten des Weihnachtsrummels Steve kennen. Schon bald ist Jodie hin- und hergerissen. Nicht so ihr Sohn Tim. Der Kleine ist sich sicher: Steve wäre der bessere Vater für ihn. Die verwitwete Jodie will ihren Freund Paul heiraten. Da lernt sie inmitten des Weihnachtsrummels Spielzeugverkäufer Steve kennen. Schon bald ist Jodie hin- und hergerissen. Nicht so ihr Sohn Tim. Der Kleine ist sich sicher: Steve wäre der bessere Vater für ihn...</t>
  </si>
  <si>
    <t>A Christmas Story Christmas Leise rieselt der Stress</t>
  </si>
  <si>
    <t>A Christmas Story Christmas</t>
  </si>
  <si>
    <t>Komödie, Familie, Drama, Fantasy</t>
  </si>
  <si>
    <t>tt17220704</t>
  </si>
  <si>
    <t>Peter Billingsley, Erinn Hayes, Julie Hagerty, Ian Petrella, Scott Schwartz</t>
  </si>
  <si>
    <t>Ralphie ist inzwischen erwachsen und fährt mit seiner Familie in das Haus seiner Kindheit in der Cleveland Street, um seinen Kindern ein zauberhaftes Weihnachtsfest zu bereiten, genau so, wie er es selbst dort vor 30 Jahren als Kind verbracht hat. Ralphie lernt seine Freunde aus der Kindheit wieder kennen und versöhnt sich mit der Erinnerung an seinen verstorbenen Vater.  Die Fortsetzung zu „Fröhliche Weihnachten“ von 1983 spielt in der Gegenwart.</t>
  </si>
  <si>
    <t>A Kindhearted Christmas</t>
  </si>
  <si>
    <t>TV-Film, Komödie, Liebesfilm</t>
  </si>
  <si>
    <t>tt15979222</t>
  </si>
  <si>
    <t>Cameron Mathison, Jennie Garth, Emily Tennant, Bronwen Smith, Blair Penner</t>
  </si>
  <si>
    <t>Jamie will ihre gedrückte Stimmung an den Feiertagen durch eine anonyme Geschenkeaktion heben. Doch ein attraktiver Journalist ist entschlossen, ihre Identität zu enthüllen.</t>
  </si>
  <si>
    <t>Alle Jahre wieder du</t>
  </si>
  <si>
    <t>من ترانه پانزده سال دارم</t>
  </si>
  <si>
    <t>France, Spain</t>
  </si>
  <si>
    <t>tt0329347</t>
  </si>
  <si>
    <t>ترانه علیدوستی, حسین محجوب, Mahtab Nasirpour, Milad Sadrameli, نگار جواهریان</t>
  </si>
  <si>
    <t>Diese beeindruckende PBS-Doku zeigt in außergewöhnlichen Bildern die Zeit nach dem feigen Terroranschlag auf das World Trade Center vom 11. September 2001 - das unfassbare Entsetzen und die Verzweiflung an einem Ort von Tod und Verwüstung. "GROUND ZERO - Das Jahr danach" rekonstruiert anhand von Computeranimationen die katastrophalen Folgen der Flugzeugeinschläge und zeigt u.a. die wichtigen Rettungsmaßnahmen zum Erhalt der Schutzwände, die eine Überflutung Lower Manhattens durch den Hudson River verhindern.</t>
  </si>
  <si>
    <t>Annie - Weihnachten einer Waise</t>
  </si>
  <si>
    <t>Musik, Familie, Komödie</t>
  </si>
  <si>
    <t>tt0207972</t>
  </si>
  <si>
    <t>Alicia Morton, Kathy Bates, Victor Garber, Alan Cumming, Audra McDonald</t>
  </si>
  <si>
    <t>Das elfjährige Waisenkind Annie freut sich nicht übermäßig auf das bevorstehende Weihnachtsfest. Warum sollte es auch dieses mal etwas besonderes werden? Wie üblich gibt es Auseinandersetzung mit der kaltherzigen Heimleiterin Miss Hannigan, und auch Versuche auszubüxen scheitern. Doch diesmal bringt Grace Farrell das Mädchen während zwei Wochen über Weihnachten zu Milliardär Oliver Warbucks. Annie erobert sogleich dessen Herz, und er möchte sie gerne Adoptieren. Doch sie ist immer noch auf der Suche nach ihren Eltern...</t>
  </si>
  <si>
    <t>Best. Christmas. Ever!</t>
  </si>
  <si>
    <t>tt7038762</t>
  </si>
  <si>
    <t>Brandy Norwood, Heather Graham, Jason Biggs, Matt Cedeño, Wyatt Hunt</t>
  </si>
  <si>
    <t>Als eine Wende des Schicksals ihre Familien an Weihnachten zusammenführt, will Charlotte beweisen, dass das Leben ihrer einstigen Freundin Jackie zu schön ist, um wahr zu sein.</t>
  </si>
  <si>
    <t>Beste Bescherung</t>
  </si>
  <si>
    <t>tt3348192</t>
  </si>
  <si>
    <t>Sophie von Kessel, Friedrich von Thun, Mišel Matičević, Marc Hosemann, Fabian Hinrichs</t>
  </si>
  <si>
    <t>Im dritten Teil der Mailinger Reihe will Miriam mit ihren 3 Geschwistern auf dem Bauernhof ihres Freundes ein beschauliches Weihnachtsfest feiern. Doch unerwartet taucht auch ihr schwieriger Vater Karl auf, der mit einem Koffer Schwarzgeld auf der Flucht vor der Steuerfahndung ist. Damit hat sich das besinnliche Weihnachtsfest erledigt.</t>
  </si>
  <si>
    <t>Chaotische Weihnachten</t>
  </si>
  <si>
    <t>Ernest Saves Christmas</t>
  </si>
  <si>
    <t>tt0095107</t>
  </si>
  <si>
    <t>Jim Varney, Oliver Clark, Noelle Parker, Gailard Sartain, Billie Bird</t>
  </si>
  <si>
    <t>Das wird eine schöne Bescherung! Der Weihnachtsmann will sich zur Ruhe setzen und sucht einen Nachfolger! Doch es läuft alles schief, erst verliert er seinen Sack, der Schlitten steckt im Zoll fest, und dann wird er auch noch verhaftet. Doch Hilfe naht in der Gestallt von Ernest P. Worrell, doch auch wenn sich Ernest anstrengt alles richtig zumachen, geht es in die Hose. Doch Ernest lässt sich nicht von seinen Vorhaben abbringen, er will Weihnachten retten...</t>
  </si>
  <si>
    <t>Christmas at the Plaza</t>
  </si>
  <si>
    <t>Liebesfilm, TV-Film</t>
  </si>
  <si>
    <t>tt10921042</t>
  </si>
  <si>
    <t>Elizabeth Henstridge, Ryan Paevey, Bruce Davison, Julia Duffy, Karen Holness</t>
  </si>
  <si>
    <t>Die Historikerin Jessica Cooper soll eine Ausstellung über die Weihnachtsgeschichte des Plaza Hotels in New York City zusammenstellen. Der Dekorateur des Hotels, Nick Perrelli, stellt dabei ihr Leben erheblich auf den Kopf. Sie beginnt nicht nur an ihrer derzeitigen Beziehung mit Dennis zu zweifeln, sondern gewinnt auch die Erkenntnis, dass es notwendig ist, in die Zukunft zu blicken anstatt in der Vergangenheit zu verweilen.</t>
  </si>
  <si>
    <t>Christmas Time</t>
  </si>
  <si>
    <t>Tim Vine Travels Through Time Christmas Special</t>
  </si>
  <si>
    <t>Komödie, Historie, Science Fiction, Musik</t>
  </si>
  <si>
    <t>tt7771978</t>
  </si>
  <si>
    <t>Tim Vine, Emma Bunton, Sally Phillips, Spencer Jones, Mandeep Dhillon</t>
  </si>
  <si>
    <t>Christmas Under Wraps</t>
  </si>
  <si>
    <t>TV-Film, Liebesfilm</t>
  </si>
  <si>
    <t>tt4180032</t>
  </si>
  <si>
    <t>Candace Cameron Bure, David O'Donnell, Brian Doyle-Murray, Robert Pine, Joyce Cohen</t>
  </si>
  <si>
    <t>Eine talentierte Assistenzärztin bewirbt sich für ein Stipendium in der Chirurgieabteilung eines renommierten Bostoner Krankenhauses. Doch als ihre Bewerbung abgelehnt wird, verschlägt es die junge Ärztin in eine verschlafene Kleinstadt mitten im Bundesstaat Alaska. Dort angekommen wachsten ihr der Ort und seine Bewohner schnell ans Herz. Außerdem trifft sie auf einen charmanten Mann, der ihr den Kopf verdreht und dessen Vater eine unheimliche Ähnlichkeit mit dem Weihnachtsmann hat.</t>
  </si>
  <si>
    <t>Christmas With You</t>
  </si>
  <si>
    <t>Christmas with You</t>
  </si>
  <si>
    <t>Comedy, Family, Romance</t>
  </si>
  <si>
    <t>tt15824322</t>
  </si>
  <si>
    <t>Aimee Garcia, Freddie Prinze Jr., Gabriel Sloyer</t>
  </si>
  <si>
    <t>Ein Popstar auf der Suche nach Inspiration für einen neuen Song erfüllt den Weihnachtswunsch eines jungen Fans. Sie fährt das Mädchen besuchen und findet nebenbei wahre Liebe.</t>
  </si>
  <si>
    <t>Das Fest der Liebe</t>
  </si>
  <si>
    <t>Short, Comedy, Horror</t>
  </si>
  <si>
    <t>tt3130360</t>
  </si>
  <si>
    <t>Tatjana Alexander, Andreas Ferner, Florian Fitz</t>
  </si>
  <si>
    <t>Designerin Isabella landet den Auftrag ihrer Träume: sie darf für eine Gala das Kleid des Ehrengasts schneidern. Das Fest in einer herrschaftlichen Villa soll an die größte Romanze aller Zeiten erinnern. Während der Vorbereitung muss Isabella mit dem mürrischen Filmemacher Blake arbeiten. Die gemeinsame Zeit in dieser romantischen Umgebung lässt beide trotz anfänglicher Abneigung keineswegs kalt.</t>
  </si>
  <si>
    <t>Das Weihnachts-Ekel</t>
  </si>
  <si>
    <t>tt0920898</t>
  </si>
  <si>
    <t>Fritz Wepper, Michael Roll, Kristina Sprenger, Ruth Drexel, Gerd Silberbauer</t>
  </si>
  <si>
    <t>Er mag keine Menschen, auch nicht zu Weihnachten. Er möchte allein sein auch am Heiligabend. Robert Lahnstein, gefürchteter TV-Kommentator, hält Weihnachten für ebenso verlogen, wie die Politik. Deshalb packt er seinen Geländewagen mit einer gefrorenen Gans und einem Tannenbaum, um sich zurückzuziehen auf seine einsame Hütte in den Bergen. Noch nicht einmal auf die Gesellschaft seines Sohnes Martin, der sich als Pianist durchs Leben schlägt und den der Vater für einen Versager hält, legt er Wert.  Aus dem Radio kommt Weihnachtsmusik, vom Himmel Schnee das Weihnachts-Ekel wird sein Ziel nicht erreichen. Weihnachten endet für ihn an einem Baum! Fluchend und gereizt macht er sich mit gefrorener Gans und Tannenbaum auf den Weg durch Schnee, Eis und Kälte. Mit letzter Kraft erreicht er eine Scheune. Doch er, der Menschen um sich herum nicht ausstehen kann, ist nicht allein!</t>
  </si>
  <si>
    <t>Das Weihnachtsglas</t>
  </si>
  <si>
    <t>Christmas Jars</t>
  </si>
  <si>
    <t>TV-Film, Drama, Liebesfilm, Komödie</t>
  </si>
  <si>
    <t>tt9802890</t>
  </si>
  <si>
    <t>Jeni Ross, Tara Yelland, Ron Lea, Jennifer Gibson, Markian Tarasiuk</t>
  </si>
  <si>
    <t>Die junge Journalistin Hope Jensen möchte das Geheimnis hinter einem alljährlichen Phänomen lüften: Mysteriöse Weihnachtsgläser voller Geld werden anonym an Bedürftige verschenkt. Unverhofft löst sie das Geheimnis ihrer Herkunft.</t>
  </si>
  <si>
    <t>Das Weihnachtshaus</t>
  </si>
  <si>
    <t>Christmas Cottage</t>
  </si>
  <si>
    <t>Drama, Liebesfilm, Familie</t>
  </si>
  <si>
    <t>tt0999872</t>
  </si>
  <si>
    <t>Jared Padalecki, Marcia Gay Harden, Peter O'Toole, Chris Elliott, Charlotte Rae</t>
  </si>
  <si>
    <t>1977: Thomas Kinkade kehrt in den Semesterferien in seine Heimatstadt zurück, um das Weihnachtsfest im Kreise seiner Familie zu erleben. Wie jedes Jahr rüstet sich das malerische Städtchen Placerville für die Feiertage. Und auch Big Jim ist wieder einmal schwer damit beschäftigt, sich für den Dekorations-Wettstreit mit seinen Nachbarn zu rüsten. Doch nicht alles ist in diesem Jahr wie immer: Thomas' Mutter steckt in finanziellen Nöten und dem Elternhaus droht der Zwangsverkauf. Und auch um Thomas' langjährigen Freund und Mentor Glen steht es alles andere als gut. Der einst erfolgreiche Künstler sieht sich mit den Tücken des Alterns konfrontiert, als ihm fortschreitende geistige und physische Gebrechlichkeiten das Malen zusehends erschweren. Als Thomas den Auftrag annimmt, für die Gemeinde ein Wandgemälde zu schaffen, muss er sich daher vor allem auf seine eigene künstlerische Eingebung verlassen.</t>
  </si>
  <si>
    <t>Das Weihnachtsrätsel</t>
  </si>
  <si>
    <t>Unlocking Christmas</t>
  </si>
  <si>
    <t>tt13246926</t>
  </si>
  <si>
    <t>Taylor Cole, Steve Lund, Elena Juatco, Darryl Hinds, Kathryn Greenwood</t>
  </si>
  <si>
    <t>Die frischgebackenen Medizinerin Dr. Kate Stafford beginnt ihre Arbeit im Krankenhaus von Cedar Park. Kate hat es bisher noch nie lange an einem Ort gehalten, und sie denkt, dass auch ihr Aufenthalt hier nur vorübergehend sein wird. Dann lernt sie während der Weihnachtszeit Kevin Matthews kennen, einen ehemaligen Rettungssanitäter. Wie Kate hat auch er nicht vor, in Cedar Park zu bleiben. Eines Tages finden die beiden einen Schlüssel mit einer mysteriösen Notiz, die sie auf eine "Weihnachtsurlaubssuche" durch die Stadt schickt. Diese gemeinsame Suche wird die beiden für immer verändern.</t>
  </si>
  <si>
    <t>Das Wunder von New York</t>
  </si>
  <si>
    <t>Miracle on 34th Street</t>
  </si>
  <si>
    <t>tt0039628</t>
  </si>
  <si>
    <t>Edmund Gwenn, Maureen O'Hara, John Payne</t>
  </si>
  <si>
    <t>Die uralte Frage nach dem Weihnachtsmann. Kris Kringle, Kaufhaus-Weihnachtsmann, behauptet vor Gericht, er sei tatsächlich der Alte vom Nordpol. Seiner Chefin jedoch gefällt das gar nicht.</t>
  </si>
  <si>
    <t>Deadly Games – Stille Nacht, tödliche Nacht</t>
  </si>
  <si>
    <t>36.15 code Père Noël</t>
  </si>
  <si>
    <t>Thriller, Horror, Action, Abenteuer</t>
  </si>
  <si>
    <t>tt0096741</t>
  </si>
  <si>
    <t>Brigitte Fossey, Louis Ducreux, Patrick Floersheim, Alain Lalanne, François-Eric Gendron</t>
  </si>
  <si>
    <t>Der kleine Thomas kann zwar schon gut mit Technik und Computern umgehen, trotzdem glaubt er noch an den Weihnachtsmann, und will diesen auch zu Gesicht bekommen. Daher installiert er in der ganzen Wohnung ein ausgetüfteltes Videoüberwachungssystem, und in der Nacht taucht dann tatsächlich ein Mann in einem roten Umhang auf – der aber keineswegs der Weihnachtsmann ist, sondern ein gefährlicher Killer!</t>
  </si>
  <si>
    <t>Der Klang der Weihnacht</t>
  </si>
  <si>
    <t>Sound of Christmas</t>
  </si>
  <si>
    <t>TV-Film, Drama</t>
  </si>
  <si>
    <t>tt6260218</t>
  </si>
  <si>
    <t>Lindy Booth, Robin Dunne, Micah Kalisch, Kim Roberts, Jennifer Gibson</t>
  </si>
  <si>
    <t>Abigail und ihre Mutter liebten es, Weihnachtslieder zu singen. Doch seitdem ihre Mutter nicht mehr lebt, ist nichts mehr so wie vorher. Um das Weihnachtsgefühl erneut in Abigail zu wecken, engagiert ihr Vater Brad die Klavierlehrerin Lizzie. Lizzie könnte sich keine bessere Schülerin wünschen, doch sie hat nicht erwartet, dass sie Gefühle für Brad entwickelt.</t>
  </si>
  <si>
    <t>Der Nikolaus im Haus</t>
  </si>
  <si>
    <t>tt1217624</t>
  </si>
  <si>
    <t>Christine Neubauer, Bernhard Schir, Pamina Grünsteidl, Otto Tausig, Fritz von Friedl</t>
  </si>
  <si>
    <t>Klaudia Wehmeyer, stolze Mitinhaberin einer Konditorei, muss sich vor Gericht verantworten, weil ihr Geschäftsführer Müller und ihr betrügerischer Kompagnon Lehmann sie beschuldigen, eine halbe Million Euro unterschlagen zu haben. Nachdem sie zu Unrecht zu einer Haftstrafe verurteilt wird, flieht die temperamentvolle Frau kurz entschlossen aus dem Gerichtssaal. Getarnt mit einem Nikolauskostüm will sie in Lehmanns Villa einbrechen, um auf eigene Faust Beweise für ihre Unschuld zu sammeln. Als der Plan missglückt, findet sie bei zwei Nachbarskindern Unterschlupf, die glauben, den echten Nikolaus vor sich zu haben. Der alleinerziehende Vater der beiden ist über den wildfremden Gast allerdings alles andere als erfreut. Erst als er Klaudia besser kennenlernt spürt er, dass mehr hinter dem Nikolauskostüm steckt als eine einfache Einbrecherin.</t>
  </si>
  <si>
    <t>Der Weihnachtsmuffel</t>
  </si>
  <si>
    <t>tt2555456</t>
  </si>
  <si>
    <t>Jan Fedder, Dorothea Schenck, Saskia Fischer</t>
  </si>
  <si>
    <t>Heiligabend auf dem 14. Revier. Während die Kollegen ihren Dienst antreten, sucht Dirk Matthies das Weite. Er hat sich bei allen abgemeldet, um dem weihnachtlichen Trubel zu entgehen und in aller Ruhe an Bord seines Schiffes einen gemütlichen Soloabend zu erleben. Doch dann knallt etwas auf die Schiffsplanken, was sich bei genauerem Hinsehen als das entpuppt, was Dirk an diesem Abend am allerwenigsten sehen wollte: Der Weihnachtsmann persönlich ist da - und wirkt reichlich durcheinander. Nach kurzem Zögern erklärt sich Dirk bereit, den chaotischen Alten zu seiner ersten Einsatzstelle zu kutschieren.</t>
  </si>
  <si>
    <t>Der Wunschzettel</t>
  </si>
  <si>
    <t>Komödie, Drama, Familie, Liebesfilm</t>
  </si>
  <si>
    <t>tt7651698</t>
  </si>
  <si>
    <t>Anne Schäfer, Sebastian Ströbel, Lena Stolze, Hans-Uwe Bauer, Jasmin Schwiers</t>
  </si>
  <si>
    <t>Pauline Schwebe ist Ordnungsbeamtin und Single. Sie ist gerührt, als sie an einer Ampel den handgeschriebenen Wunschzettel von Leo Golombeck entdeckt. In dem lädt der Siebenjährige eine einsame Seele zur Weihnachtsfeier im Kreis seiner Familie ein. Im Gegenzug hätte er nichts dagegen, wenn die einsame Seele ein paar Geschenke mitbringt. Pauline besucht Leo, der mit seiner Schwester Lotte und seinem Papa Daniel in einfachen Verhältnissen lebt. Da Paulines Eltern sie ständig damit nerven, dass sie immer noch Single ist, lädt sie kurzerhand Daniel mit Kindern zur familiären Weihnachtsfeier ein und stellt ihn als neuen Freund vor.</t>
  </si>
  <si>
    <t>Die Familie Stone – Verloben verboten!</t>
  </si>
  <si>
    <t>The Family Stone</t>
  </si>
  <si>
    <t>tt0356680</t>
  </si>
  <si>
    <t>Dermot Mulroney, Sarah Jessica Parker, Diane Keaton, Luke Wilson, Claire Danes</t>
  </si>
  <si>
    <t>Bei den weihnachtlichen Feierlichkeiten in Neuengland, möchte Everett seiner Familie endlich seine neue Freundin vorstellen. Doch die etwas reservierte New Yorkerin Meredith, kommt bei der Familie nicht so gut an. Als sie unterstützenden Besuch von ihrer Schwester bekommt, gerät das Fest wirklich aus den Fugen und ein trauriges Geheimnis wird gelüftet.</t>
  </si>
  <si>
    <t>Die magische Weihnachtshochzeit</t>
  </si>
  <si>
    <t>Let's Meet Again on Christmas Eve</t>
  </si>
  <si>
    <t>tt12843484</t>
  </si>
  <si>
    <t>Kyla Pratt, Brooks Darnell, Nancy Sorel, Paul Essiembre, Erik Athavale</t>
  </si>
  <si>
    <t>Eventplanerin Corrine soll zur Weihnachtszeit für ein Paar die Erneuerung des Eheversprechens organisieren – und trifft dabei auf ihre Jugendliebe Rob. Ist die Zeit diesmal reif für ihre Liebe?</t>
  </si>
  <si>
    <t>Die Meyers - Hilfe, die Familie kommt!</t>
  </si>
  <si>
    <t>Almost Christmas</t>
  </si>
  <si>
    <t>tt4649416</t>
  </si>
  <si>
    <t>Kimberly Elise, Omar Epps, Danny Glover, John Michael Higgins, Romany Malco</t>
  </si>
  <si>
    <t>Nach dem Tod der Familienpatriarchin trifft sich eine entfremdete Familie erstmals, um die Weihnachtstage gemeinsam zu verbringen. Der Witwer Walter nimmt das Steuer nun selbst in die Hand. Doch es tauchen nicht nur wie erwartet seine Kinder auf, sondern viel zu früh auch die eigensinnige Tante May, die Schwester der Verstorbenen, sowie weitere unangemeldete Gäste. Walter und seiner Familie bleiben nur wenige Tage bis zum Fest, um sich zusammenzuraufen. Zwischen gemeinsamen Kirchenbesuchen, sich anbahnenden Romanzen und dem obligatorischen Weihnachtsessen muss die Verwandtschaft beweisen, dass sie auch ohne den einstigen Kopf der Familie auskommen kann. Ist die familiäre Bande stark genug, um Weihnachten ein Happy End zu erleben?</t>
  </si>
  <si>
    <t>Die Perfekte Weihnachtshochzeit</t>
  </si>
  <si>
    <t>Merry Matrimony</t>
  </si>
  <si>
    <t>tt5210048</t>
  </si>
  <si>
    <t>Jessica Lowndes, Christopher Russell, Farrah Aviva, Jennifer Gibson, David Reale</t>
  </si>
  <si>
    <t>Brie, Art-Direktorin eines Modemagazins, landet ihren Traumauftrag. Sie soll die perfekte Weihnachtshochzeit organisieren. Es gibt nur einen Haken. Der Fotograf, mit dem sie zusammenarbeiten muss, ist ihr Exfreund Eddie. Während sie im Job in Bestform sein muss, kämpft sie mit Gefühlen aus ihrer Vergangenheit.</t>
  </si>
  <si>
    <t>Die Schneeschwester</t>
  </si>
  <si>
    <t>Snøsøsteren</t>
  </si>
  <si>
    <t>Norway, United States</t>
  </si>
  <si>
    <t>Fantasy, Familie, Abenteuer, Drama</t>
  </si>
  <si>
    <t>tt11092178</t>
  </si>
  <si>
    <t>Mudit Gupta, Celina Meyer Hovland, Jan Sælid, Sampda Sharma, Gunnar Eiriksson</t>
  </si>
  <si>
    <t>Ein Junge, dessen trauernde Familie Weihnachten vergessen hat, schließt eine unerwartete, heilsame Freundschaft mit einem quirligen Mädchen voller Weihnachtsstimmung.</t>
  </si>
  <si>
    <t>Die Sekretärin des Weihnachtsmanns</t>
  </si>
  <si>
    <t>Die Sekretärin des Weihnachtsmann</t>
  </si>
  <si>
    <t>tt0227466</t>
  </si>
  <si>
    <t>Marianne Sägebrecht, Birgit Doll, Roland Giraud, Catherine Arditi</t>
  </si>
  <si>
    <t>Die mutterlose Céline wünscht sich in einem Brief an den Weihnachtsmann, dass ihr Vater sie aus dem Krankenhaus abholt und für immer zu sich nimmt. Ihr Brief landet bei der gutmütigen Marlène, die ein besonderes Herz für Kinder hat. Die liebevolle Marlène findet Mittel und Wege, um nicht nur Céline glücklich zu machen. Marlène arbeitet zum ersten Mal für die Stelle, bei der alle Briefe landen, die Kinder an den Weihnachtsmann schreiben.</t>
  </si>
  <si>
    <t>Die unvergessliche Weihnachtsnacht</t>
  </si>
  <si>
    <t>Remember the Night</t>
  </si>
  <si>
    <t>tt0032981</t>
  </si>
  <si>
    <t>Barbara Stanwyck, Fred MacMurray, Beulah Bondi, Elizabeth Patterson, Willard Robertson</t>
  </si>
  <si>
    <t>Kurz vor Weihnachten wird Lee Leander beim Stehlen erwischt. Es ist ihre dritte Straftat, weswegen John Sargent sie vor Gericht bringen will. Doch die Verhandlung wird verschoben, da es schwer ist, während der Weihnachtszeit eine Verurteilung zu erwirken. Sargent entwickelt Mitleid für Lee und sorgt dafür, dass sie auf Kaution freikommt. Er nimmt sie mit zu seiner Mutter, um dort Weihnachten zu feiern. Umgeben von einer liebevollen Familie, die im starken Kontrast zu Lees eigener familiärer Geschichte steht, sprühen zwischen Lee und John die Funken. Sie verlieben sich, doch noch gibt es ein Problem: Was wird aus dem kommenden Prozess?</t>
  </si>
  <si>
    <t>Komödie, TV-Film, Drama</t>
  </si>
  <si>
    <t>Ulrich Thein, Daniel Minetti, Janina Hartwig, Petra Blossey, Peter Kalisch</t>
  </si>
  <si>
    <t>Die Weihnachtsmannfalle</t>
  </si>
  <si>
    <t>tt17058562</t>
  </si>
  <si>
    <t>Britta Adler, Michael Adler, Tim Hoffmann</t>
  </si>
  <si>
    <t>Einen Tag vor Weihnachten, also am 23. Dezember, bezieht Familie Schmidt ihre neue Wohnung in einem Berliner Hochhaus; bisher wohnte man im beschaulichen Birkenwalde. Der kleine Sebastian befürchtet, dass der Weihnachtsmann von ihrem Unzug nichts weiß und ihm deshalb seine Geschenke nicht bringen kann. Selbst wenn ihm bekannt ist, wo Bastel und seine Eltern jetzt wohnen, könnte es sein, dass er ihn nicht findet, weil es in diesem großen Haus gleich mehrere Familien gibt, die den Namen Schmidt tragen.</t>
  </si>
  <si>
    <t>Die Weihnachtsstory</t>
  </si>
  <si>
    <t>Every Christmas Has a Story</t>
  </si>
  <si>
    <t>TV-Film, Drama, Komödie, Liebesfilm</t>
  </si>
  <si>
    <t>tt6215212</t>
  </si>
  <si>
    <t>Lori Loughlin, Colin Ferguson, Willie Aames, Catherine Lough Haggquist, Bruce Harwood</t>
  </si>
  <si>
    <t>Als eine TV-Moderatorin versehentlich vor laufender Kamera ihren Hass auf Weihnachten kundtut, wird sie in die weihnachtlichste Stadt der U.S.A. geschickt. Dort soll sie versuchen, ihr Image aufzupolieren - und das ausgerechnet mit Jack, ihrem Exfreund und Produzenten der Sendung. Umhüllt von der weihnachtlichen Magie dieser Stadt beginnt sie, Weihnachten und ihr Leben mit völlig anderen Augen zu sehen.</t>
  </si>
  <si>
    <t>Ein Engel auf Probe</t>
  </si>
  <si>
    <t>Unlikely Angel</t>
  </si>
  <si>
    <t>TV-Film, Fantasy, Komödie</t>
  </si>
  <si>
    <t>tt0118048</t>
  </si>
  <si>
    <t>Dolly Parton, Roddy McDowall, Allison Mack, Eli Marienthal, Brian Kerwin</t>
  </si>
  <si>
    <t>Die Country-Sängerin Ruby hat großes Pech. Nicht nur, dass sie ihr Lover betrügt, sie hat auch noch einen tödlichen Autounfall. Und als wäre das noch nicht genug, wird ihr auch noch der Eintritt in den Himmel verwährt.  Nur wenn sie es schafft, die zerstrittene Familie Bartilson, bis Weihnachten, wieder zu versöhnen, bekommt sie ihre Flügel!  Als Kindermädchen kommt sie zurück auf die Erde und geht ihre Aufgabe an. Doch die Zeit bis Weihnachten verfliegt, wie im Fluge!</t>
  </si>
  <si>
    <t>Ein Junge namens Weihnacht</t>
  </si>
  <si>
    <t>A Boy Called Christmas</t>
  </si>
  <si>
    <t>United Kingdom, France, United States, Czech Republic, Germany</t>
  </si>
  <si>
    <t>Familie, Abenteuer, Fantasy</t>
  </si>
  <si>
    <t>tt10187208</t>
  </si>
  <si>
    <t>Henry Lawfull, Michiel Huisman, Stephen Merchant, Maggie Smith, Sally Hawkins</t>
  </si>
  <si>
    <t>Der Weihnachtsmann war nicht immer alt, rauschebärtig, kugelrund und silberhaarig, sondern tatsächlich mal ein kleines Kind wie jeder andere Mensch auch! Aber wie war das eigentlich, als der Weihnachtsmann noch ein Junge war? Mit elf Jahren macht sich der kleine Nikolas aus Finnland auf den langen Weg zum Nordpol, um dort seinen Vater zu suchen. Dort überraschen ihn allerhand wundersame Begegnungen: Er trifft auf magische Geschöpfe wie Trolle und Elfen und ist so verzaubert von der Magie des Winters, dass er nach und nach den Entschluss fasst, Freude und Glück in die ganze Welt zu tragen: Der Weihnachtsmann ist geboren!</t>
  </si>
  <si>
    <t>Ein Prinz zu Weihnachten</t>
  </si>
  <si>
    <t>Christmas with a Crown</t>
  </si>
  <si>
    <t>TV-Film, Liebesfilm, Drama</t>
  </si>
  <si>
    <t>tt12986254</t>
  </si>
  <si>
    <t>Lisa Durupt, Marcus Rosner, Michael Lazarovitch, Faith Louissaint, John Treleaven</t>
  </si>
  <si>
    <t>Cassie kehrt über Weihnachten zurück in ihre Heimatstadt. Dort muss sie feststellen, dass ihr geliebtes Winterfestival nicht mehr stattfindet. Als auch noch die Buchhandlung ihres Vaters vor der Pleite steht, fasst sie einen Entschluss: Sie möchte das Winterfestival wiederbeleben und somit die Buchhandlung retten. Doch ein Fremder, der seine Hilfe anbietet, bringt ihr Leben gehörig durcheinander.</t>
  </si>
  <si>
    <t>Ein Taxi zur Bescherung</t>
  </si>
  <si>
    <t>TV-Film, Komödie, Drama, Liebesfilm</t>
  </si>
  <si>
    <t>tt21221336</t>
  </si>
  <si>
    <t>Dietmar Bär, Max Riemelt, Gabriele Völsch, Marlene Tanczik, Nhung Hong</t>
  </si>
  <si>
    <t>Den Hamburger Taxifahrer Axel Parschke verschlägt es kurz vor Heiligabend ins weihnachtliche Erzgebirge: Was als lukrativer Auftrag für den nach einem Unfall erblindeten IT-Analysten Jan Olsmer beginnt, der im kleinen Örtchen Bergroda seine Internetbekanntschaft Jenny Feller treffen möchte, wird für den nach langen Ehejahren Geschiedenen zu einer emotionalen Reise in ein neues Leben. Mit Fremden, die auf dem Weg zu Freunden werden, wie sein Fahrgast Jan oder die Abiturientin Linh Ngyuen, die unterwegs eingesammelt werden. Und da gibt es noch die Kfz-Mechanikerin Sofia Lieberwirth, in deren Werkstatt Axel und sein bei einem Unfall beschädigtes Taxi unfreiwillig stranden. Nach der Feier im Ort Mettenschicht und einem gemeinsamen Heiligabend wider Willen werden die Karten für alle noch einmal neu gemischt.</t>
  </si>
  <si>
    <t>Ein Weihnachtsbaum Wunder</t>
  </si>
  <si>
    <t>A Christmas Tree Miracle</t>
  </si>
  <si>
    <t>Familie, Drama</t>
  </si>
  <si>
    <t>tt2328727</t>
  </si>
  <si>
    <t>Kevin Sizemore, Claudia Esposito, Terry Kiser, Jill Whelan, Barrett Carnahan</t>
  </si>
  <si>
    <t>David George hat einen guten Job, mit dem er sich, seiner Gattin und ihren drei Kindern ein angenehmes Leben finanzieren kann. Als er entlassen wird, ist das für alle Beteiligten erst einmal kein Grund, etwas zu ändern. Die Quittung folgt ein Jahr später, als die Familie ihr Haus verliert und schließlich obdachlos wird. Da erscheint die Rettung in Gestalt eines älteren Herrn, der den Georges Arbeit und Unterkunft auf seiner Weihnachtsbaumfarm anbietet.</t>
  </si>
  <si>
    <t>Eine samtige Bescherung</t>
  </si>
  <si>
    <t>The Nine Kittens of Christmas</t>
  </si>
  <si>
    <t>TV-Film, Komödie, Liebesfilm, Drama, Fantasy</t>
  </si>
  <si>
    <t>tt15226096</t>
  </si>
  <si>
    <t>Brandon Routh, Kimberley Sustad, Gregory Harrison, Stephanie Bennett, Linden McMillan</t>
  </si>
  <si>
    <t>Marilee ist wegen der Feiertage wieder zu Hause bei ihrer Familie. Dort trifft sie auch auf ihren ehemaligen Schwarm Zachary. Der versucht gerade, Katzenbabys in liebevollen Familien unterzubringen, hat dabei allerdings einige Schwierigkeiten. Marilee beschließt, ihm dabei zu helfen. Kurzerhand organisieren sie gemeinsam eine Adoptionsaktion und hoffen so, ein neues Zuhause für die kleinen Katzen ausfindig machen zu können. Außerdem verbringen die beiden so auch Zeit miteinander.</t>
  </si>
  <si>
    <t>Eine schwere Entscheidung an Weihnachten</t>
  </si>
  <si>
    <t>Five More Minutes: Moments Like These</t>
  </si>
  <si>
    <t>tt22309036</t>
  </si>
  <si>
    <t>Ashley Williams, Lucas Bryant, Brady Droulis, Fred Henderson, Carey Feehan</t>
  </si>
  <si>
    <t>Die verwitwete Kaitlyn besucht zu Weihnachten ihre Schwiegereltern in Colorado. Über die Feiertage muss sie eine schwierige Entscheidung für sich und ihren zehnjährigen Sohn treffen.</t>
  </si>
  <si>
    <t>Eine Weihnachtsgeschichte zum Verlieben</t>
  </si>
  <si>
    <t>Ghosts of Christmas Always</t>
  </si>
  <si>
    <t>tt20193354</t>
  </si>
  <si>
    <t>Kim Matula, Ian Harding, Beth Leavel, Lori Tan Chinn, Reginald VelJohnson</t>
  </si>
  <si>
    <t>Der zynische Peter hat seinen Sinn für Weihnachten verloren. Als Geist der gegenwärtigen Weihnacht soll die hübsche Katherine ihm sein Empfinden für Weihnachten wieder zurückzugeben. Doch in diesem Jahr ist etwas anders als sonst.</t>
  </si>
  <si>
    <t>Eine Weihnachtsliebe zum Festhalten</t>
  </si>
  <si>
    <t>Picture a Perfect Christmas</t>
  </si>
  <si>
    <t>Liebesfilm, TV-Film, Drama, Komödie</t>
  </si>
  <si>
    <t>tt10553910</t>
  </si>
  <si>
    <t>Merritt Patterson, Jon Cor, Kwesi Ameyaw, Anita Brown, Terence Kelly</t>
  </si>
  <si>
    <t>Die Sportfotografin Sophie kehrt über die Feiertage in ihre Heimatstadt zurück, um sich um ihre Großmutter zu kümmern. Schnell wird sie jedoch auf den gutaussehenden Nachbarn aufmerksam, der offensichtlich Hilfe dabei gebrauchen könnte, auf seinen Neffen aufzupassen.</t>
  </si>
  <si>
    <t>Eine wueste Bescherung</t>
  </si>
  <si>
    <t>I'll Be Home for Christmas</t>
  </si>
  <si>
    <t>tt0155753</t>
  </si>
  <si>
    <t>Jonathan Taylor Thomas, Jessica Biel, Adam LaVorgna, Gary Cole, Eve Gordon</t>
  </si>
  <si>
    <t>Jake drückte sich in den vergangenen Jahren stets davor, Weihnachten mit seinen Eltern in New York zu verbringen. Um die Familie wieder zusammenzuführen, bietet Jakes Vater an, ihm einen Porsche zu schenken, wenn er pünktlich zu Heiligabend erscheint. Hoch motiviert, will sich Jake auf die Reise machen, doch als er morgens aufwacht, findet er sich als Weihnachtsmann verkleidet inmitten des kalifornischen Niemandslandes wieder.</t>
  </si>
  <si>
    <t>Eloise - Weihnachten im Plaza-Hotel</t>
  </si>
  <si>
    <t>Familie, Komödie, Drama, TV-Film</t>
  </si>
  <si>
    <t>Sofia Vassilieva, Gavin Creel, Sara Topham, Victor A. Young, Julie Andrews</t>
  </si>
  <si>
    <t>EXmas</t>
  </si>
  <si>
    <t>Liebesfilm, Komödie, TV-Film</t>
  </si>
  <si>
    <t>tt29536228</t>
  </si>
  <si>
    <t>Leighton Meester, Robbie Amell, Michael Hitchcock, Kathryn Greenwood, Veronika Slowikowska</t>
  </si>
  <si>
    <t>Als Graham beschließt, seine Familie zu Weihnachten zu überraschen, ist er schockiert, als er feststellt, dass sie bereits mit einem unerwarteten Ehrengast feiern: seiner Ex-Verlobten Ali. Die beiden Ex-Partner kämpfen darum, wer von ihnen bis zum Weihnachtstag bleiben darf und wer gehen muss. Das Feiertagschaos kann beginnen!</t>
  </si>
  <si>
    <t>Familie Bundschuh im Weihnachtschaos</t>
  </si>
  <si>
    <t>TV-Film, Komödie</t>
  </si>
  <si>
    <t>tt13417418</t>
  </si>
  <si>
    <t>Andrea Sawatzki, Axel Milberg, Uwe Ochsenknecht, Thekla Carola Wied, Judy Winter</t>
  </si>
  <si>
    <t>Für Familie Bundschuh ist dieses Weihnachtsfest alles andere als besinnlich. Gundula sehnt sich nach Harmonie und Ruhe, doch sie hat die Rechnung ohne ihre chaotische Verwandtschaft gemacht.</t>
  </si>
  <si>
    <t>Familienfest und andere Schwierigkeiten</t>
  </si>
  <si>
    <t>Home for the Holidays</t>
  </si>
  <si>
    <t>tt0113321</t>
  </si>
  <si>
    <t>Holly Hunter, Robert Downey Jr., Anne Bancroft, Charles Durning, Dylan McDermott</t>
  </si>
  <si>
    <t>Thanksgiving steht vor der Tür und Claudia Larson ist bereits vor der Abfahrt zum alljährlichen Familienfest mit den Nerven am Ende. Körperlich wird sie von einer Grippe gequält, seelisch macht ihr der Verlust des Jobs schwer zu schaffen. Am Ziel angekommen, wird sie von ihrer Mutter sofort wie ein kleines Mädchen behandelt, und auch die anderen Verwandten sind Claudia keine Hilfe. Am festlich gedeckten Tisch sprechen sich die Verwandten schließlich aus, wobei es zu unerwarteten Auseinandersetzungen kommt.</t>
  </si>
  <si>
    <t>Friedliche Weihnachten</t>
  </si>
  <si>
    <t>tt21606950</t>
  </si>
  <si>
    <t>Valerie Huber, Laura Bilgeri, Uwe Ochsenknecht</t>
  </si>
  <si>
    <t>Frohe Weihnachten Mrs Kingsley</t>
  </si>
  <si>
    <t>Christmas Eve</t>
  </si>
  <si>
    <t>tt0090838</t>
  </si>
  <si>
    <t>Loretta Young, Arthur Hill, Ron Leibman, Trevor Howard, Patrick Cassidy</t>
  </si>
  <si>
    <t>Die Geschichte einer wohlhabenden älteren Frau, die sich mit Obdachlosen anfreundet und ihre Zeit mit Kindern ehrenamtlich aufarbeitet, die erfährt, dass sie eine unheilbare Krankheit hat und verzweifelt ihre drei erwachsenen Enkelkinder mit ihrem entfremdeten Vater, wiedervereinen will. Sie engagiert einen Privatdetektiv, um nach ihnen zu suchen, um alle an Heiligabend zusammenzubringen.</t>
  </si>
  <si>
    <t>Frohe Weihnachten, Mrs. Kingsley</t>
  </si>
  <si>
    <t>Fröhliche Weihnachten</t>
  </si>
  <si>
    <t>tt1176729</t>
  </si>
  <si>
    <t>Anke Engelke, Bastian Pastewka, Elton, Roger Cicero</t>
  </si>
  <si>
    <t>Anke Engelke und Bastian Pastewka alias "Anneliese &amp; Wolfgang" präsentieren diese schräge Parodie auf alle Weihnachtsshows im deutschen TV. "Fröhliche Weihnachten!" ist ein ein bunter Strauß an witzigen Einspielern, ein spektakuläres Feuerwerk der Wandlungsfähigkeit von zwei der besten deutschen Comedians.  Bastian Pastewka und Anke Engelke sind nicht nur das Moderatorenduo und das Ehepaar Wolfgang und Anneliese; sie schlüpfen auch in andere Rollen: große Stars auf der Bühne, der "kleine Mann" auf der Straße, Reporter, Christkind, Eiskunstläufer oder die Fans ihrer eigenen Sendung - Engelke und Pastewka spielen alle Rollen!</t>
  </si>
  <si>
    <t>Gremlins – Kleine Monster</t>
  </si>
  <si>
    <t>Gremlins 2: The New Batch</t>
  </si>
  <si>
    <t>Komödie, Horror, Fantasy</t>
  </si>
  <si>
    <t>tt0099700</t>
  </si>
  <si>
    <t>Zach Galligan, Phoebe Cates, John Glover, Robert Prosky, Robert Picardo</t>
  </si>
  <si>
    <t>Sechs Jahre sind ins Land gegangen, seit die Gremlins Kingston Falls in Schutt und Asche gelegt haben. Billy hat einen begehrten Job im High-Tech-Wolkenkratzer des Multimilliardärs Clamp. Eines Tages hört er das ihm vertraute Lied, macht sich auf die Suche, und stößt im Genlabor auf den kleinen Gizmo. Diesmal ist er fest entschlossen sich an die Regeln zu halten. Doch ein defekter Wasserspender macht alle guten Vorsätze zunichte. Bald verwandelt sich das hypermoderne Clamp-Center in ein total abgedrehtes Tollhaus.</t>
  </si>
  <si>
    <t>Großvaters Weihnachtsabenteuer</t>
  </si>
  <si>
    <t>Home of Angels</t>
  </si>
  <si>
    <t>Abe Vigoda, Sherman Hemsley, Joe Frazier, Lance Robinson, Craig Sechler</t>
  </si>
  <si>
    <t>Basierend auf einer wahren Geschichte führt uns dieser Film auf die unvergessliche Reise des kleinen Billy, der plant, Weihnachten seinen Großvater heimlich aus dem Pflegeheim zu schmuggeln. Mit der Hilfe einiger warmherziger Rentner gelingt die Flucht und das ungleiche Paar begibt sich auf den abenteuerlichen Weg Richtung New York. Was wäre wohl, wenn der Weihnachtsmann in der Nachbarschaft leben würde? Es wäre ein Paradies für Kinder, nicht jedoch für eine junge Frau, die als Staatsanwältin tätig ist und sich für ihren Vater schämt. Denn seitdem ihre Mutter starb, hat sich ihr Vater ganz und gar in sein Leben als Weihnachtsmann zurückgezogen. Er hat sein Haus wahrlich in das Nordpolheim des Weihnachtsmanns verwandelt und seinen Lebenszweck darin gefunden,</t>
  </si>
  <si>
    <t>Hallo, ich bin der Weihnachtsmann!</t>
  </si>
  <si>
    <t>Santa Who?</t>
  </si>
  <si>
    <t>tt0251382</t>
  </si>
  <si>
    <t>Leslie Nielsen, Steven Eckholdt, Robyn Lively, Max Morrow, Tommy Davidson</t>
  </si>
  <si>
    <t>"Santa Claus steckt mitten in den Weihnachtsvorbereitungen, als er einen Schlittenunfall hat und dem Reporter Peter vors Auto fällt. Es stellt sich heraus, dass Santa bei dem Sturz das Gedächtnis verloren hat und nicht mehr weiß, wer er ist. Peters Freundin Claire nimmt in mit in das Kaufhaus in dem sie arbeitet, damit er dort als Weihnachtsmann die Kinder unterhält. Doch Santa Claus möchte herausfinden wer er ist, und mit Hilfe von Peter und Claires Sohn Zack macht er sich auf die Suche nach seinem wahren ich. Denn ohne ihn findet kein Weihnachten statt..."</t>
  </si>
  <si>
    <t>Happy New Year</t>
  </si>
  <si>
    <t>tt2461132</t>
  </si>
  <si>
    <t>Shah Rukh Khan, Deepika Padukone, Abhishek Bachchan</t>
  </si>
  <si>
    <t>Charlie (Shah Rukh Khan) plant den Coup seines Lebens: Um den Verrat an seinem Vater zu rächen, will er Geschäftsmann Charan Grover (Jackie Shroff) um millionenschwere Diamanten bringen, die in dessen Safe in Dubai lagern. Unterstützung holt er sich von dem hitzköpfigen Bombenspezialisten Jag (Sonu Sod), Safeknacker und Mamasöhnchen Tammy (Boman Irani), dem jungen Hacker Rohan (Vivaan Shah) und Saufnase Nandu (Abhishek Bachchan). Doch der Weg zu den Millionen ist nicht nur steinig, sondern auch rhythmisch: Ohne die Teilnahme an den Tanzweltmeisterschaften, die im selben Gebäude ausgetragen werden, läuft nichts. Das perfekte Parkett für die Chaotentruppe! Als Turnierteam getarnt und mit Bartänzerin Rohini (Deepika Padukone) im Gepäck kommen sie ihrem Schatz schon bald näher ...</t>
  </si>
  <si>
    <t>Hilfe, ich habe eine Familie!</t>
  </si>
  <si>
    <t>Borrowed Hearts</t>
  </si>
  <si>
    <t>Drama, Fantasy, Liebesfilm, TV-Film</t>
  </si>
  <si>
    <t>tt0132893</t>
  </si>
  <si>
    <t>Roma Downey, Eric McCormack, Shawn Thompson, Janet Bailey, Héctor Elizondo</t>
  </si>
  <si>
    <t>Um einen Vertrag mit einem mexikanischen Unternehmer, einem Familienmenschen, abschließen zu können, legt sich ein amerikanischer Geschäftsmann für die Dauer von dessen Besuch eine Kleinfamilie zu: eine alleinerziehende Mutter mit Kind. Da der Gast länger bleibt als geplant und da Weihnachten vor der Tür steht, haben die drei genügend Zeit, um eine wirkliche Familie zu werden. Familienkomödie mit Herz, die um die Frage kreist, ob Geld oder Gefühl die Welt regiert.</t>
  </si>
  <si>
    <t>Hilfe, ich habe Weihnachten geerbt!</t>
  </si>
  <si>
    <t>Christmas Land</t>
  </si>
  <si>
    <t>tt5265662</t>
  </si>
  <si>
    <t>Nikki DeLoach, Luke Macfarlane, Maureen McCormick, Richard Karn, Chonda Pierce</t>
  </si>
  <si>
    <t>Eine New Yorkerin erbt von ihrer Großmutter eine in die Jahre gekommene Weihnachtsbaumschule. Soll sie verkaufen oder dem Weihnachtszauber neues Leben einhauchen? Jules erbt den Weihnachtsthemenpark „Christmas Land“. Nun muss sie entscheiden: Soll sie an einen Immobilienhai verkaufen oder dem Anwesen zu früherem Glanz verhelfen?</t>
  </si>
  <si>
    <t>Hit Mom - Mörderische Weihnachten</t>
  </si>
  <si>
    <t>Hit Mom – Mörderische Weihnachten</t>
  </si>
  <si>
    <t>TV-Film, Krimi, Komödie</t>
  </si>
  <si>
    <t>tt7658836</t>
  </si>
  <si>
    <t>Anneke Kim Sarnau, Vincent Krüger, Jürgen Tarrach, Kai Ivo Baulitz, Claudia Michelsen</t>
  </si>
  <si>
    <t>Hanni blickt nicht gerade mit Stolz auf ihr jetziges Leben. Ihre beruflichen Träume musste sie hinter sich lassen. Sie hält sich mit einem Job als Putzfrau über Wasser. Auch von ihrem Mann kann sie keine finanzielle Hilfe erwarten, um sich und Sohnemann Viktor ab und zu mal etwas leisten zu können. Eines Tages beobachtet Hanni einen fehlgeschlagenen Mordanschlag und wird von dem Killer selbst gejagt. Hanni gelingt es aber, den Mörder mittels ihrer Putzmittel auszuschalten. Durch einen schweren Sturz fällt der Mann ins Koma.</t>
  </si>
  <si>
    <t>Holidate</t>
  </si>
  <si>
    <t>tt9866072</t>
  </si>
  <si>
    <t>Emma Roberts, Luke Bracey, Kristin Chenoweth, Frances Fisher, Andrew Bachelor</t>
  </si>
  <si>
    <t>Holidate - Sloane und Jackson hassen es, in den Ferien Single zu sein, in denen sie ständig von ihren Familien beurteilt werden. Als sich diese beiden Fremden treffen, verpflichten sie sich, für jeden festlichen Anlass im kommenden Jahr das „Holidate“ des anderen zu sein.</t>
  </si>
  <si>
    <t>Im Norden strahlt der Weihnachtsstern</t>
  </si>
  <si>
    <t>Northern Lights of Christmas</t>
  </si>
  <si>
    <t>tt9029324</t>
  </si>
  <si>
    <t>Ashley Williams, Corey Sevier, Genelle Williams, Laura Miyata, Jefferson Brown</t>
  </si>
  <si>
    <t>Zoey Hathaway hat einen großen Traum: Sie will Pilotin werden. Ihr Plan gerät allerdings ins Schwanken, als sie plötzlich eine Rentierfarm erbt, wo ein gut aussehender Rancher namens Alec Wynn arbeitet. Auf einmal muss Zoey sich um den Betrieb kümmern und das intensive Weihnachtsgeschäft schmeißen. Am Anfang ist die neue Verantwortung ein Hindernis für sie, und sie weiß nicht, ob sie Alec vertrauen kann. Doch bald funkt es zwischen den beiden.</t>
  </si>
  <si>
    <t>Ist das Leben nicht schön</t>
  </si>
  <si>
    <t>Je vous souhaite d'être follement aimée</t>
  </si>
  <si>
    <t>tt3812016</t>
  </si>
  <si>
    <t>Céline Sallette, Anne Benoît, Françoise Lebrun, Elyes Aguis, Louis-Do de Lencquesaing</t>
  </si>
  <si>
    <t>Eine Frau sucht ihre leibliche Mutter, die sie zur Adoption freigegeben hat, damit sie ihrem eigenen Sohn Fragen nach seiner Herkunft beantworten kann._x000D_ Elisa, ist Physiotherapeutin, und ist für einige Monate in Dünkirchen als Vertretung in einer Praxis. Sie hat ihren Sohn Noah mit gebracht und lässt ihn in Dünkirchen zur Schule gehen. Vor 30 Jahren ist Elisa in Dünkirchen anonym geboren und von ihrer leiblichen Mutter direkt zur Adoption freigegeben worden._x000D_ Elisa hat ihre leibliche Mutter über die Adoptionsbehörde gebeten, sich zu erkennen zu geben. Aber Elisas Mutter weigert sich ihre Identität zu offenbaren. Elisa hofft auf ein Einlenken der unbekannten Mutter, wenn sie in der gleichen Stadt lebt und auch auf den Zufall.</t>
  </si>
  <si>
    <t>Königliche Weihnachten</t>
  </si>
  <si>
    <t>A Royal Christmas</t>
  </si>
  <si>
    <t>TV-Film, Liebesfilm, Familie</t>
  </si>
  <si>
    <t>tt2838678</t>
  </si>
  <si>
    <t>Lacey Chabert, Stephen Hagan, Jane Seymour, Katherine Flynn, Ionut Grama</t>
  </si>
  <si>
    <t>Emily, eine Schneiderin aus Philadelphia, freut sich auf gemeinsame Weihnachten mit ihrem Freund Leo. Doch dieser überrascht sie mit Neuigkeiten, die alles verändern. Nicht nur bittet er sie, Weihnachten mit ihm bei seiner Familie zu verbringen, sondern eröffnet ihr, dass er in Wahrheit ein Prinz ist. Angekommen im Familienschloss, sieht sich Emily mit einer Reihe Intrigen konfrontiert. Ihre Schwiegermutter in Spe und die verführerische Herzogin Natasha tun ihr Bestes, um Emily zu blamieren. Doch sie rechnen nicht mit Emilys Herzlichkeit und Güte - und der Kraft der wahren Liebe.</t>
  </si>
  <si>
    <t>Leo und Marie - Eine Weihnachtsliebe</t>
  </si>
  <si>
    <t>Wotan Wilke Möhring, Bernadette Heerwagen, Uwe Bohm</t>
  </si>
  <si>
    <t>Lieber guter Weihnachtsmann</t>
  </si>
  <si>
    <t>tt0231974</t>
  </si>
  <si>
    <t>Jochen Thomas, Hans-Joachim Hanisch, Monika Hetterle, Ute Boeden, Gerd Ehlers</t>
  </si>
  <si>
    <t>Der Weihnachtsmann, wegen seines angeblichen Versagens aus dem Himmlischen Rat verstoßen, findet auf der Erde als Heizer in einem Kinderkrankenhaus Arbeit. Seine Hilfsbereitschaft macht ihn bald unentbehrlich.</t>
  </si>
  <si>
    <t>Liebesbriefe Zu Weihnachten</t>
  </si>
  <si>
    <t>Christmas Pen Pals</t>
  </si>
  <si>
    <t>tt8942494</t>
  </si>
  <si>
    <t>Sarah Drew, Niall Matter, William Vaughan, Jag Bal, Jesse Carroll</t>
  </si>
  <si>
    <t>Hannah kehrt kurz vor Weihnachten in ihre Heimatstadt zurück. Sie muss mit dem kürzlichen Aus ihrer Beziehung klarkommen und ihr eher minder erfolgreiches Geschäft aufpäppeln. Kaum angekommen, läuft sie ihrem High-School-Freund Sam über den Weg, den sie über die Jahre bewusst ignorierte. Ihrem Vater zuliebe meldet sie sich außerdem bei Christmas Cupid an, einem örtlichen romantischen Brieffreundschafts-Dienst. Bald schon entdeckt sie aber dessen schöne Seite: Ein jeder Brief ihres anonymen Verehrers berührt ihr Herz, doch erst an Weihnachten wird die Identität ihres Brieffreunds offenbart...</t>
  </si>
  <si>
    <t>Long Lost Christmas - Wiedersehen zu Weihnachten</t>
  </si>
  <si>
    <t>Long Lost Christmas</t>
  </si>
  <si>
    <t>tt22307560</t>
  </si>
  <si>
    <t>Taylor Cole, Benjamin Ayres, Camille Mitchell, Jacqueline Ann Steuart, Grant Vlahovic</t>
  </si>
  <si>
    <t>Die Innenarchitektin Hayley versucht, ihre kürzlich verwitwete Mutter Patricia mit dem perfekten Weihnachtsgeschenk zu überraschen. Sie will ein Fest mit der Großfamilie organisieren, von der sie weiß, dass ihre Mutter sich nach ihr sehnt. Hayley hat entdeckt, dass Patricia einen Bruder hat, zu dem kein Kontakt mehr besteht. Sie hofft, ihren Onkel zu finden und die beiden Geschwister zu Weihnachten wieder zusammenzubringen.</t>
  </si>
  <si>
    <t>Perfect Strangers</t>
  </si>
  <si>
    <t>Lost at Christmas</t>
  </si>
  <si>
    <t>tt9144004</t>
  </si>
  <si>
    <t>Natalie Clarke, Kenny Boyle, Sylvester McCoy, Sanjeev Kohli, Clare Grogan</t>
  </si>
  <si>
    <t>Es ist Heiligabend im schottischen Fort William, als die beiden frisch gebackenen Singles Jen und Rob im Schneesturm aufeinandertreffen. Sie beschließen, sich gemeinsam auf den rund 100 Meilen weiten Weg nach Hause zu machen. Während das Wetter immer bedrohlicher wird, durchqueren sie streitend die einsame Landschaft und erreichen ein abgelegenes Gästehaus, in dem jedoch nur noch ein Zimmer frei ist. Widerwillig erkennen Jen und Rob, dass sie den Weihnachtsabend wohl oder übel zusammen verbringen müssen.</t>
  </si>
  <si>
    <t>Lucky Christmas – Ein Hauptgewinn zu Weihnachten</t>
  </si>
  <si>
    <t>Lucky Christmas</t>
  </si>
  <si>
    <t>Familie, Drama, Liebesfilm, TV-Film</t>
  </si>
  <si>
    <t>tt2039366</t>
  </si>
  <si>
    <t>Elizabeth Berkley, Jason Gray-Stanford, Samantha Kendrick, Julia Arkos, Mitchell Kummen</t>
  </si>
  <si>
    <t>In Sachen Männer und Jobs hat die alleinerziehende Mutter und begnadete Köchin Holly Ceroni (Elizabeth Berkley) das Pech gepachtet. In der Adventszeit kauft sie sich schließlich ein Lotterielos, um vielleicht im nächsten Jahr etwas Glück zu haben. Doch ausgerechnet nun stehlen Diebe ihren Wagen mitsamt des Loses im Handschuhfach. Zu allem Überfluss scheint sie die passenden Zahlen für den Jackpot zu haben. Glücklicherweise haben die Autodiebe Mike (Jason Gray-Stanford) und Joe (Mike Bell) ein gutes Herz und geben das Gewinnerlos zurück, aber nicht ganz ohne Hintergedanken: So soll sich Mike an Holly heranmachen und ihr so einen Teil des Geldes auf die „romantische“ Art abluchsen. Aber er ist ganz hin und weg von der attraktiven Frau und versteht sich auch noch wunderbar mit ihrem Sohn Max (Mitchell Kummen). Es ist um ihn geschehen, er ist verliebt... was wird nun aus dem Plan?</t>
  </si>
  <si>
    <t>Max - Meine Weihnachtshilfe auf vier Pfoten</t>
  </si>
  <si>
    <t>My Christmas Guide</t>
  </si>
  <si>
    <t>TV-Film, Komödie, Liebesfilm, Drama</t>
  </si>
  <si>
    <t>tt29353026</t>
  </si>
  <si>
    <t>Amber Marshall, Ben Mehl, Ava Weiss, Justin Nurse, Pete Soucy</t>
  </si>
  <si>
    <t>College-Professor Trevor Donovan hat sein Augenlicht verloren. Als er sich einen Blindenhund zulegen will, lernt er die Hundetrainerin Peyton kennen.</t>
  </si>
  <si>
    <t>Mein Weihnachtstraum</t>
  </si>
  <si>
    <t>André Rieu: Mein Weihnachtstraum</t>
  </si>
  <si>
    <t>tt1525321</t>
  </si>
  <si>
    <t>André Rieu</t>
  </si>
  <si>
    <t>Meine Weihnachtsliebe</t>
  </si>
  <si>
    <t>A Chance of Snow</t>
  </si>
  <si>
    <t>tt0181359</t>
  </si>
  <si>
    <t>JoBeth Williams, Michael Ontkean, Barbara Barrie, Dey Young, Peter Syvertsen</t>
  </si>
  <si>
    <t>Am Flughafen von Minneapolis geht gar nichts mehr. Die Zufahrtsstraßen sind verschneit, der Luftverkehr wird eingestellt. Und das an Weihnachten! Maddie sitzt mit ihren beiden Töchtern fest. Als ob sie nicht schon genug Ärger hätte. Erst am Morgen hat sie die Scheidungspapiere unterschrieben. Jetzt trifft sie auch noch Mat jenen Mann, von dem sie sich doch eigentlich trennen wollte</t>
  </si>
  <si>
    <t>Noelle</t>
  </si>
  <si>
    <t>United States, United Kingdom, Canada, China</t>
  </si>
  <si>
    <t>Familie, Komödie, Fantasy</t>
  </si>
  <si>
    <t>tt5097410</t>
  </si>
  <si>
    <t>Anna Kendrick, Bill Hader, Kingsley Ben-Adir, Billy Eichner, Julie Hagerty</t>
  </si>
  <si>
    <t>Kris Kringles Tochter ist von Weihnachten beseelt, wünscht sich aber, sie könnte etwas Wichtiges tun, wie ihr Bruder Nick, der dieses Jahr den Stab von seinem Vater übernimmt und für Weihnachten verantwortlich ist. Als Nick drauf und dran ist, wie ein Lebkuchen unter dem Druck zu zerbröseln, schlägt Noelle vor, dass er sich eine kurze Auszeit nimmt - aber als er nicht zurückkehrt, muss Noelle ihn finden und rechtzeitig nach Hause bringen, um Weihnachten zu retten.</t>
  </si>
  <si>
    <t>Plötzlich verlobt</t>
  </si>
  <si>
    <t>Hashtag Proposal</t>
  </si>
  <si>
    <t>tt24754960</t>
  </si>
  <si>
    <t>Scout Taylor-Compton, Mark Famiglietti, Charlene Tilton, Madison McKinley, Derek Chadwick</t>
  </si>
  <si>
    <t>Ein vorgetäuschter Heiratsantrag zwischen zwei Fremden wird gefilmt und geht viral. Als die ganze Aufmerksamkeit ihnen bei ihren schwierigen Lebens- und Geschäftsproblemen hilft, tun Millie und Leo so als ob, und versuchen gleichzeitig zu ignorieren, dass sie vielleicht gar nicht mehr spielen.</t>
  </si>
  <si>
    <t>PS Es weihnachtet sehr</t>
  </si>
  <si>
    <t>Write Before Christmas</t>
  </si>
  <si>
    <t>tt10345008</t>
  </si>
  <si>
    <t>Torrey DeVitto, Chad Michael Murray, Lolita Davidovich, Drew Seeley, David Quinlan</t>
  </si>
  <si>
    <t>Nachdem Jessica kurz vor Weihnachten von ihrem Freund verlassen wurde, beschließt sie, eine Weihnachtskarte an die fünf Personen zu schicken, die ihr Leben auf besondere Weise geprägt habe: an ihre Tante, bei der sie aufgewachsen ist, ihren Bruder beim Militär, den Popsänger Jax, ihre beste Freundin und an ihre ehemalige Musiklehrerin. Schon kurz darauf kommt es zu einer magischen Begegnung, die ihr Leben verändert.</t>
  </si>
  <si>
    <t>Santa Bootcamp - Training für ein perfektes Fest</t>
  </si>
  <si>
    <t>Santa Bootcamp</t>
  </si>
  <si>
    <t>tt21650446</t>
  </si>
  <si>
    <t>Rita Moreno, Emily Kinney, John Schuck, Marissa Jaret Winokur, Deanne Bray</t>
  </si>
  <si>
    <t>Der Kaufhausmagnat Ed beauftragt Event-Planerin Emily, eine Weihnachtsgala für seine Investoren zu organisieren. Dafür wird sie ins „Santa Bootcamp“ geschickt, um die nötige Inspiration für einen perfekten Abend zu bekommen.</t>
  </si>
  <si>
    <t>Santa's Summer House</t>
  </si>
  <si>
    <t>Family, Fantasy</t>
  </si>
  <si>
    <t>tt2350954</t>
  </si>
  <si>
    <t>Gary Daniels, Cynthia Rothrock, Daniel Bernhardt</t>
  </si>
  <si>
    <t>Als der Van einer kleinen Gruppe Reisender samt Hund irgendwo im amerikanischen Nirgendwo unvermittelt in einer plötzlich auftauchenden Nebelbank den Geist aufgibt, werden sie von den Bewohnern einer herrschaftlichen Villa mit offenen Armen willkommen geheißen. Nana Claus und Pop Claus fordern die Gruppe auf, doch gleich über das Wochenende zu bleiben und eine besinnliche Auszeit zu nehmen. Nicht nur dem jungen Andy kommt dieses freundliche Paar äußerst seltsam vor. - Und sieht der weißhaarige Mr. Claus nicht auch aus wie... der Weihnachtsmann?</t>
  </si>
  <si>
    <t>Schneesturm im Paradies</t>
  </si>
  <si>
    <t>Trapped in Paradise</t>
  </si>
  <si>
    <t>Komödie, Krimi, Abenteuer, Liebesfilm</t>
  </si>
  <si>
    <t>tt0111477</t>
  </si>
  <si>
    <t>Nicolas Cage, Jon Lovitz, Dana Carvey, Mädchen Amick, Florence Stanley</t>
  </si>
  <si>
    <t>Ausgerechnet an Heiligabend kommen die drei Firpo-Brüder Bill, Dave und Alvin auf die glorreiche Idee, dem kleinen, verschlafenen Städtchen Paradise einen Besuch abzustatten. Ein liebenswerter Ort, mit noch liebenswerteren Bewohnern und einer geradezu sträflich unbewachten Bank. Diese Gelegenheit können sich die drei schrägen Vögel natürlich nicht entgehen lassen und schneller als die Polizei erlaubt, befinden sich die Firpos im Besitz von 270.000 Dollar. Das einzige, woran die drei jetzt noch denken, ist eine möglichst schnelle Flucht. Doch leichter gesagt als getan, denn Paradise ist komplett eingeschneit und rund um die Stadt toben wilde Schneestürme. Der erste Versuch, die Stadt zu verlassen, endet im Chaos, denn die Firpos fallen mitsamt ihrem Wagen von einer Brücke. Klatschnass, ohne Wagen und total frustriert haben die drei Pechvögel doch noch Glück im Unglück, denn ein freundlicher Autofahrer nimmt sie „netterweise“ mit nach Paradise.</t>
  </si>
  <si>
    <t>Snow Cake - Der Geschmack von Schnee</t>
  </si>
  <si>
    <t>Snow Cake</t>
  </si>
  <si>
    <t>Canada, United Kingdom</t>
  </si>
  <si>
    <t>tt0448124</t>
  </si>
  <si>
    <t>Alan Rickman, Sigourney Weaver, Carrie-Anne Moss, Emily Hampshire, James Allodi</t>
  </si>
  <si>
    <t>Der verschlossene Engländer Alex wird in der verschneiten Weite Ontarios in einen Autounfall verwickelt, gerade als die Anhalterin Vivienne bei ihm eingestiegen ist. Die junge Frau stirbt noch am Unfallort. Voller Schuldgefühle sucht der 50-jährige Alex Viviennes Mutter auf. Doch Linda ist keine gewöhnliche Mom: Sie ist Autistin und kann ihre Trauer nicht zeigen. Alex beschließt, ein paar Tage bei Linda zu bleiben, bis deren Eltern zur Beerdigung eintreffen. Immer mehr nimmt er an ihrem Leben teil und beginnt zudem eine Affäre mit der schönen Nachbarin Maggie, die alle Gefühle routiniert auf Distanz hält. Doch langsam beginnen sich die Charaktere zu verwandeln, und als der Schnee schmilzt, ist das Leben für keinen der drei mehr so, wie es war.</t>
  </si>
  <si>
    <t>Süße Weihnachten</t>
  </si>
  <si>
    <t>A Belgian Chocolate Christmas</t>
  </si>
  <si>
    <t>tt22500038</t>
  </si>
  <si>
    <t>Jaclyn Hales, Zane Stephens, Maria Pinsent, Sarah Pribis, Andrew Rogers</t>
  </si>
  <si>
    <t>Fotografin Kate übernimmt zu Weihnachten den Platz ihrer Freundin in einer belgischen Kochschule und nimmt Kontakt zum führenden Chocolatier Mathias auf. Während die Romantik aufblüht, besteht das einzige Problem in einer falschen Identität.</t>
  </si>
  <si>
    <t>Tatsächlich… Liebe</t>
  </si>
  <si>
    <t>Love Actually</t>
  </si>
  <si>
    <t>tt0314331</t>
  </si>
  <si>
    <t>Hugh Grant, Alan Rickman, Emma Thompson, Liam Neeson, Martine McCutcheon</t>
  </si>
  <si>
    <t>In der Vorweihnachtszeit schlagen die Gefühlswellen hoch. So verspürt etwa Englands Premier eine unziemliche Zuneigung zu einer Mitarbeiterin, zwei Pornodarsteller müssen ihre Schüchternheit überwinden und ein verstörter Schriftsteller findet erst in der Ferne sein Glück. Eine junge Werberin trifft in Beziehungsdingen immer die falschen Entscheidungen, während eine frischgebackene Ehefrau die Liebe des besten Freundes ihres Mannes entfacht und ein trauriger Witwer die Liebe erst (wieder) lernen muss.</t>
  </si>
  <si>
    <t>The Christmas Retreat - Eine festliche Auszeit</t>
  </si>
  <si>
    <t>The Christmas Retreat</t>
  </si>
  <si>
    <t>tt21334846</t>
  </si>
  <si>
    <t>Rhiannon Fish, Clayton James, Lynn Whyte, Marc Gaudet, Jonathan Purvis</t>
  </si>
  <si>
    <t>Das Weihnachtsfest steht vor der Tür. Und ausgerechnet jetzt wird Kim von ihrem Freund verlassen. Um sie wieder aufzubauen, fährt ihre Mutter mit ihr eine paar Tage weg. Dabei lernt Kim den gerade arbeitslos gewordenen Mark kennen.</t>
  </si>
  <si>
    <t>The Heart of Christmas</t>
  </si>
  <si>
    <t>Drama, Familie, TV-Film</t>
  </si>
  <si>
    <t>tt2094146</t>
  </si>
  <si>
    <t>Eric Jay Beck, Jeanne Neilson, Christopher Shone, Erin Bethea, Burgess Jenkins</t>
  </si>
  <si>
    <t>Der Film basiert auf der wahren Geschichte der in Washington, D. C. lebenden Familie Locke. Einer Familie, die voller Angst um das Leben ihres Sohnes Dax ist, der an einer besonders seltenen und aggressiven Form von Leukämie schon im Kleinkindalter erkrankt und dessen Therapiemöglichkeiten erschöpft sind. In Zeiten dieser Not stehen die Nachbarn und die Heimatstadt zusammen, um dem kleinen Dax ein unvergessliches Weihnachtsfest mitten im Oktober zu bereiten. Die Liebe und Unterstützung aller Freunde und Nachbarn gibt den Lockes die entscheidende Kraft in dieser besonders harten Zeit.</t>
  </si>
  <si>
    <t>The Noel Diary</t>
  </si>
  <si>
    <t>tt13007592</t>
  </si>
  <si>
    <t>Justin Hartley, Barrett Doss, Bonnie Bedelia, Essence Atkins, James Remar</t>
  </si>
  <si>
    <t>Der Bestsellerautor Jake Turner (Justin Hartley) war seit fast zwanzig Jahren nicht mehr zu Hause. Als ein Anwalt ihn jedoch ein paar Tage vor Weihnachten anruft, um ihm mitzuteilen, dass seine Mutter gestorben ist und ihm ihr Haus hinterlassen hat, kehrt Jacob zurück, um den Nachlass zu regeln und um zu versuchen, mit der Vergangenheit Frieden zu schließen. Aber wie sich herausstellt, birgt das Haus mehr als nur schmerzhafte Erinnerungen. Als Jacob sich durch die Habseligkeiten seiner Mutter arbeitet, entdeckt er ein Tagebuch von einer gewissen Noel. Doch dies ist nicht das einzige Echo aus der Vergangenheit. Eine unerwartete Besucherin taucht auf, die nach ihrer Mutter sucht, die sie vor dreißig Jahren zur Adoption freigegeben hat. Vereint durch ihren Wunsch, die Vergangenheit zu verstehen und ihre Zukunft neu zu schreiben, beginnen Jacob und Rachel (Barrett Doss) mit der Suche nach Noel. Auf ihrem Weg finden sie Vergebung und eine Chance auf Liebe.</t>
  </si>
  <si>
    <t>This Christmas</t>
  </si>
  <si>
    <t>tt0937375</t>
  </si>
  <si>
    <t>Loretta Devine, Delroy Lindo, Idris Elba, Regina King, Laz Alonso</t>
  </si>
  <si>
    <t>Zum ersten Mal seit Jahren sind alle Kinder der Familie Whitfield nach Hause gekommen, um gemeinsam mit ihrer Mutter und deren Freund Joe Weihnachten zu feiern. Jeder einzelne von ihnen hat reichlich Probleme im Gepäck mitgebracht. Während sie die Lichter aufhängen und den Baum schmücken, werden Geheimnisse enthüllt und Bindungen auf eine harte Belastungsprobe gestellt. Doch als die einzelnen Mitglieder der Familie sich wieder einander annähern, finden sie einen neuen Zusammenhalt, der ihnen hilft, das wunderbare Geschenk der Familienbande neu zu entdecken und zu feiern.</t>
  </si>
  <si>
    <t>...und den Weihnachtsmann gibts doch!</t>
  </si>
  <si>
    <t>Yes Virginia, There Is a Santa Claus</t>
  </si>
  <si>
    <t>Familie, Fantasy, TV-Film</t>
  </si>
  <si>
    <t>tt0103305</t>
  </si>
  <si>
    <t>Richard Thomas, Charles Bronson, Katharine Isabelle, Ed Asner, Tamsin Kelsey</t>
  </si>
  <si>
    <t>Ein herrlicher Weihnachtsmorgen in New York, am Anfang des 20. Jahrhunderts. Der Arbeitslose James O’Hanlan ist sehr traurig darüber, dass er seinen Kindern keine Weihnachtsgeschenke kaufen kann. Und so erzählt er ihnen schweren Herzens, dass es keinen Weihnachtsmann gäbe. Doch die kleine fünfjährige Virginia und ihre Geschwister wollen es nicht glauben und schreiben gemeinsam an die berühmteste Tageszeitung, die New York Sun. An dem Tag, an welchem sie eine Antwort erhalten, steht dann auch noch die größte Überraschung ihres Lebens vor der Tür: Der Weihnachtsmann.</t>
  </si>
  <si>
    <t>Verliebt im Schnee - Ein Winter in Colorado</t>
  </si>
  <si>
    <t>Winter in Vail</t>
  </si>
  <si>
    <t>tt11439610</t>
  </si>
  <si>
    <t>Lacey Chabert, Tyler Hynes, Sage Kitchen, Greg Lawson, Marla Renae</t>
  </si>
  <si>
    <t>Nach einer atemberaubenden Präsentation glaubt Chelsea, dass sie endlich befördert wird. Doch als ihr ein externer Bewerber vor die Nase gesetzt wird, beschließt sie in dem kleinen Ferienort Vail, in den Bergen Colorados, einen Neuanfang zu starten. Dort lernt sie den den charmanten Handwerker Owen kennen und beginnt nach und nach nicht nur den malerischen Ort zu lieben.</t>
  </si>
  <si>
    <t>Verliebt in meinen Weihnachtsschwarm</t>
  </si>
  <si>
    <t>The Christmas Setup</t>
  </si>
  <si>
    <t>TV-Film, Drama, Liebesfilm</t>
  </si>
  <si>
    <t>tt13147656</t>
  </si>
  <si>
    <t>Ben Lewis, Blake Lee, Fran Drescher, Ellen Wong, Chad Connell</t>
  </si>
  <si>
    <t>Der Anwalt Hugo und seine beste Freundin Madelyn reisen in Hugos Heimatstadt, um das Weihnachtsfest mit Hugos Mutter Kate zu verbringen. Kate hat arrangiert, dass Hugo auf seinen ehemaligen Schwarm Patrick trifft, der vor Kurzem aus dem Silicon Valley hierher zurückgekehrt ist. Während der Feiertage kommen sich die beiden immer näher, und sie bemühen sich außerdem, den vom Abriss bedrohten Bahnhof zu retten.</t>
  </si>
  <si>
    <t>I Never Promised You a Rose Garden</t>
  </si>
  <si>
    <t>tt0076172</t>
  </si>
  <si>
    <t>Kathleen Quinlan, Bibi Andersson, Ben Piazza, Lorraine Gary, Martine Bartlett</t>
  </si>
  <si>
    <t>Ein 16 jähriges Mädchen wird aufgrund Auffälligkeiten in eine Psychiatrie eingewiesen. Dort verliert sie den Blick für Wirklichkeit und Phantasie.</t>
  </si>
  <si>
    <t>Viel Lärm um Weihnachten</t>
  </si>
  <si>
    <t>Much Ado About Christmas</t>
  </si>
  <si>
    <t>tt11585172</t>
  </si>
  <si>
    <t>Torrance Coombs, Susie Abromeit, Jacinta Mulcahy, James Rottger, Jimmy Townsend</t>
  </si>
  <si>
    <t>Haley ist bekannt für ihre Wohltätigkeitsarbeit. Als sie sich in Claude Miller verliebt, verschweigt sie ihren wohlhabenden Hintergrund. Eine moderne Nacherzählung von Shakespeares Stück "Viel Lärm um nichts" im weihnachtlichen Stil.</t>
  </si>
  <si>
    <t>Vier Schwestern zu Weihnachten</t>
  </si>
  <si>
    <t>The March Sisters at Christmas</t>
  </si>
  <si>
    <t>tt2329032</t>
  </si>
  <si>
    <t>Julie Berman, Kaitlin Doubleday, Molly Kunz, Justin Bruening, Charlie Hofheimer</t>
  </si>
  <si>
    <t>Jo, Meg, Beth und Amy March sind Schwestern. Als sie erfahren, dass ihre Mutter plant, Orchard House, das Haus ihrer Kindheit, zu verkaufen, sind sie schwer erschüttert. Doch die Eltern können sich die dringend nötigen Reparaturen nicht leisten, und sobald sie nach Weihnachten wieder zu Hause sind, soll das Haus einen  neuen Besitzer bekommen.</t>
  </si>
  <si>
    <t>Vier Weihnachten und eine Hochzeit</t>
  </si>
  <si>
    <t>Four Christmases and a Wedding</t>
  </si>
  <si>
    <t>tt7642558</t>
  </si>
  <si>
    <t>Arielle Kebbel, Corey Sevier, Madison Smith, Markie Post, Donna Benedicto</t>
  </si>
  <si>
    <t>Chloe Taylor, die die Hoffnung auf den Mann fürs Leben aufgegeben hat, organisiert mit Freunden den Weihnachtsmarkt von Fairmont. Dort lernt sie Evan Mathers kennen. Bevor die beiden ein Paar werden, wird noch dreimal Weihnachten gefeiert.</t>
  </si>
  <si>
    <t>Völlig verrückte Weihnachten</t>
  </si>
  <si>
    <t>Christmas in the Heartland</t>
  </si>
  <si>
    <t>tt3396114</t>
  </si>
  <si>
    <t>Sierra McCormick, Brighton Sharbino, Bo Derek, Shelley Long, Christopher Rich</t>
  </si>
  <si>
    <t>Kara Gentry (Sierra McCormick) und Jessie Wilkins (Brighton Sharbino) könnten verschiedener nicht sein: Kara ist das Prinzesschen einer wohlhabenden Familie und genießt alle damit einhergehenden Annehmlichkeiten. Jessie hingegen stammt aus einer ganz anderen, viel bodenständigeren Welt. Sie hatte es bisher alles andere als leicht und auch Kara musste den ein oder anderen Schicksalsschlag ertragen. Als die beiden durch einen Zufall im Flugzeug nebeneinander sitzen, bemerken sie, dass sie eine Menge gemeinsam haben. Zudem sollen die beiden Teenager Weihnachten jeweils bei ihrer Familie auf dem Land verbringen. Doch die Mädchen haben ihre Großeltern noch nie getroffen und so kommt ihnen ein unsäglicher Streich in den Sinn, um die Feiertage ein bisschen spannender zu gestalten. Während es zunächst scheint, als hätte die jeweils andere es viel leichter, merken die beiden Mädchen bald, dass jede ihre Schwierigkeiten im Leben zu meistern hat...</t>
  </si>
  <si>
    <t>Weihnachten … ohne mich, mein Schatz!</t>
  </si>
  <si>
    <t>Holly Star</t>
  </si>
  <si>
    <t>tt6268734</t>
  </si>
  <si>
    <t>Katlyn Carlson, Michael A. Nickles, Teya Patt, Brian Muller, John Farrell</t>
  </si>
  <si>
    <t>Sloan Kelly hat genug! Mehr als ernüchtert macht sie sich auf den Weg nach Hause, um die Feiertage in ihrer Heimatstadt zu verbringen. Gerade erst hat sie ihren Job als Puppenspielerin verloren, in der Liebe hat sie auch kein Glück und alles was schieflaufen kann, läuft schief. Kurzum: Sloan ist vom Pech verfolgt. Dann wird sie auch noch beinahe von einem Truck überfahren. Doch dieses Nah-Tod-Erlebnis ist für Sloan Fluch und Segen zugleich, denn in ihrer Ohnmacht hat sie eine Vision von ihrem Großvater. Und dieser erzählt ihr von einem geheimnisvollen Schatz. Gemeinsam mit ihrer Paintball-besessenen und abenteuerlustigen Freundin Kay, ihrer tanzwütigen Großmutter und ihrem Kindheits-Schwarm begibt sie sich auf die Suche nach dem Schatz und ihrem ganz persönlichen Glück. Dabei lässt die wilde Truppe kein Hindernis aus. Wird Sloan ihren Schatz finden und sich auf das Wichtigste im Leben besinnen können?</t>
  </si>
  <si>
    <t>Weihnachten ahoi!</t>
  </si>
  <si>
    <t>USS Christmas</t>
  </si>
  <si>
    <t>TV-Film, Mystery</t>
  </si>
  <si>
    <t>tt13341592</t>
  </si>
  <si>
    <t>Jen Lilley, Trevor Donovan, Barbara Niven, Stefanie Butler, Brett Rice</t>
  </si>
  <si>
    <t>Die junge Zeitungs-Reporterin Maddie begibt sich während der Weihnachtszeit auf eine Kreuzfahrt. An Bord des Schiffes enthüllt sie nicht nur ein brisantes Geheimnis, sondern kommt auch einem gutaussehenden Marineoffizier näher.</t>
  </si>
  <si>
    <t>Weihnachten an der Küste</t>
  </si>
  <si>
    <t>Christmas on the Coast</t>
  </si>
  <si>
    <t>tt6709502</t>
  </si>
  <si>
    <t>Julie Ann Emery, Burgess Jenkins, Bonnie Bedelia, Clarence Gilyard Jr., Cait Pool</t>
  </si>
  <si>
    <t>Eine Großstadt-Schriftstellerin, die unbedingt ihre Karriere retten möchte, kehrt zu Weihnachten in ihre kleine Heimatstadt an der Küste zurück und hofft dort die nötige Inspiration zu finden. Dort erwarten sie nicht nur eine Flut an längst vergessenen Kindheitserinnerungen - sie trifft außerdem auf einen attraktiven Mann, der ihr kaltes New Yorker Herz langsam zum schmelzen bringt.</t>
  </si>
  <si>
    <t>Weihnachten bei dir oder bei mir - 2</t>
  </si>
  <si>
    <t>Santa Paws 2: The Santa Pups</t>
  </si>
  <si>
    <t>Familie, Fantasy, Abenteuer</t>
  </si>
  <si>
    <t>tt2414212</t>
  </si>
  <si>
    <t>Genevieve Hannelius, Tatiana Gudegast, Marlowe Peyton, Aidan Gemme, Cheryl Ladd</t>
  </si>
  <si>
    <t>Santa Pfote ist Vater gleich eines ganzen Wurfes geworden. In der Schule ist den Welpen nur schwer bei zu kommen. Die vorwitzigen Racker verstecken sich im Schlitten von Santas Frau und gelangen in die Ortschaft Hicksville, wo sie erstmal ordentliches Chaos schaffen, um dann doch noch gemeinsam dafür zu sorgen, dass der Geist der Weihnacht erhalten bleibt.</t>
  </si>
  <si>
    <t>Weihnachten bei dir oder bei mir</t>
  </si>
  <si>
    <t>An Almost Christmas Story</t>
  </si>
  <si>
    <t>United States, India</t>
  </si>
  <si>
    <t>Animation, Abenteuer, Fantasy, Familie</t>
  </si>
  <si>
    <t>tt33395815</t>
  </si>
  <si>
    <t>Cary Christopher, Estella Madrigal, Jim Gaffigan, Mamoudou Athie, Alex Ross Perry</t>
  </si>
  <si>
    <t>Nachdem der Weihnachtsmann – Codename: RED ONE – entführt wurde, muss sich der Sicherheitschef des Nordpols mit dem berüchtigtsten Kopfgeldjäger der Welt in einer actiongeladenen Mission zusammenschließen, um Weihnachten zu retten.</t>
  </si>
  <si>
    <t>Weihnachten des Herzens</t>
  </si>
  <si>
    <t>Heart of the Holidays</t>
  </si>
  <si>
    <t>tt13286622</t>
  </si>
  <si>
    <t>Vanessa Lengies, Corey Sevier, René Escobar Jr., Paul Sun-Hyung Lee, Jayne Eastwood</t>
  </si>
  <si>
    <t>Sam Wallace, eine Börsenmaklerin an der Wall Street, kehrt für die Feiertage in ihre kleine Heimatstadt Crawleigh zurück, nachdem sie ihren Job verloren hat und sich von ihrem Freund Will aufgrund eines Skandals getrennt hat. Auf Drängen ihrer liebevollen Mutter Tammy nimmt Sam widerwillig an Weihnachtsveranstaltungen teil und trifft auf ihren Ex-Freund Noah, den Besitzer eines Cafés und Trainer der örtlichen Kinder-Eishockeymannschaft. Trotz anfänglicher Ablehnung beteiligt sich Sam an Noahs Lebensmittelsammlung für eine benachbarte Stadt, die mit Arbeitslosigkeit zu kämpfen hat, und belebt die Lebensmittelausgabe mit Weihnachtsgeist. Während sich Sam und Noah wieder annähern und ihre Gefühle zueinander eingestehen, taucht Sams Ex-Freund Will wieder auf und bietet ihr einen Job beim Roten Kreuz in New York an.</t>
  </si>
  <si>
    <t>Weihnachten im Schnee</t>
  </si>
  <si>
    <t>tt11492950</t>
  </si>
  <si>
    <t>Katharina Schüttler, Ulrike Kriener, Rainer Bock</t>
  </si>
  <si>
    <t>Die erwachsenen Geschwister Annika, Sanne und Bastian fallen aus allen Wolken: Weihnachten soll dieses Jahr im Schnee stattfinden, genauer gesagt in einer Hütte in Norwegen. Eigentlich feiert die Familie das Fest der Liebe immer gemeinsam in Hamburg. Doch Gitta und Henri Johnen haben kurzerhand das Ferienhaus von Finja Lund gebucht. Die E-Mail, die sie ihren Kindern kurz vor den Feiertagen schicken, stellt die alljährliche Weihnachtsroutine erst mal auf den Kopf. Buchhalterin Annika, die gemeinsam mit Ehemann Christoph den 15-jährigen Sohn Simon hat, ist nicht gerade besinnlicher Stimmung</t>
  </si>
  <si>
    <t>Weihnachten Undercover</t>
  </si>
  <si>
    <t>Debbie Macomber's Dashing Through The Snow</t>
  </si>
  <si>
    <t>TV-Film, Familie, Mystery, Liebesfilm</t>
  </si>
  <si>
    <t>tt5070196</t>
  </si>
  <si>
    <t>Meghan Ory, Andrew W. Walker, Rukiya Bernard, Aaron Craven, Colleen Winton</t>
  </si>
  <si>
    <t>Nach einem Chaos am Flughafen, ist Ashley dazu gezwungen, den letzten Mietwagen mit einem Unbekannten zu teilen, um rechtzeitig an Weihnachten zu Hause zu sein. Ihre Reise mit dem gutaussehenden Dash verläuft allerdings nicht nach Plan. Allmählich kommen sich die beiden näher, doch dann merkt Ashley, dass Dash nicht derjenige ist, der er vorgibt zu sein.</t>
  </si>
  <si>
    <t>Weihnachtliche Begegnung - Liebe ist mehr als ein Zufall</t>
  </si>
  <si>
    <t>A Godwink Christmas: Meant For Love</t>
  </si>
  <si>
    <t>tt10926350</t>
  </si>
  <si>
    <t>Cindy Busby, Benjamin Hollingsworth, Kathie Lee Gifford, Hilary Jardine, Toby Levins</t>
  </si>
  <si>
    <t>Alice und Jack treffen zufällig bei einer Hochzeit aufeinander. Beide verstehen sich gut, doch Alice zögert zunächst, sich auf Jack einzulassen. Als sich beide immer wieder über den Weg laufen, verlieben sie sich ineinander. Doch das berufliche und private Leben der beiden stellt sich der Romanze immer wieder in den Weg. Werden sie dennoch zueinander finden?</t>
  </si>
  <si>
    <t>Weihnachtsgeschenke von Tiffany</t>
  </si>
  <si>
    <t>Something from Tiffany's</t>
  </si>
  <si>
    <t>tt16233952</t>
  </si>
  <si>
    <t>Zoey Deutch, Kendrick Sampson, Ray Nicholson, Leah Sava Jeffries, Shay Mitchell</t>
  </si>
  <si>
    <t>Nichts ist vergleichbar mit dem Zauber und der Aufregung der Feiertage in New York City, wo die Straßen im Lichterglanz erstrahlen, die Schaufenster glänzen und eine besondere Schachtel von Tiffany den Verlauf des Lebens eines Menschen verändern kann. Oder mehrerer Leben. Rachel (Zoey Deutch) und Gary (Ray Nicholson) sind zwar glücklich, aber noch nicht bereit für die große Liebe. Ethan (Kendrick Smith Sampson) und Vanessa (Shay Mitchell), das perfekte Paar, sind kurz davor, es offiziell zu machen. Als sich ihre Wege durch eine einfache Verwechslung von Geschenken kreuzen, kommt es zu einer Reihe von Wendungen und unerwarteten Entdeckungen, die sie dorthin führen, wo sie wirklich hingehören. Denn die Liebe - wie das Leben - steckt voller Überraschungen.</t>
  </si>
  <si>
    <t>Weihnachtsglocken Liebe in letzter Minute</t>
  </si>
  <si>
    <t>Christmas Belles</t>
  </si>
  <si>
    <t>tt11120440</t>
  </si>
  <si>
    <t>Raven Goodwin, Dominique Perry, Omar Gooding, Mark Taylor, Janet Hubert</t>
  </si>
  <si>
    <t>Obwohl sie durchaus erfolgreiche Karriere verfolgen, hören zwei 30-jährige beste Freundinnen immer wieder, dass sie beide einen Mann brauchen, bevor es zu spät ist. Als ein hübscher Pastor gerade rechtzeitig zum Auftakt der Weihnachtszeit eintrifft, versuchen beide Damen, ihn zu umwerben - aber da ihre lustigen Versuche, sich gegenseitig zu stärken, weiter zunehmen, liegt es an ihrer Familie, sie daran zu erinnern, worum es an Weihnachten wirklich geht...</t>
  </si>
  <si>
    <t>Weihnachts-Männer</t>
  </si>
  <si>
    <t>Weihnachts - Männer</t>
  </si>
  <si>
    <t>TV-Film, Familie, Komödie</t>
  </si>
  <si>
    <t>tt4583386</t>
  </si>
  <si>
    <t>Heiner Lauterbach, Oliver Korittke, Wolfgang Stumph, Annette Frier, Martin Brambach</t>
  </si>
  <si>
    <t>Auf frischer Tat werden Fritz, Walter und Andi bei einem Wohnungseinbruch erwischt. Aber bilden die drei Freunde im Weihnachtsmann-Kostüm wirklich eine gesuchte Verbrecherbande? Das soll Kommissarin Bremer ausgerechnet an Heiligabend herausfinden. Während ihre Familie bereits zu Hause wartet, muss sie sich mehr ungewöhnliche Geständnisse anhören, als ihr lieb ist. Aber das Verhör abgeben geht nicht, denn ihr intriganter Kollege wartet nur darauf, den prestigeträchtigen Fall zu übernehmen.</t>
  </si>
  <si>
    <t>Weiße Weihnachten</t>
  </si>
  <si>
    <t>Blinky Bill's White Christmas</t>
  </si>
  <si>
    <t>Australia, Germany</t>
  </si>
  <si>
    <t>Animation, Familie, TV-Film</t>
  </si>
  <si>
    <t>tt0956328</t>
  </si>
  <si>
    <t>Robyn Moore, Keith Scott, Sarah Aubrey, Shane Withington</t>
  </si>
  <si>
    <t>Weihnachten steht vor der Tür. Die Greenpatcher stecken in den Vorbereitungen für das Fest. Nur Blinky Bill macht Unsinn. Prompt geht eine alte Schneekugel mit integriertem Tannenbaum zu Bruch, die Wombo an ein Weihnachtfest in Europa erinnert. Blinky will den Schaden wieder gut machen. Er macht sich mit Flap auf den Weg ins ferne Wollemi-Tal, wo prächtige Tannen stehen sollen. Die Höchste mit Namen „King Billy“ will Blinky fällen und Wombo mitbringen. Die Freunde überqueren tiefe Schluchten und reißende Flüsse. Doch dann stoppen zwei böse Menschen ihre Reise. Chopper und Sly fällen jeden Baum, der ihnen in die Quere kommt.</t>
  </si>
  <si>
    <t>Wenn Träume wahr wären</t>
  </si>
  <si>
    <t>One Magic Christmas</t>
  </si>
  <si>
    <t>Familie, Fantasy</t>
  </si>
  <si>
    <t>tt0089731</t>
  </si>
  <si>
    <t>Mary Steenburgen, Gary Basaraba, Elisabeth Harnois, Arthur Hill, Wayne Robson</t>
  </si>
  <si>
    <t>Weihnachtsengel Gideon ist in die Stadt entsandt worden, um Menschen in Not zu helfen. Er schafft es, der Familie Grainger trotz aller Probleme ein fröhliches Weihnachtsfest zu bereiten.</t>
  </si>
  <si>
    <t>Wie überleben wir Weihnachten</t>
  </si>
  <si>
    <t>Surviving Christmas</t>
  </si>
  <si>
    <t>tt0252028</t>
  </si>
  <si>
    <t>Ben Affleck, James Gandolfini, Christina Applegate, Catherine O'Hara, Josh Zuckerman</t>
  </si>
  <si>
    <t>Der depressive Drew Lathem wird kurz vor den Weihnachtsfeiertagen von seiner Freundin verlassen und um die Weihnachtsfeiertage besser überstehen zu können und nicht allein zuhause zu bleiben fährt er zu dem alten Haus seiner Familie und fragt wer nun dort lebt, um über die Feiertage eingeladen zu werden. Doch er ahnt nicht, dass die Familie ebenso psychisch unstabil ist wie er...</t>
  </si>
  <si>
    <t>Wir sehen uns an Weihnachten</t>
  </si>
  <si>
    <t>Snow 2: Brain Freeze</t>
  </si>
  <si>
    <t>Familie, TV-Film, Komödie</t>
  </si>
  <si>
    <t>tt1334278</t>
  </si>
  <si>
    <t>Thomas Cavanagh, Ashley Williams, Lynley Hall, Janelle Cooper, Viv Leacock</t>
  </si>
  <si>
    <t>Für Nachwuchs-Weihnachtsmann Nick Snowden läuft es kurz vor Weihnachten nicht wirklich rund. Die Rentiere sind zu dick und zu bequem geworden und er selbst bekommt in seiner Garage einen kräftigen Schlag auf den Kopf. Danach kann sich Nick nicht mehr daran erinnern, wer er ist und was seine Berufung ist. Die Bescherung ist in ernster Gefahr. Nicks Freundin Sandy muss sich schnellstens etwas einfallen lassen...</t>
  </si>
  <si>
    <t>Wir sehen uns bei Vollmond</t>
  </si>
  <si>
    <t>Christmas in Boston</t>
  </si>
  <si>
    <t>tt0497025</t>
  </si>
  <si>
    <t>Marla Sokoloff, Patrick J. Adams, Lindy Booth, Jonathan Cherry, Shawn Lawrence</t>
  </si>
  <si>
    <t>Seit Schulzeiten sind Gina und Seth Brieffreunde. Jahre später schreiben sich die beiden immer noch. Gina lebt mittlerweile in Boston. Als Seth für eine Konferenz in die Stadt kommt, wollen sie sich endlich treffen. Der Haken an der Sache ist nur, dass sie stets Fotos ihrer Freunde Ellen und Matt verschickt haben. Um nicht aufzufliegen, schicken sie nun auch Ellen und Matt zu ihrer Verabredung.</t>
  </si>
  <si>
    <t>Wochenend-Familie Weihnachts-Special</t>
  </si>
  <si>
    <t>Wonderful Dream - Ein Vater zu Weihnachten</t>
  </si>
  <si>
    <t>12 Days of Giving</t>
  </si>
  <si>
    <t>tt6303962</t>
  </si>
  <si>
    <t>David Blue, Jax Connolly, Ashley Jones, Preston James Hillier, Paul Boesing</t>
  </si>
  <si>
    <t>Nachdem er im Lotto 50.000 US-Dollar gewonnen hat, beschließt ein Mann, Weihnachtsgeschenke für Fremde unter dem Pseudonym Lucky der Elf zu kaufen, um ihnen eine Freude zu Weihnachten zu bereiten. Dabei trifft er die Liebe seines Lebens.</t>
  </si>
  <si>
    <t>Wunder einer Weihnachtsnacht</t>
  </si>
  <si>
    <t>The Christmas Miracle of Jonathan Toomey</t>
  </si>
  <si>
    <t>tt0498361</t>
  </si>
  <si>
    <t>Tom Berenger, Joely Richardson, Luke Ward-Wilkinson, Saoirse Ronan, Aran Bell</t>
  </si>
  <si>
    <t>Der griesgrämige Holzschnitzer Jonathan Toomey soll eine neue Krippe für einen Jungen anfertigen, da dessen alte Krippe, die den Jungen an seinen verstorbenen Vater erinnerte, verloren gegangen ist. Die Mutter des Jungen bittet Jonathan, ihren Sohn dabei zusehen zu lassen, wie die Krippe unter seinen Händen entsteht. Doch mit der Zeit stellt der Junge immer höhere Ansprüche an das Werkstück, die den Schnitzer an den Rand seiner Fähigkeiten bringen. Weihnachten rückt näher und alle Beteiligten wünschen sich eine Einigung, da für jeden von ihnen das bevorstehende Ereignis ohnehin schon mit traurigen Erinnerungen an die Vergangenheit verbunden ist ...</t>
  </si>
  <si>
    <t>Wundervolles Weihnachten</t>
  </si>
  <si>
    <t>Beyond Tomorrow</t>
  </si>
  <si>
    <t>Drama, Fantasy, Liebesfilm</t>
  </si>
  <si>
    <t>tt0032247</t>
  </si>
  <si>
    <t>Harry Carey, C. Aubrey Smith, Charles Winninger, Alex Melesh, Maria Ouspenskaya</t>
  </si>
  <si>
    <t>Melton, Chadwick und O´Brien sind drei reiche ältere Herren, die trotz ihres Vermögens einsam sind. An Weihnachten laden sie zwei Fremde zum Essen ein, die sich dabei ineinander verlieben. Nach einem Flugzeugabsturz kommen die drei als gute Geister wieder, um über die Liebenden zu wachen ...</t>
  </si>
  <si>
    <t>Zauber einer Winternacht</t>
  </si>
  <si>
    <t>One Special Night</t>
  </si>
  <si>
    <t>tt0165543</t>
  </si>
  <si>
    <t>James Garner, Julie Andrews, Patricia Charbonneau, Stacy Grant, Stewart Bick</t>
  </si>
  <si>
    <t>Als sie ihre todkranken Partner im Pflegeheim besuchen, lernen sich Catherine (Julie Andrews) und Robert (James Garner) kennen, stellen aber schon bald fest, dass sie sich nicht ausstehen können. Doch dann bleiben die beiden Streithähne mit Catherines Wagen im Schnee stecken und erleben gemeinsam den Zauber einer Winternacht.</t>
  </si>
  <si>
    <t>Zufälle gibt's - Das große Weihnachtsglück</t>
  </si>
  <si>
    <t>A Godwink Christmas: Miracle of Love</t>
  </si>
  <si>
    <t>tt16047114</t>
  </si>
  <si>
    <t>Katherine Barrell, Alberto Frezza, Lauren Bradley, Christine Cattell, Calix Miguel</t>
  </si>
  <si>
    <t>Joy und Eric, die beide gerade nach einem neuen Sinn in ihrem Leben suchen, begegnen sich bei einem Freiwilligeneinsatz, und während sie mithelfen, den Romeros ein neues Zuhause zu bauen, kommen sie sich immer näher. Joy ist verwirrt über ihre starken Gefühle und muss sich zwischen Eric und ihrem aktuellen Freund entscheiden. Als sie zu Eric fährt, um ihm ihre Liebe zu gestehen, wird dieser von einem Schneepflug verletzt.</t>
  </si>
  <si>
    <t>Ein Weihnachtsmärchen - Wenn alle Herzen schmelzen</t>
  </si>
  <si>
    <t>Adventure</t>
  </si>
  <si>
    <t>tt0226621</t>
  </si>
  <si>
    <t>Götz Otto, Max Riemelt, Susanne Schäfer</t>
  </si>
  <si>
    <t>Fernfahrer Tschak ist am Ende, und das ausgerechnet vor Weihnachten: Er hat Schulden, sein Truck soll gepfändet werden und seine geschiedene Frau will ihm das Besuchsrecht für den gemeinsamen Sohn Lukas entziehen. Einmal will Tschak seinen mitten in der Pubertät steckenden Sohn noch mal mit auf „Tour“ nehmen. Lukas ahnt nicht, dass er „entführt“ wird. Auf der abenteuerlichen Fahrt nach Italien kommen sich Vater und Sohn allmählich näher – verfolgt von Lukas’ Mutter und der Polizei …</t>
  </si>
  <si>
    <t>A Tale Of Two Christmases - Ein Weihnachten kommt selten allein</t>
  </si>
  <si>
    <t>A Tale of Two Christmases</t>
  </si>
  <si>
    <t>tt22247650</t>
  </si>
  <si>
    <t>Katherine Barrell, Chandler Massey, Evan Roderick</t>
  </si>
  <si>
    <t>Emma erlebt kurz vor Weihnachten mit Hilfe eines kleinen Wunder zwei sehr verschiedene Versionen ihres Lebens: In der einen bleibt sie in der Großstadt, um ein Verhältnis mit Max zu erkunden; in der anderen kehrt sie nach Hause zurück, verbringt die Feiertage im Familienkreis und trifft dabei auf ihren langjährigen Freund Drew, der vielleicht mehr für sie fühlt, als sie bislang dachte. Durch diese doppelte Weihnachtsvision lernt Emma, was ihr wirklich wichtig ist – in der Liebe und im eigenen Leben.</t>
  </si>
  <si>
    <t>A Merry Little Ex-Mas</t>
  </si>
  <si>
    <t>Alicia Silverstone, Oliver Hudson, Jameela Jamil, Pierson Fodé, Linda Kash</t>
  </si>
  <si>
    <t>Kate und Everett wünschen sich zu Weihnachten eine einvernehmliche Scheidung und ein letztes Fest als Familie. Doch neue Flammen und alte Gefühle bringen ihre Pläne durcheinander.</t>
  </si>
  <si>
    <t>Drei Weihnachtsmänner und ein Baby</t>
  </si>
  <si>
    <t>Three Wise Men and a Baby</t>
  </si>
  <si>
    <t>TV-Film, Komödie, Drama</t>
  </si>
  <si>
    <t>Paul Campbell, Tyler Hynes, Andrew W. Walker, Margaret Colin, Ali Liebert</t>
  </si>
  <si>
    <t>Die drei erwachsenen Brüder Stephan, Taylor und Luke leben zurzeit im Haus ihrer Mutter Barbara. Fünf Tage vor Weihnachten findet Feuerwehrmann Luke vor der Wache ein Baby. Auf einem Zettel wird er von der unbekannten Mutter gebeten, bis zum Heiligabend auf den Kleinen aufzupassen. Luke weiß zwar nicht, wer die Mutter sein könnte, doch er nimmt das Baby zu sich. Die Pflege des Kleinen bringt ihn mit seinen eigenbrötlerischen Brüdern zusammen.</t>
  </si>
  <si>
    <t>Wenn Wünsche in Erfüllung gehen</t>
  </si>
  <si>
    <t>Wish Upon a Star</t>
  </si>
  <si>
    <t>TV-Film, Familie, Komödie, Fantasy</t>
  </si>
  <si>
    <t>Katherine Heigl, Danielle Harris, Donnie Jeffcoat, Scott Wilkinson, Mary Parker Williams</t>
  </si>
  <si>
    <t>Hayley Wheaton hat bessere Noten in der Schule als ihre ältere Schwester Alexia, die sich wiederum stilvoller kleidet, beliebter ist und einen festen Freund hat. Die Schwestern beneiden sich gegenseitig. Eines Tages stellen sie nach dem Aufwachen fest, dass jede sich im Körper der anderen befindet. Hayley genießt zuerst den Wechsel, besonders die Treffen mit dem Freund ihrer Schwester Kyle Harding.  Als die Schwestern feststellen, dass der Tausch länger dauern könnte, versucht jede, der anderen Schwester einen wichtigen Aspekt derer Lebens kaputtzumachen. Später beschließen sie, dass Hayley zeigen soll, dass Alexia zu intellektuellen Leistungen fähig ist während Alexia im Körper ihrer Schwester für diese einen Freund finden soll. Während des Winter Festivals tauschen sie ihre Körper wieder. Alexia wird zur Königin der Veranstaltung gekrönt während Hayley mit ihrem Nachbarn Simon tanzt.</t>
  </si>
  <si>
    <t>Golden Winter - Wir suchen ein Zuhause</t>
  </si>
  <si>
    <t>Golden Winter</t>
  </si>
  <si>
    <t>tt2202750</t>
  </si>
  <si>
    <t>Andrew Beckham, Shannon Elizabeth, Jason Brooks, Haylie Duff, Darrel Guilbeau</t>
  </si>
  <si>
    <t>Oliver (Andrew Beckham), ein von seinen berufstätigen Eltern vernachlässigter Junge, freundet sich mit einem Rudel heimatloser Golden Retriever Welpen an, die auf der Suche nach ihrer Mutter sind. Auf ihrer abenteuerlichen Reise können sie zusammen sogar einen Bankraub vereiteln. Nun liegt es an Oliver seine Eltern davon zu überzeugen, die Hunde zu adoptieren. Schließlich steht ja auch Weihnachten kurz vor der Tür.</t>
  </si>
  <si>
    <t>A Country Romance</t>
  </si>
  <si>
    <t>tt12536348</t>
  </si>
  <si>
    <t>Alix Angelis, Jonathan Bennett, Violet Tinnirello, Randy Wayne, Austin Highsmith Garces</t>
  </si>
  <si>
    <t>Marketing-Expertin Sara lebt in der Großstadt und steht kurz vor dem beruflichen Durchbruch. Bis ihr Vater sie bittet, für ein paar Tage nach Hause zu kommen, um die elterliche Apfelfarm endlich zu verkaufen. Vor Ort erfährt sie, dass auch unverzüglich geerntet werden muss. Der charmante Nachbar Gabe hilft ihr und Sara verliebt sich unsterblich. Jetzt steht sie vor einer schwierigen Entscheidung.</t>
  </si>
  <si>
    <t>An ihrer Seite</t>
  </si>
  <si>
    <t>Away from Her</t>
  </si>
  <si>
    <t>tt0491747</t>
  </si>
  <si>
    <t>Gordon Pinsent, Julie Christie, Michael Murphy, Olympia Dukakis, Kristen Thomson</t>
  </si>
  <si>
    <t>Mehr als 40 Jahre sind Grant und Fiona verheiratet, auch wenn nicht immer alles einfach war. Der eine kann sich das Leben längst nicht mehr ohne den anderen vorstellen. Als Fiona an Alzheimer erkrankt, will sie Grant nicht belasten und besteht darauf, in ein Heim zu ziehen. Die vorgeschriebene Trennung zum Eingewöhnen stürzt Grant in tiefe Verzweiflung. Als er Fiona wiedertrifft, kümmert sie sich um einen ihrer Mitpatientin, kann sich aber nicht mehr an ihren Mann erinnern. Der trifft eine folgenschwere Entscheidung.</t>
  </si>
  <si>
    <t>Nenn' mich einfach Nikolaus</t>
  </si>
  <si>
    <t>Call Me Claus</t>
  </si>
  <si>
    <t>tt0272018</t>
  </si>
  <si>
    <t>Whoopi Goldberg, Nigel Hawthorne, Victor Garber, Taylor Negron, Frankie Faison</t>
  </si>
  <si>
    <t>Lucy Collins ist Produzentin bei einem Home-Shopping-Kanal. Das Weihnachtsfest steht vor der Tür und Lucy sucht den idealen Nikolaus-Darsteller. Als sie einen Schauspieler namens Nick verpflichtet, bekommt sie mehr als sie sich jemals vorgestellt hat. Nick ist nämlich der einzig wahre und wirkliche Nikolaus. Doch der hat ein Problem: Nach 200 Jahren steht seine Ablösung an und er muss dringend einen Nachfolger präsentieren. Schafft er es nicht, dann drohen unvorhersehbare Konsequenzen für die Welt. Aber Nick hat eine Idee: Wie wäre es, wenn Lucy seinen Job übernehmen würde?</t>
  </si>
  <si>
    <t>Christmas in Mistletoe</t>
  </si>
  <si>
    <t>tt36789663</t>
  </si>
  <si>
    <t>Kabby Borders, Tom Gipson, Chantey Colet, Wynne VanBuskirk, Kara Vasseur</t>
  </si>
  <si>
    <t>Willow (Kabby Borders) ist ständig auf der Suche nach weihnachtlichen Dörfern und Städten als Kulissen für Filmproduktionen. Doch weil sich ihr gesamtes Leben um Weihnachten dreht, hat sie den Zauber des Festes längst verloren. Ihr letzter Auftrag führt sie in die idyllische Stadt Mistletoe – ein nahezu perfekter Ort. Besonders der hilfsbereite und charmante Bürgermeister Zach (Tom Gipson) weckt in ihr etwas, das sie längst vergessen glaubte. Könnte Willow in Mistletoe ihr eigenes festliches Happy-End finden?</t>
  </si>
  <si>
    <t>Bernie und der Weihnachtsgeist</t>
  </si>
  <si>
    <t>Bernard and the Genie</t>
  </si>
  <si>
    <t>tt0101435</t>
  </si>
  <si>
    <t>Lenny Henry, Alan Cumming, Rowan Atkinson, John Gabriel, Kevin Allen</t>
  </si>
  <si>
    <t>Schöne Bescherung: Der sympathische Loser Bernie Bottle wird von seinem Boss gefeuert. Gerade als Bernie glaubt es könnte nicht mehr schlimmer kommen, brennt seine Freundin mit seinem besten Freund durch und seine Gläubiger räumen ihm die Wohnung leer. Das letzte was ihm bleibt ist eine alte Lampe, die ihm seine Freundin vor Jahren als Weihnachtsgeschenk gemacht hat. Ahnunglos poliert Bernie diese und weckt damit einen 2000 Jahre alten Geist. Von nun an bekommt er alle Wünsche erfüllt. Allerdings hat sich Bernie das Wünschen etwas leichter vorgestellt und somit nimmt das Chaos seinen Lauf.</t>
  </si>
  <si>
    <t>A Home of Our Own</t>
  </si>
  <si>
    <t>tt0107130</t>
  </si>
  <si>
    <t>Kathy Bates, Edward Furlong, Clarissa Lassig, Sarah Schaub, Miles Feulner</t>
  </si>
  <si>
    <t>A Mom for Christmas</t>
  </si>
  <si>
    <t>Komödie, Fantasy, Familie, TV-Film</t>
  </si>
  <si>
    <t>tt0100173</t>
  </si>
  <si>
    <t>Olivia Newton-John, Juliet Sorci, Doug Sheehan, Carmen Argenziano, Aubrey Morris</t>
  </si>
  <si>
    <t>Die elfjährige Jessica Slocum, deren Mutter starb, als Jessica drei Jahre alt war, lebt mit ihrem Vater Jim zusammen. In der Vorweihnachtszeit erhält Jessica von einem Wunschbrunnen in einem Kaufhaus einen Wunsch – sie wünscht sich eine Mutter zu Weihnachten. Ihr Wunsch wird noch am selben Abend wahr, als Philomena, eine Angestellte des Kaufhauses, eine Schaufensterpuppe, die Jessica bei ihrem Besuch betrachtet hat, zum Leben erweckt. Diese eilt zu Jessica und ihrem Vater und stellt sich denen als Amy Miller vor. Sie bringt Freude und Leben zurück zu den Slocums. Jedoch – wie Jessica es sich auch gewünscht hat – kann Amy nur bis Heiligabend bleiben. Aber Jessica und ihr Vater kämpfen um Amy – und schaffen es zum Schluss, sie für immer zum Leben zu erwecken</t>
  </si>
  <si>
    <t>All the Devils Are Here</t>
  </si>
  <si>
    <t>All the Devils are Here</t>
  </si>
  <si>
    <t>United States, Bahamas</t>
  </si>
  <si>
    <t>Horror, Action</t>
  </si>
  <si>
    <t>tt3266324</t>
  </si>
  <si>
    <t>Ansley Gordon, Tommy Goodman, Ben Evans, Ben Owen, Amanda Dela Cruz</t>
  </si>
  <si>
    <t>Before and After</t>
  </si>
  <si>
    <t>tt0115645</t>
  </si>
  <si>
    <t>Meryl Streep, Liam Neeson, Edward Furlong, Julia Weldon, Alfred Molina</t>
  </si>
  <si>
    <t>Carolyn und Ben Ryan führen mit ihren beiden Kindern ein harmonisches Familienleben in einer idyllischen Kleinstadt. Doch dies ändert sich schlagartig, als die Freundin ihres Sohnes Jacob tot aufgefunden wird und Jacob plötzlich spurlos verschwindet. Für die Einwohner gibt es keinen Zweifel daran, dass er der Mörder ist. Als Vater Ben Ryan belastendes Beweismaterial findet und vernichtet, kommen auch den Eltern ernsthafte Zweifel an der Unschuld ihres Kindes. Die Lage spitzt sich dramatisch zu, als Jacob gefunden und verhaftet wird. Er war der letzte, der die Tote lebend gesehen hat, aber er schweigt. Doch Ben und Carolyn kämpfen mit allen Mitteln für ihren Sohn - gegen eine Stadt, die Jacob bereits verurteilt hat.</t>
  </si>
  <si>
    <t>Break Up</t>
  </si>
  <si>
    <t>Thriller, Liebesfilm</t>
  </si>
  <si>
    <t>tt0120619</t>
  </si>
  <si>
    <t>Bridget Fonda, Kiefer Sutherland, Hart Bochner, Steven Weber, Penelope Ann Miller</t>
  </si>
  <si>
    <t>Jimmy Dade ist eine schöne junge Frau. Verheiratet mit dem gutaussehenden Frank scheint sie ein erfülltes Leben zu führen. Doch was niemand aus ihrer Umgebung auch nur ahnt: Ihr Mann Frank ist ein brutaler Egoist, der Jimmy immer wieder zum Opfer seiner Wutausbrüche macht. Als er sie fast zu Tode prügelt, will Jimmy zusammen mit ihrer Schwester endlich aus diesem Leben in Angst ausbrechen. Doch ihr Entschluß kommt zu spät: Sie entdeckt das bittere Geheimnis ihrer Schwester; Frank wird angeblich ermordet aufgefunden und sie selbst landet auf der Flucht vor der Polizei, gejagt von Detektiv John Box in einem schäbigen Wüstenhotel. Jimmy erkennt, daß sie erst ein neues Leben beginnen kann, wenn die Vergangenheit radikal ausgelöscht ist.</t>
  </si>
  <si>
    <t>Cadence</t>
  </si>
  <si>
    <t>tt0101531</t>
  </si>
  <si>
    <t>Charlie Sheen, Martin Sheen, Laurence Fishburne, Blu Mankuma, Michael Beach</t>
  </si>
  <si>
    <t>Um aus der verhaßten Armee entlassen zu werden, verstößt Franklin Bean vorsätzlich gegen das Militärgesetz, indem er sich die Handrücken tätowieren läßt. Doch er landet im Gefängnis der Kaserne, das unter dem Kommando von Sgt. McKinney steht. Nicht nur die Zelleninsassen, ein eingeschworener Kreis von fünf Schwarzen, stehen Frank feindselig gegenüber, auch der Aufseher will ihn fertigmachen. Von der ersten Minute an liefern sich der karrieresüchtige McKinney und der aggressive Bean einen Nervenkrieg, der angestaute Aggressionen freisetzt. Der eine verkörpert die Freiheit und der andere die Freiheit der Gewalt. Sie haben 90 Tage, um sich gegenseitig zugrunde zu richten.</t>
  </si>
  <si>
    <t>Caught Stealing</t>
  </si>
  <si>
    <t>Krimi, Thriller, Komödie</t>
  </si>
  <si>
    <t>tt1493274</t>
  </si>
  <si>
    <t>Austin Butler, Regina King, Zoë Kravitz, Matt Smith, Liev Schreiber</t>
  </si>
  <si>
    <t>Auf der Highschool war Hank Thomas ein Basketball-Genie. Dennoch ist es mit der großen, glanzvollen Profikarriere nicht wirklich etwas geworden. Jetzt führt er also ein genügsames Leben in New York, schlägt sich als Barkeeper durch, genießt die Zeit mit seiner Freundin Yvonne und hat immer noch ein Herz für den Sport. Sein Lieblingsteam steht überraschenderweise im Meisterschaftsfinale. Klingt eigentlich nach einer guten Zeit. Doch dann klingelt sein Nachbar Russ bei ihm. Ob Hank ein paar Tage lang auf seine Katze aufpassen könne, fragt der ihn. Doch mit der Katze holt er sich offenbar auch jede Menge Probleme ins Haus. Denn plötzlich stehen jede Menge zwielichtige Gestalten vor seiner Tür, die alle etwas von ihm wollen – und er sich doch eigentlich nur auf Katzensitting eingelassen hat. Schnell geht es für Hank jedoch um mehr, als nur das Tier, sondern gleich um sein Leben...</t>
  </si>
  <si>
    <t>Dangerous Child</t>
  </si>
  <si>
    <t>tt0284028</t>
  </si>
  <si>
    <t>Delta Burke, Ryan Merriman, Vyto Ruginis, Marc Donato, Barclay Hope</t>
  </si>
  <si>
    <t>Dangerous Moves</t>
  </si>
  <si>
    <t>La Diagonale du fou</t>
  </si>
  <si>
    <t>France, Liechtenstein, Switzerland</t>
  </si>
  <si>
    <t>tt0087144</t>
  </si>
  <si>
    <t>Michel Piccoli, Александр Арбат, Liv Ullmann, Leslie Caron, Wojciech Pszoniak</t>
  </si>
  <si>
    <t>Der Wettkampf um eine Schachweltmeisterschaft in Genf mit allen erdenklichen Tricks, Intrigen und Verrat geführt, wächst zu einem politischen Machtkampf aus. Im Hintergrund der Kalte Krieg zwischen Ost und West. Der alte sowjetische Schachmeister wird von einem jungen, arroganten Schachspieler und Exilrussen herausgefordert. Plötzlich wird das Spiel mehr zu einem psychologischen Nervenkrieg denn zu einem reinen Schachspiel...</t>
  </si>
  <si>
    <t>Deep Blue Sea</t>
  </si>
  <si>
    <t>United States, Mexico, Australia</t>
  </si>
  <si>
    <t>Action, Horror, Science Fiction</t>
  </si>
  <si>
    <t>tt0149261</t>
  </si>
  <si>
    <t>Saffron Burrows, Thomas Jane, LL Cool J, Samuel L. Jackson, Jacqueline McKenzie</t>
  </si>
  <si>
    <t>Mitten im Atlantik haben amerikanische Wissenschaftler das Unterwasserlabor “Aquatica” eingerichtet, wo sie medizinische Experimente mit genmanipulierten Haien durchführen. Doch plötzlich entwickeln die Versuchstiere beunruhigende Eigenschaften: Sie werden immer größer, immer intelligenter und immer boshafter. Als ein gewaltiger Sturm über die künstliche Insel hereinbricht, gelingt es den Haien, sich zu befreien. Für die Wissenschaftler beginnt eine Jagd auf Leben und Tod.</t>
  </si>
  <si>
    <t>Die Elenden</t>
  </si>
  <si>
    <t>Die Elenden der Straße</t>
  </si>
  <si>
    <t>tt1015180</t>
  </si>
  <si>
    <t>Liselotte Krämer, Eva Speyer, Aruth Wartan</t>
  </si>
  <si>
    <t>Verfilmung des epischen Romans von Victor Hugo zur Zeit der Französischen Revolution: Der entflohene Bagno-Sträfling Jean Valjean, hartnäckig verfolgt von Inspecteur Javert, verspricht der zur Prostitution verdammten Fantine, ihre Tochter Cosette aus dem Hause der Thénardiers zu befreien...</t>
  </si>
  <si>
    <t>Die Rosenschlacht</t>
  </si>
  <si>
    <t>The Roses</t>
  </si>
  <si>
    <t>tt31973693</t>
  </si>
  <si>
    <t>Olivia Colman, Benedict Cumberbatch, Andy Samberg, Kate McKinnon, Belinda Bromilow</t>
  </si>
  <si>
    <t>Das Leben scheint einfach zu sein für das Bilderbuch-Paar Ivy und Theo: erfolgreiche Karrieren, eine liebevolle Ehe, tolle Kinder. Doch hinter der Fassade ihres vermeintlich idealen Lebens braut sich ein Sturm zusammen – als Theos Karriere einbricht, während Ivys eigene Ambitionen Fahrt aufnehmen, entzündet sich ein Pulverfass aus erbittertem Wettbewerb und verstecktem Groll.</t>
  </si>
  <si>
    <t>Entführen für Anfänger</t>
  </si>
  <si>
    <t>tt31923124</t>
  </si>
  <si>
    <t>Andrea Sawatzki, Christian Berkel, Fritz Karl, Jasmin Schwiers, Simon Rupp</t>
  </si>
  <si>
    <t>Die glamouröse Evelyn Moser (Andrea Sawatzki) ist seit langem der Star des Beauty-Imperiums ihres Mannes Rob Moser (Fritz Karl). Der eitle Schönheitschirurg leitet – natürlich im Einvernehmen mit Evelyn – einen Generationenwechsel ein. Bei einem Medienevent stellt er die von ihm eigenhändig perfektionierte Lene (Hedi Honert) als neues Markengesicht vor. Dass die deutlich jüngere Influencerin auch privat ihre Vorgängerin beerben soll, ist Robs wohlgehütetes Firmengeheimnis. Der Buchhalter Adam Lansky (Christian Berkel), den der Beauty-Magnat nach fast vier Jahrzehnten unsentimental gegen die KI austauscht, vertraut jedoch auf das Image der Moser-Traumehe aus der Klatschpresse. Als er Evelyn von der Party entführt, rechnet Adam mit einem satten Lösegeld im Handumdrehen.</t>
  </si>
  <si>
    <t>Christian Berkel, Andrea Sawatzki, Jasmin Schwiers</t>
  </si>
  <si>
    <t>Sean Connery, Dustin Hoffman, Matthew Broderick, Rosanna DeSoto, Janet Carroll</t>
  </si>
  <si>
    <t>Freakier Friday</t>
  </si>
  <si>
    <t>Komödie, Fantasy, Familie</t>
  </si>
  <si>
    <t>tt31956415</t>
  </si>
  <si>
    <t>Lindsay Lohan, Jamie Lee Curtis, Julia Butters, Sophia Hammons, Manny Jacinto</t>
  </si>
  <si>
    <t>Die Geschichte beginnt Jahre nach der Identitätskrise von Tess und Anna. Anna hat jetzt auch eine Tochter und wird bald eine Stieftochter bekommen. Während sie die zahlreichen Schwierigkeiten bewältigen, die mit der Verknüpfung von zwei Familien einhergehen, erleben Tess und Anna , dass die Geschichte sich tatsächlich zweimal wiederholt.</t>
  </si>
  <si>
    <t>Full Moon in Blue Water</t>
  </si>
  <si>
    <t>tt0095186</t>
  </si>
  <si>
    <t>Gene Hackman, Teri Garr, Burgess Meredith, Elias Koteas, Kevin Cooney</t>
  </si>
  <si>
    <t>Floyd, der Besitzer des Blue Water Grill, kommt nicht über den Tod seiner Frau hinweg. Seine einzigen Freunde sind der an den Rollstuhl gefesselte Vater seiner Frau, genannt General, der zurückgebliebene Jimmy und die Busfahrerin Louise. Ein Spekulant drängt Floyd zum Verkauf seiner Bar; erst Louise findet heraus, dass die lang erwartete Brücke zum Festland, die den Grill zur Goldgrube machen würde, nun gebaut wird. Für zusätzliche Komplikationen sorgt Jimmy, der nach einem Unfall mit dem General durchdreht und Floyd und Louise als Geiseln nimmt. Floyd überwältigt ihn, jagt den lästigen Kaufinteressenten davon und geht mit Louise an die Arbeit.</t>
  </si>
  <si>
    <t>Kevin James, Christina Ricci, Luis Guzmán, Joey Diaz, Melissa Leo</t>
  </si>
  <si>
    <t>Habibi Baba Boom</t>
  </si>
  <si>
    <t>tt23170480</t>
  </si>
  <si>
    <t>Omar El-Saeidi, Mohamed Achour, Christian Skibinski</t>
  </si>
  <si>
    <t>Heist</t>
  </si>
  <si>
    <t>The Big Heist</t>
  </si>
  <si>
    <t>Drama, TV-Film, Krimi</t>
  </si>
  <si>
    <t>tt0287336</t>
  </si>
  <si>
    <t>Donald Sutherland, John Heard, Jamie Harris, Janet Kidder, Nick Sandow</t>
  </si>
  <si>
    <t>Joe Moore hat eine schöne junge Frau, man schuldet ihm Geld, er liebt seinen Beruf. Er ist ein Dieb. Sein Profi-Image bekommt einen Knacks, als er sich von einer Überwachungskamera filmen lässt. Sein Hehler Bergman verhandelt daraufhin noch einmal neu über die Summe, die er Moore schuldet. Und möglicherweise betrügt Moores Frau Fran ihn mit dem jungen Assistenten des Hehlers. Plötzlich sind Moore, sein Partner Bobby Blane und ihr Faktotum Pinky Pincus völlig pleite – sie werden hintergangen und erpresst. Moore sieht sich gezwungen, für Bergman noch einen letzten großen Job zu erledigen.</t>
  </si>
  <si>
    <t>Im Wald</t>
  </si>
  <si>
    <t>Tree Kangaroos: Ghosts of the Forest</t>
  </si>
  <si>
    <t>tt22459712</t>
  </si>
  <si>
    <t>Dave Birch</t>
  </si>
  <si>
    <t>Ein besorgter Vater und seine pubertierende Tochter müssen sich unerklärlichen, bedrohlichen Vorkommnissen stellen, als ihr Auto in einem vermeintlich verlassenen Waldgebiet unerwartet liegen bleibt.</t>
  </si>
  <si>
    <t>Le secret de Khéops</t>
  </si>
  <si>
    <t>Le Secret de Khéops</t>
  </si>
  <si>
    <t>tt34482468</t>
  </si>
  <si>
    <t>Fabrice Luchini, Julia Piaton, Gavril Dartevelle, Johann Dionnet, Camille Japy</t>
  </si>
  <si>
    <t>Napoleons Ägyptenfeldzug endete mit einem militärischen Fiasko. Der exzentrische Archäologe Christian Robinson sieht das jedoch nach dem Fund einer mysteriösen Inschrift in Kairo ganz anders. Seiner Deutung nach soll es dem berühmten Feldherrn gelungen sein, den Schatz des Pharaos Cheops unbemerkt nach Frankreich zu schmuggeln. Zusammen mit seiner Tochter Isis und Enkel Julian begibt er sich auf eine turbulente Schatzsuche quer durch Paris.  Mit aufwendig ausgestatteten Sets, rätselhaften Relikten und einer guten Portion Humor wandelt DIE JAGD NACH DER MUMIE VON PARIS auf den Spuren von Indiana Jones. Das ebenso temporeiche wie unterhaltsame Abenteuer von den Machern von DIE REISE DER PINGUINE.</t>
  </si>
  <si>
    <t>Lebenslänglich</t>
  </si>
  <si>
    <t>tt11612934</t>
  </si>
  <si>
    <t>Franz Mezei, Jürg Schmid, Arthur Beck</t>
  </si>
  <si>
    <t>Max &amp; Jeremie</t>
  </si>
  <si>
    <t>Max et Jérémie</t>
  </si>
  <si>
    <t>Drama, Komödie, Thriller, Krimi</t>
  </si>
  <si>
    <t>tt0104830</t>
  </si>
  <si>
    <t>Philippe Noiret, Christopher Lambert, Jean-Pierre Marielle, Christine Dejoux, Christophe Odent</t>
  </si>
  <si>
    <t>Selbst unter Bombenlegern und Mördern gibt es eine soziale Leiter, eine Hierarchie, die es zu erklimmen gilt. Jeremie ist ein einfacher Bombenleger, der für Gangster in Paris Menschen und Gebäude in die Luft jagt. Man sieht es ihm vielleicht nicht an, so ungepflegt, wie er aussieht, aber er ist ein sensibler Kerl und spürt seinen niedrigen Status sehr stark. Wenn er nur in die Reihen der Auftragskiller aufsteigen könnte, die in seiner Welt hohes Ansehen genießen, dann würde er sich vielleicht mehr wert fühlen. Endlich bekommt er seine Chance, als er den Auftrag erhält, den angesehenen Auftragskiller Max zu töten, der zu viel weiß, um am Leben gelassen zu werden. Anstatt einen kühlen und distanzierten Mord zu planen, lernt Jeremie sein Ziel persönlich kennen und gerät dadurch in ein Geflecht widerstreitender Loyalitäten. Max hat noch einen Auftrag und hat Jeremie um Hilfe gebeten. Der Bewunderer kann es nicht übers Herz bringen, diesen eleganten Mann umzubringen.</t>
  </si>
  <si>
    <t>Office Space</t>
  </si>
  <si>
    <t>tt0151804</t>
  </si>
  <si>
    <t>Ron Livingston, Jennifer Aniston, David Herman, Ajay Naidu, Diedrich Bader</t>
  </si>
  <si>
    <t>Programmierer Peter Gibbons hat einen Job wie Millionen andere auch. Jeden Morgen fährt er brav in sein winziges Büro, erledigt dort sinnlose Arbeiten, holt sich bei seinen Vorgesetzten die üblichen Klagen ab und erträgt die Fehler seiner Arbeitskollegen. Als Peter bei einem Hypnotiseur Abhilfe sucht, erleidet dieser mitten in der Sitzung eine Herzattacke. Der dauerhypnotisierte Peter geht jetzt einfach nicht mehr zur Arbeit...</t>
  </si>
  <si>
    <t>Stephen Baldwin, Chris Penn, Michael McGlone, Gina Gershon, Christopher Bregman</t>
  </si>
  <si>
    <t>Mary McDonnell, Alfre Woodard, Vondie Curtis-Hall, David Strathairn, Leo Burmester</t>
  </si>
  <si>
    <t>Passion of Mind</t>
  </si>
  <si>
    <t>tt0160644</t>
  </si>
  <si>
    <t>Demi Moore, William Fichtner, Eloise Eonnet, Julianne Nicholson, Sinéad Cusack</t>
  </si>
  <si>
    <t>Man lebt nur zweimal? Jedenfalls liebt Marie/Marty ihre beiden Leben, aber nur eines davon ist wahr. Ist sie eine einsame amerikanische Witwe, die mit ihren zwei Töchtern in der Provence lebt – oder eine raffinierte New Yorker Verlegerin? Unsicher darüber, was Traum und was Wirklichkeit ist, ist sie zwischen zwei Welten und zwischen den zwei Männern hin- und her gerissen, die sie lernen wird zu lieben.</t>
  </si>
  <si>
    <t>Real Love</t>
  </si>
  <si>
    <t>tt27230149</t>
  </si>
  <si>
    <t>Da'Vinchi, Ajiona Alexus, Marci T. House, Garfield Wilson, Princess Davis</t>
  </si>
  <si>
    <t>Spiegelbilder</t>
  </si>
  <si>
    <t>Short, Action, Drama</t>
  </si>
  <si>
    <t>tt8144264</t>
  </si>
  <si>
    <t>Jakob Philipp Graf, Alexandra Jabri, Vivi Gutheinz</t>
  </si>
  <si>
    <t>Splash</t>
  </si>
  <si>
    <t>Komödie, Liebesfilm, Fantasy</t>
  </si>
  <si>
    <t>tt0088161</t>
  </si>
  <si>
    <t>Tom Hanks, Daryl Hannah, Eugene Levy, John Candy, Dody Goodman</t>
  </si>
  <si>
    <t>Sie schwimmt nach New York, geht nackt an Land und stiftet Verwirrung unter den Trockenmenschen.. Sie verzehrt nicht nur Langusten samt Schale... Sie ist eine Traumfrau mit großen, dunklen Augen, einem herrlichen Lächeln und einem Paar großer Flossen! Sie, das ist Daryl Hannah in einer spritzigen Komödie, erfrischend erotisch wie ein Sprung in die Brandung...</t>
  </si>
  <si>
    <t>Steve</t>
  </si>
  <si>
    <t>The Overview</t>
  </si>
  <si>
    <t>Ireland, United Kingdom</t>
  </si>
  <si>
    <t>Science Fiction, Musik</t>
  </si>
  <si>
    <t>tt32985279</t>
  </si>
  <si>
    <t>Steven Wilson</t>
  </si>
  <si>
    <t>An einem intensiven Tag versucht der Leiter einer Reformschule, seine Schüler im Zaum zu halten, während er mit eigenen Problemen kämpft.</t>
  </si>
  <si>
    <t>Strange Days</t>
  </si>
  <si>
    <t>Krimi, Drama, Science Fiction, Thriller</t>
  </si>
  <si>
    <t>tt0114558</t>
  </si>
  <si>
    <t>Ralph Fiennes, Angela Bassett, Juliette Lewis, Tom Sizemore, Michael Wincott</t>
  </si>
  <si>
    <t>Kurz vor der Jahrtausendwende wurde eine Technologie entwickelt, die es erlaubt, die Erlebnisse von Menschen aufzuzeichnen und wieder abzuspielen. Natürlich zieht eine solche Technologie auch Verbrecher an, so auch den heruntergekommenen Ex-Polizisten Lenny Nero, der mit den Erinnerungen anderer Leute ein lukratives Geschäft betreibt. Doch auch Lenny selbst kann die Finger nicht von den illegalen Aufzeichnungen lassen. Vor allem seit ihn seine Freundin Faith  verlassen hat, schwelgt er in der Vergangenheit. Zumindest bis ihm ein Chip zugespielt wird, der äußert brisante Ereignisse birgt, die in der Lage wären, eine Revolution auszulösen: Eine Prostituierte beobachtet, wie der schwarze Sänger Jeriko One von Polizisten hingerichtet wird, die kurz darauf auch auf die Zeugin des Mordes schießen. Zusammen mit der Leibwächterin Mace und seinem Freund Max, einem Privatdetektiv, versucht Lenny, den Fall aufzuklären...</t>
  </si>
  <si>
    <t>The Breaks</t>
  </si>
  <si>
    <t>When the Day Breaks</t>
  </si>
  <si>
    <t>tt0200282</t>
  </si>
  <si>
    <t>Derrick King ist ein irischer Junge, der von einer schwarzen Familie in LA aufgezogen wurde. Und so verhält er sich auch. Doch an diesem einem bestimmten Sonntag in seinem Leben, will nichts gelingen: Er fliegt zu Hause raus, verliert seinen Job, wird von seiner Liebe verstoßen und gerät in Konflikt mit dem Gesetz...</t>
  </si>
  <si>
    <t>The Concorde... Airport '79</t>
  </si>
  <si>
    <t>tt0078740</t>
  </si>
  <si>
    <t>Robert Wagner, Susan Blakely, Alain Delon, Sylvia Kristel, George Kennedy</t>
  </si>
  <si>
    <t>Die Flugkapitäne Metrand und Patroni fliegen das an die amerikanischen Fluglinie Federation World Airlines neu übergebene Überschall-Passagierflugzeug Concorde von Washington über Paris nach Moskau. In Vorbereitung der Olympischen Spiele in Moskau befinden sich eine Abordnung sowjetischer Sportler, mehrere illustre Persönlichkeiten sowie eine Journalistin, Maggie Whelan, an Bord. Letztere war noch bis kurz zuvor mit dem Industriellen Kevin Harrison liiert, dem Vorsitzenden des Rüstungskonzerns Harrison Industries.</t>
  </si>
  <si>
    <t>The Conjuring: Last Rites</t>
  </si>
  <si>
    <t>tt22898462</t>
  </si>
  <si>
    <t>Vera Farmiga, Patrick Wilson, Mia Tomlinson, Ben Hardy, Rebecca Calder</t>
  </si>
  <si>
    <t>Ed und Lorraine Warren nehmen einen besonders verstörenden Fall an: Jack (Elliot Cowan) und Janet Smurl ziehen 1976 mit ihren Kindern in ein neues Haus in Pennsylvania. Sie erfüllen sich damit ihren schon lange gehegten Traum vom Eigenheim. Doch schon bald häufen sich unerklärliche Vorkommnisse. Bis zum Jahr 1985 werden die Phänomene immer bedrohlicher, die Familie gerät immer näher an ihre Belastungsgrenze. In ihrer Not wenden sich die Smurls schließlich an die erfahrenen Ermittler für paranormale Erscheinungen, als die Ed und Lorraine Warren bekannt sind. Aus dem Ruhestand zurückgekehrt, stoßen die Warrens vor Ort auf ein Artefakt, das mit der Geburt ihrer Tochter Judy  in Verbindung steht und Erinnerungen an ihren allerersten Fall weckt. Die Ereignisse spitzen sich zu – es kommt zu einer letzten Konfrontation mit einem Dämon, der sie seit Jahrzehnten verfolgt.</t>
  </si>
  <si>
    <t>The Family Plan 2</t>
  </si>
  <si>
    <t>tt34276058</t>
  </si>
  <si>
    <t>Mark Wahlberg, Michelle Monaghan, Kit Harington</t>
  </si>
  <si>
    <t>Nun da Dans Tage als Auftragskiller vorbei sind, wünscht er sich zu Weihnachten nichts sehnlicher, als Zeit mit seinen Kindern zu verbringen. Doch als er erfährt, dass seine Tochter ihre eigenen Pläne hat, organisiert er einen Familien-Trip nach London – und bringt damit alle ins Visier eines unerwarteten Feindes.</t>
  </si>
  <si>
    <t>The Grifters</t>
  </si>
  <si>
    <t>tt0099703</t>
  </si>
  <si>
    <t>Anjelica Huston, John Cusack, Annette Bening, Jan Munroe, Robert Weems</t>
  </si>
  <si>
    <t>Roy hält sich ebenso mit kleinen Gaunereien über Wasser wie seine attraktive Freundin Myra und seine Mutter Lily. Jahrelang haben sich Mutter und Sohn nicht gesehen, doch als Roy nach einem Knüppelhieb in den Bauch zu sterben droht, kümmert sich Lily, die in ständiger Angst vor der Mafia lebt, um ihn. Um die eifersüchtige Myra zu beruhigen, verreist Roy mit ihr. Nun erfährt er erst, daß Myra einst eine professionelle Gaunerin war. Als sie über Lily sprechen, kommt es zum Streit. Roy setzt sie vor die Tür. Aus Rache folgt Myra Lily, die vor dem Mob flieht. Ein tödliches Spiel beginnt, daß nur einer der drei zwar lebend, aber doch als Verlierer verlassen wird.</t>
  </si>
  <si>
    <t>The Jolly Monkey</t>
  </si>
  <si>
    <t>tt35882235</t>
  </si>
  <si>
    <t>Dominic Keating, Jane Hajduk, Courtney Fulk, Neirin Winter, Lisa Cole</t>
  </si>
  <si>
    <t>Vor 40 Jahren verschwanden in der Nähe des abgelegenen Motels Jolly Monkey mehrere Familien spurlos. Nun kehrt die Familie der Besitzer zurück, um über die Zukunft des Ortes zu entscheiden. Doch schon bald geraten sie ins Visier eines unbekannten Killers, der im Kostüm des Motel-Maskottchens jagt auf sie macht. Einer nach dem anderen wird zur Zielscheibe, und der einzige Ausweg scheint die Flucht.</t>
  </si>
  <si>
    <t>The Lost Bus</t>
  </si>
  <si>
    <t>tt21103218</t>
  </si>
  <si>
    <t>Matthew McConaughey, America Ferrera, Yul Vazquez, Ashlie Atkinson, Kimberli Flores</t>
  </si>
  <si>
    <t>Ein entschlossener Vater riskiert alles, um eine engagierte Lehrerin und ihre Schüler aus einem wütenden Waldbrand zu retten.</t>
  </si>
  <si>
    <t>The Secret of Roan Inish</t>
  </si>
  <si>
    <t>Abenteuer, Fantasy, Familie, Drama</t>
  </si>
  <si>
    <t>tt0111112</t>
  </si>
  <si>
    <t>Jeni Courtney, Eileen Colgan, Mick Lally, John Lynch, Pat Slowey</t>
  </si>
  <si>
    <t>An der Westküste Irlands: die kleine Fiona findet bei den Großeltern ein neues Zuhause und in ihrem 13-jährigen Cousin Eamon einen guten Freund. Bald erkunden sie die nahegelegene Insel "Roan Inish", von der Fionas Eltern vor Jahren weggezogen sind. Damals, als ihr kleiner Bruder Jamie in einer Wiege auf das offene Meer trieb und für immer spurlos verschwand. Auf der Insel geschieht Seltsames ... die neugierigen Seehunde beobachten jeden ihrer Schritte und im verfallenen Elternhaus gibt es eindeutige Hinweise, dass hier jemand lebt: Reste einer Feuerstelle und kleine Fußspuren im Sand! Könnten die von Fionas verschwundenem Bruder sein? Sie lässt nicht locker und gemeinsam mit Eamon lüften sie das Geheimnis um Roan Inish.</t>
  </si>
  <si>
    <t>Trial by Jury</t>
  </si>
  <si>
    <t>tt0111488</t>
  </si>
  <si>
    <t>William Hurt, Joanne Whalley, Gabriel Byrne, Armand Assante, Kathleen Quinlan</t>
  </si>
  <si>
    <t>Undisputed</t>
  </si>
  <si>
    <t>United States, Germany, Japan</t>
  </si>
  <si>
    <t>tt0281322</t>
  </si>
  <si>
    <t>Wesley Snipes, Ving Rhames, Peter Falk, Michael Rooker, Jon Seda</t>
  </si>
  <si>
    <t>Eine Anklage wegen Vergewaltigung bringt den ungeschlagenen Schwergewichtsweltmeister James "Iceman" Chambers in den Knast. Hier trifft er auf Monroe Hutchens, den seit Jahren unbesiegten Box-Champion im Gefängnisring. Ein Umstand, den der aggressive Iceman nicht hinnehmen kann. Es ist eine Frage der Ehre herauszufinden, wer der Beste ist. Das ist die Gelegenheit für den alten Gangster Mendy Ripstein, der hier lebenslänglich büßt. Mit seinen weitreichenden Verbindungen zu beiden Seiten des Gesetzes bietet sich ihm die Gelegenheit, einen letzten großen Kampf zu promoten. Es kommt zum Showdown der Giganten im Ring...</t>
  </si>
  <si>
    <t>Beim Überfall auf einen Gefangenentransporter muss sich der Fahrer nicht nur den Insassen und den Angreifern von außen stellen, sondern auch der eisigen Kälte.</t>
  </si>
  <si>
    <t>Vanilla Sky</t>
  </si>
  <si>
    <t>United States, Spain</t>
  </si>
  <si>
    <t>tt0259711</t>
  </si>
  <si>
    <t>Tom Cruise, Penélope Cruz, Cameron Diaz</t>
  </si>
  <si>
    <t>Der New Yorker Geschäftsmann David Aames stand bislang auf der Sonnenseite des Lebens. Eines Abends jedoch verliebt er sich in die bezaubernde Sofia. Doch seine langjährige Affäre Julie hat etwas dagegen. Nach einem heftigen Streit kommt es zu einem Autounfall, bei dem Julie stirbt und Davids Gesicht aufs Grausamste entstellt wird. Etliche Operationen später scheint Aames genesen, da läuft ihm Sofia erneut über den Weg, nur um kurz darauf spurlos zu verschwinden. Stattdessen taucht Julie wieder auf und behauptet felsenfest, sie sei Sofia...</t>
  </si>
  <si>
    <t>Weapons</t>
  </si>
  <si>
    <t>Algérie, Sections Armes Spéciales</t>
  </si>
  <si>
    <t>France, Switzerland</t>
  </si>
  <si>
    <t>Dokumentarfilm, Historie</t>
  </si>
  <si>
    <t>tt36146083</t>
  </si>
  <si>
    <t>Christophe Lafaye, Mouna Soualem, Julien Kramer, Edouard Eftimakis, Igor Ochronowicz</t>
  </si>
  <si>
    <t>Mit einer einzigen Ausnahme verschwinden eines Nachts alle Kinder einer Schulklasse zur exakt gleichen Zeit auf mysteriöse Weise. Die Bewohner der betroffenen Gemeinde stehen vor der Frage, wer oder was hinter dem rätselhaften Verschwinden steckt.</t>
  </si>
  <si>
    <t>Zwei Welten, ein Herzenswunsch</t>
  </si>
  <si>
    <t>İki Dünya Bir Dilek</t>
  </si>
  <si>
    <t>tt36499994</t>
  </si>
  <si>
    <t>Hande Erçel, Metin Akdülger, Hüseyin Avni Danyal, Didem İnselel, Serkan Tınmaz</t>
  </si>
  <si>
    <t>Einundzwanzig Jahre nach einer magischen Begegnung in einem Kinderkrankenhaus beginnen Bilge und Can plötzlich, die Stimmen des anderen telepathisch zu hören. Was wie ein Wunder erscheint, offenbart bald ein verborgenes Geheimnis, denn das Schicksal, das sie nach Jahrzehnten wieder zusammenführt, hat noch viel mehr zu bieten.</t>
  </si>
  <si>
    <t>Zwischen allen Stühlen</t>
  </si>
  <si>
    <t>tt0472763</t>
  </si>
  <si>
    <t>Suzan Demircan, Nina Hoger, Rainer Hunold</t>
  </si>
  <si>
    <t>Theaterregisseurin Iva Delusi bittet ihren langjährigen Lebensgefährten, den Dozenten für asiatische Kultur Damien Hauer, um einen Gefallen: Er soll sich bei seinem Vater für die junge Zorica einsetzten. Zorica kommt vom Balkan und ist eine Freundin von Ivas Schwägerin Véra. Sie hält sich seit einiger Zeit illegal in Frankreich auf und fürchtet nun die Abschiebung. Damiens Vater, der einflussreiche Richter und Präsident des Conseil d’État Sébastien Hauer, soll seinen Kontaktmann Henri Hortense ansprechen, der bisher derartige Fälle sicher zugunsten der Flüchtlinge lösen konnte. Damien hat ein angespanntes Verhältnis zu seinem Vater und scheut sich, ihn um Hilfe zu bitten. Auf Drängen von Iva verabredet er sich zum Essen mit Sébastien, das jedoch aufgrund von Arbeitsüberlastung ausfällt.</t>
  </si>
  <si>
    <t>Angst</t>
  </si>
  <si>
    <t>Erwin Leder, Robert Hunger-Bühler, Silvia Rabenreither, Karin Springer, Edith Rosset</t>
  </si>
  <si>
    <t>Ein junger Mann, der eine zehnjährige Haftstrafe wegen Mordes an einer alten Frau abgesessen hat, wird aus dem Zuchthaus entlassen. Kaum auf freiem Fuß, spürt er gleich wieder das starke Verlangen seine mörderischen Fantasien auszuleben, gibt dem inneren Drang nach und macht sich sofort auf die Suche nach neuen Opfern. Nachdem ihm eine Taxifahrerin nur knapp entkommen konnte, dringt er in eine abgelegene Villa ein, in dem eine ältere Frau mit ihrem behinderten Sohn und ihrer jungen Tochter lebt. Der Mann bringt die Familie brutal in seine Gewalt und beginnt ein sadistisches Spiel...</t>
  </si>
  <si>
    <t>Black Phone 2</t>
  </si>
  <si>
    <t>Mason Thames, Madeleine McGraw, Ethan Hawke, Miguel Mora, Demián Bichir</t>
  </si>
  <si>
    <t>Während Finn, inzwischen 17 Jahre alt,  mit dem Leben nach seiner Gefangenschaft ringt, bekommt die eigensinnige fünfzehnjährige Gwen in ihren Träumen Anrufe von dem unheilvollen schwarzen Telefon und hat verstörende Visionen von drei Jungs, die im Winterferienlager Alpine Lake von etwas verfolgt werden.</t>
  </si>
  <si>
    <t>Bring Her Back</t>
  </si>
  <si>
    <t>Billy Barratt, Sally Hawkins, Mischa Heywood, Jonah Wren Phillips, Stephen Phillips</t>
  </si>
  <si>
    <t>Das Leben von Andy und seiner Halbschwester Piper ist nicht unbedingt von Beständigkeit geprägt. Denn nachdem ihr Vater stirbt, stehen die beiden alleine da. Für Sicherheit soll erst mal eine Pflegemutter sorgen. Also werden die beiden bei Laura untergebracht. Dort, in ihrem Landhaus, sollen sie wieder zur Ruhe kommen. Ollie lebt schon länger bei Laura und beäugt die beiden Neuankömmlinge aus kühler Distanz - also im wahrsten Wortsinne, denn Ollie sagt kein Wort und starrt Andy und Piper nur an. Und schnell wird klar, dass auch Laura ihr Päckchen zu tragen hat, da ihre eigene Tochter vor einem Jahr gestorben ist. Was die Kinder natürlich erst mal noch nicht wissen: Laura will ein finsteres Ritual vollziehen, um ihre Tochter aus dem Reich der Toten wieder zurück in die Welt der Lebenden zu holen – und dafür scheint ihr jedes Mittel recht...</t>
  </si>
  <si>
    <t>Die Mächte des Wahnsinns</t>
  </si>
  <si>
    <t>In the Mouth of Madness</t>
  </si>
  <si>
    <t>tt0113409</t>
  </si>
  <si>
    <t>Sam Neill, Julie Carmen, Jürgen Prochnow, David Warner, John Glover</t>
  </si>
  <si>
    <t>Atmosphärischer Horrorfilm von John Carpenter über den Versicherungsdetektiv John Trent, der von einem Verleger beauftragt wird, den verschwundenen Kult-Horror-Autor Sutter Kane und dessen neustes, bisher unveröffentlichtes Werk zu finden. Die Reise zum vermuteten Aufenthaltsort Kanes wird für Trent zu einem Albtraum, in dem die Unterscheidung zwischen Realität und Fiktion immer schwieriger wird.</t>
  </si>
  <si>
    <t>Die nackte Kanone</t>
  </si>
  <si>
    <t>The Naked Gun</t>
  </si>
  <si>
    <t>Liam Neeson, Pamela Anderson, Paul Walter Hauser, Danny Huston, CCH Pounder</t>
  </si>
  <si>
    <t>Nur ein einziger Mann verfügt über diese ganz besonderen Fähigkeiten… die Spezialeinheit der Polizei zu leiten und die Welt zu retten! Lt. Frank Drebin Jr. tritt in die Fußstapfen seines Vaters.</t>
  </si>
  <si>
    <t>Frier und Fünfzig – Am Ende meiner Tage</t>
  </si>
  <si>
    <t>Midumidikki</t>
  </si>
  <si>
    <t>tt36214762</t>
  </si>
  <si>
    <t>Mädchen Mädchen</t>
  </si>
  <si>
    <t>Mädchen Mädchen!</t>
  </si>
  <si>
    <t>Kya-Celina Barucki, Julia Novohradsky, Nhung Hong, Zoë Pastelle Holthuizen, Jason Klare</t>
  </si>
  <si>
    <t>Inken, Vicky und Lena sind beste Freundinnen und haben ein gemeinsames Ziel: den ersten Orgasmus. Die selbstbewusste Inken versucht dabei, ihrer Rivalin Cheyenne nachzueifern und wartet ungeduldig auf den Höhepunkt mit ihrem Freund Tim. Lena hingegen sammelt den Mut, ihren Schwarm Nick (Jamie Lee Williams) anzusprechen, während Vicky einen kleinen Umweg macht und statt Erfüllung zunächst einen Vaginalpilz einfängt. Neben diesen Abenteuern wird die Freundschaft der drei durch Geheimnisse auf die Probe gestellt, Inkens bester Freund Flin will nicht länger in der Friendzone feststecken, und ihr Vater Gero startet eigene romantische Eskapaden. Als dann noch ein unerwartetes Erlebnis mit einem Fahrrad für Inken alles verändert, nehmen die Ereignisse ihren Lauf.</t>
  </si>
  <si>
    <t>Mord in der Dämmerung</t>
  </si>
  <si>
    <t>In the Line of Duty: Manhunt in the Dakotas</t>
  </si>
  <si>
    <t>tt0102112</t>
  </si>
  <si>
    <t>Rod Steiger, Michael Gross, Gary Basaraba, Christopher Rich, Amy Wright</t>
  </si>
  <si>
    <t>Safe House - Verrat ist die ultimative Waffe</t>
  </si>
  <si>
    <t>Lucien Laviscount, Hannah John-Kamen, Lewis Tan, Holt McCallany, Ethan Embry</t>
  </si>
  <si>
    <t>Sechs Bundesagenten, die sich nach einem Terroranschlag in Los Angeles versteckt halten, werden misstrauisch gegeneinander, als sie erkennen, dass der Täter unter ihnen sein könnte.</t>
  </si>
  <si>
    <t>The Afterparty</t>
  </si>
  <si>
    <t>Medeni mesec</t>
  </si>
  <si>
    <t>tt12614214</t>
  </si>
  <si>
    <t>Nebojša Milovanović, Jelena Trkulja, Jozef Shiroka, Lazar Ristovski, Petar Božović</t>
  </si>
  <si>
    <t>The Jester 2 - Trick or Treat</t>
  </si>
  <si>
    <t>The Jester 2</t>
  </si>
  <si>
    <t>Michael Sheffield, Kaitlyn Trentham, Dingani Beza, Hassen Kacem, Jessica Ambuehl</t>
  </si>
  <si>
    <t>Als der Teenie-Magier Max in der Halloween-Nacht auf den finsteren Jester trifft, muss sie einen übernatürlichen Killer überlisten, dessen Magie allzu real ist und dessen Tricks immer blutig enden.</t>
  </si>
  <si>
    <t>The Last Winter</t>
  </si>
  <si>
    <t>Ron Perlman, James LeGros, Connie Britton, Zach Gilford, Kevin Corrigan</t>
  </si>
  <si>
    <t>Nordalaska: eine Handvoll Menschen im Dienste der North Industries Organisation, darunter der Leiter Ed Pollack, Maxwell, Motor, Abby, Eds ehemalige Geliebte, sowie der Naturschützer Hoffman, der schauen soll, ob sich die Landschaft überhaupt für die geplanten Arbeiten eignet, führt die Vorbereitungen durch, um in naher Zukunft hier in der endlosen Eislandschaft Ölbohrungen durchzuführen. Allerdings stockt der Arbeitsprozess, da es momentan nicht möglich ist, eine Eisstraße zu der Basis im Eis zu erschließen, weshalb die benötigten Maschinen immer noch nicht vor Ort sind. So sitzt die Mannschaft den ganzen Tag herum und muss einzig feststellen, dass die Temperatur in letzter Zeit immer weiter anstieg. Dann jedoch geschehen mysteriöse Dinge und die Leute der Station scheinen durchzudrehen.</t>
  </si>
  <si>
    <t>The River Murders - Blutige Rache</t>
  </si>
  <si>
    <t>The River Murders</t>
  </si>
  <si>
    <t>Ray Liotta, Christian Slater, Ving Rhames, Gisele Fraga, Sarah Ann Schultz</t>
  </si>
  <si>
    <t>Der erfahrene Detective Jack Verdon ist ein Frauenheld. Er ist der typische Junggesellen-Playboy, der seit Jahrzehnten Single ist und das Leben genießt. Als er einen neuen Fall bekommt, realisiert er, dass ein Zusammenhang zwischen seiner sexuellen Vergangenheit und den Morden besteht. Ein Serienmörder tötet scheinbar gezielt Frauen mit denen Verdon in der Vergangenheit Sex gehabt hat. Ihm wird der Fall von dem jungen aufstrebenden FBI-Agenten Vokovich abgenommen und von seinem Vorgesetzten auf unbestimmte Zeit suspendiert. Schließlich rückt er selbst in den Blick des Ermittlers und wird zum Hauptverdächtigen, obwohl er teilweise Alibis vorweisen kann. Um seinen Namen reinzuwaschen und seine Existenz nicht zu verlieren, ist er gezwungen, sich mit seiner Vergangenheit zu konfrontieren und den Killer auf eigene Faust außerhalb des Gesetzes zu jagen.</t>
  </si>
  <si>
    <t>Große Erwartungen</t>
  </si>
  <si>
    <t>Great Expectations</t>
  </si>
  <si>
    <t>Ethan Hawke, Gwyneth Paltrow, Hank Azaria, Chris Cooper, Anne Bancroft</t>
  </si>
  <si>
    <t>Seit ihrer ersten Begegnung ist der junge Künstler Finnegan ‚Finn‘ Bell  fasziniert von der schönen, aber eiskalten Estella. Sie wird seine Inspiration, seine Leidenschaft und vielleicht sein Untergang. Er ignoriert alle Warnungen und ist besessen davon, ihre Liebe zu gewinnen. Estella verlässt ihn jedoch.  Jahre später macht er sich als aufstrebender Künstler dank eines mysteriösen Gönners auf den Weg nach New York. Dort trifft er unerwartet erneut auf seine große Liebe. Finns alte Leidenschaft wird erneut entfacht. Als Estella zustimmt, für ihn Modell zu stehen, scheint es, dass sich sein größter Traum doch noch erfüllen wird, oder aber seine dunkelsten Ängste …</t>
  </si>
  <si>
    <t>...und der Himmel steht still</t>
  </si>
  <si>
    <t>Trouble in Yonkers</t>
  </si>
  <si>
    <t>Lost in Yonkers</t>
  </si>
  <si>
    <t>Richard Dreyfuss, Mercedes Ruehl, Irene Worth, Brad Stoll, Mike Damus</t>
  </si>
  <si>
    <t>Die schlechte Nachricht: Arty und Jay müssen den Sommer über zu ihrer herrischen Großmutter. Die gute Nachricht: Oma hat nur seltsame Vögel unterm Dach. Tante Bella (Mercedes Ruehl), hinreißend schön, aber leicht irre, macht ständig Jagd auf Kerle. Hinter Onkel Louie, dem Dunkelmann mit dem mysteriösen Aktenkoffer und den 1000 Anekdoten, sind hingegen ganz andere Kaliber her. Umlagert von Fies- und Finsterlingen entdecken Arty und Jay ihren Familiensinn ...</t>
  </si>
  <si>
    <t>Prange - Man ist ja Nachbar</t>
  </si>
  <si>
    <t>Bjarne Mädel, Katharina M. Schubert, Olli Dittrich, Angelika Richter, Linn Reusse</t>
  </si>
  <si>
    <t>Ralf Prange wohnt im Erdgeschoss und ist den ganzen Tag daheim. Damit ist er die perfekte »Filiale« für das ganze Haus. Stapelweise türmen sich die Kartons und Pakete der Nachbar*innen in seiner winzigen Wohnung. Doch eines Tages steht die Liebe vor der Tür: Dörte, die neue Paketzustellerin. Der grantelige, aber gutherzige Prange ist hin und weg, und auch Dörte scheint nicht abgeneigt. Horst Rohde allerdings, Pranges Nerv-Nachbar Nummer eins, gefällt die sich anbahnende Liaison überhaupt nicht. Denn er hat selbst ein Auge auf Dörte geworfen.</t>
  </si>
  <si>
    <t>Lilly und die Kängurus</t>
  </si>
  <si>
    <t>Kangaroo</t>
  </si>
  <si>
    <t>Lily Whiteley, Ryan Corr, Rachel House, Brooke Satchwell, Rick Donald</t>
  </si>
  <si>
    <t>Der Film ist eine herzerwärmende Familienkomödie über den ehemaligen Fernsehstar Chris Masterman, der in einer Outback-Stadt außerhalb von Alice Springs strandet. Dort tut er sich mit dem 12-jährigen indigenen Mädchen Charlie zusammen. Die beiden schließen eine unwahrscheinliche Freundschaft und arbeiten zusammen, um verwaiste Joes in der abgelegenen, aber atemberaubenden Outback-Gemeinde zu retten und zu rehabilitieren - ein Unterfangen, das sich für beide als lebensverändernd erweist.</t>
  </si>
  <si>
    <t>Girl Haunts Boy</t>
  </si>
  <si>
    <t>Michael Cimino, Peyton List, Phoebe Holden, Andrea Navedo, Brandon Micheal Hall</t>
  </si>
  <si>
    <t>Die Unfassbaren 3</t>
  </si>
  <si>
    <t>Now You See Me: Now You Don't</t>
  </si>
  <si>
    <t>Jesse Eisenberg, Dominic Sessa, Ariana Greenblatt, Justice Smith, Rosamund Pike</t>
  </si>
  <si>
    <t>Die ursprünglichen Vier Reiter verbünden sich mit einer neuen Generation von Illusionisten, um es mit der mächtigen Diamantenerbin Veronika Vanderberg aufzunehmen, die ein kriminelles Imperium leitet, das auf Geldwäsche und Menschenhandel basiert. Die alten und neuen Magier müssen ihre Differenzen überwinden, um gemeinsam ihren bisher ambitioniertesten Coup zu landen.</t>
  </si>
  <si>
    <t>tt33502160</t>
  </si>
  <si>
    <t>Maika Monroe, Mary Elizabeth Winstead, Raúl Castillo, Mileiah Vega, Nora Contreras</t>
  </si>
  <si>
    <t>Die Anwältin Caitlin Morales  ist glücklich mit Miguel verheiratet, mit dem sie die gemeinsame Tochter Emma hat. Aktuell ist sie schwanger und das Paar erwartet eine zweite Tochter. Beruflich muss sich Caitlin eines Tages um Polly Murphy kümmern, die aus ihrem Haus geworfen werden soll. Als die beiden Frauen sich nach einer Weile wieder begegnen, bittet Polly Caitlin darum, als Babysitterin für die neugeborene Josie eingestellt zu werden. Sie bekommt den Job und macht ihn gut, so gut, dass sie bald sogar im Gästehaus einziehen darf – ein fataler Fehler, wie sich noch herausstellen wird.</t>
  </si>
  <si>
    <t>Schlaflos in Seattle</t>
  </si>
  <si>
    <t>Sleepless in Seattle</t>
  </si>
  <si>
    <t>Meg Ryan, Tom Hanks, Ross Malinger, Bill Pullman, Rosie O'Donnell</t>
  </si>
  <si>
    <t>Sam ist seit einem Jahr Witwer, und sowohl er als auch sein Sohn Jonah sind darüber sehr unglücklich. Eines Tages bringt Jonah seinen Vater daher in eine Radiosendung, wo er in der Öffentlichkeit über seine Probleme reden kann. Die Folge: Sam bekommt massenweise Post von weiblichen Verehrerinnen, darunter auch von Annie aus New York, die sich auf den Weg von New York nach Seattle macht, um ihren Traummann kennenzulernen.</t>
  </si>
  <si>
    <t>Spot</t>
  </si>
  <si>
    <t>See Spot Run</t>
  </si>
  <si>
    <t>tt0250720</t>
  </si>
  <si>
    <t>David Arquette, Leslie Bibb, Michael Clarke Duncan, Angus T. Jones, Anthony Anderson</t>
  </si>
  <si>
    <t>Als Postbote, der vor Hunden Angst hat, nimmt Gordon Smith regelmäßig einen Spießroutenlauf durch die Vorgärten in Kauf. Aber eines Tages muss er sich doch mit einem Hund vertragen, denn dieser springt bei seiner Flucht zufällig in Gordons Auto, wo er als Babysitter mit dem fidelen Sohn seiner Nachbarin sitzt. Gordon hat schon länger Interesse an der lieblichen Nachbarin. Und ihre freundliche Bitte, ob er auf ihren Sohn aufpassen könnte, kommt ihm sehr gelegen. Was Gordon und der kleine James, der den Hund sofort lieb gewinnt und ihn in "Spot" tauft, jedoch nicht wissen ist, dass dieser Hund ein Drogenschnüffler von der FBI ist und momentan von der Mafia gejagt wird.</t>
  </si>
  <si>
    <t>Das Jahr, in dem wir uns kennen lernten</t>
  </si>
  <si>
    <t>The Year of Getting to Know Us</t>
  </si>
  <si>
    <t>tt0924134</t>
  </si>
  <si>
    <t>Sharon Stone, Jimmy Fallon, Illeana Douglas, Tom Arnold, Jordana Spiro</t>
  </si>
  <si>
    <t>Christopher Rocket ist ein pflichtbewusster Workaholic, der für nichts anderes sonst, auch nicht für seine Freundin Anne Begeisterung aufbringen kann. Bis sein Vater einen Schlaganfall erleidet und ins Krankenhaus eingewiesen wird. Sehr ungern betritt er wieder das Elternhaus und macht eine Reise zurück in die schwierige Kindheit innerhalb einer dysfunktionalen Familie und zu sich selbst. Der ständig abwesende Vater, die gesundheitsfanatische Mutter, der zum emotionalen Krüppel verkommene Sohn… In seiner Kindheit ist der Grund für seine Bindungsarmut, die er für Anne überwinden muss, verborgen.</t>
  </si>
  <si>
    <t>Ein ungleiches Paar</t>
  </si>
  <si>
    <t>The Dresser</t>
  </si>
  <si>
    <t>tt0085461</t>
  </si>
  <si>
    <t>Albert Finney, Tom Courtenay, Edward Fox, Zena Walker, Eileen Atkins</t>
  </si>
  <si>
    <t>Zweiter Weltkrieg und Fliegeralarm in London. Sir probt zum 227. Mal Shakespeares King Lear. Er kennt nur die Sorge um sich und seine Theatergruppe und Störungendurch den Krieg empfindet er als persönliche Beleidigung. Sir steckt zur Zeit in einer tiefen Krise und nur Norman, sein persönlicher Garderobier seit Jahrzehnten, wird ihm helfen können. Norman geht ganz in der Aufgabe auf, für Sir dazusein. Diese Beziehung zwischen Sir und Norman ist viel inniger als Sirs Verhältnis zu seiner Frau, die auch im Ensemble ist. Doch diese Krise wird die bedrohlichste für das ungleiche Paar.</t>
  </si>
  <si>
    <t>United States, Iceland</t>
  </si>
  <si>
    <t>tt0454864</t>
  </si>
  <si>
    <t>Ron Perlman, James Le Gros, Connie Britton</t>
  </si>
  <si>
    <t>tt18270538</t>
  </si>
  <si>
    <t>Gracie Doan, Effie Lavore</t>
  </si>
  <si>
    <t>tt1738387</t>
  </si>
  <si>
    <t>Palm Royale</t>
  </si>
  <si>
    <t>Zorgon: The H-Bomb Beast From Hell</t>
  </si>
  <si>
    <t>tt8888540</t>
  </si>
  <si>
    <t>Ace Mask, Susan Turner, David Allen, Jim Danforth, Renata Danforth</t>
  </si>
  <si>
    <t>tt0165623</t>
  </si>
  <si>
    <t>Erwin Leder, Robert Hunger-Bühler, Silvia Ryder</t>
  </si>
  <si>
    <t>Ein geheimnisvoller Brief erreicht die Baker Street 221b und Sherlock Holmes' ganzer detektivischer Scharfsinn ist gefragt, um Licht in das Dunkel alter und gefährlicher Geheimnisse zu bringen. Die Lösung enthüllt er Im Tal der Angst.</t>
  </si>
  <si>
    <t>Horrror</t>
  </si>
  <si>
    <t>tt37334010</t>
  </si>
  <si>
    <t>Eine zweite Chance</t>
  </si>
  <si>
    <t>Ein Chef zum Verlieben</t>
  </si>
  <si>
    <t>Auf die stürmische Art</t>
  </si>
  <si>
    <t>Ein Mann namens Otto</t>
  </si>
  <si>
    <t>After the Hunt</t>
  </si>
  <si>
    <t>Leave the World Behind</t>
  </si>
  <si>
    <t>Im August in Osage County</t>
  </si>
  <si>
    <t>Die Hochzeit meines besten Freundes</t>
  </si>
  <si>
    <t>Therapie für Wikinger</t>
  </si>
  <si>
    <t>Blendende Weihnachten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</si>
</sst>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rgb="FF000000"/>
      <name val="Arial"/>
    </font>
    <font>
      <b/>
      <sz val="13"/>
      <color rgb="FFFFFFFF"/>
      <name val="Quattrocento Sans"/>
      <family val="2"/>
    </font>
    <font>
      <sz val="11"/>
      <color theme="1"/>
      <name val="Calibri"/>
      <family val="2"/>
    </font>
    <font>
      <sz val="11"/>
      <color rgb="FF000000"/>
      <name val="Calibri"/>
      <family val="2"/>
    </font>
    <font>
      <b/>
      <sz val="10"/>
      <color rgb="FF000000"/>
      <name val="Arial"/>
      <family val="2"/>
    </font>
    <font>
      <sz val="14"/>
      <color rgb="FF000000"/>
      <name val="Calibri"/>
      <family val="2"/>
    </font>
    <font>
      <b/>
      <sz val="14"/>
      <color rgb="FFFFFFFF"/>
      <name val="Quattrocento Sans"/>
      <family val="2"/>
    </font>
    <font>
      <sz val="14"/>
      <color rgb="FF000000"/>
      <name val="Arial"/>
      <family val="2"/>
    </font>
  </fonts>
  <fills count="4">
    <fill>
      <patternFill patternType="none"/>
    </fill>
    <fill>
      <patternFill patternType="gray125"/>
    </fill>
    <fill>
      <patternFill patternType="solid">
        <fgColor rgb="FF3465A4"/>
        <bgColor rgb="FF3366FF"/>
      </patternFill>
    </fill>
    <fill>
      <patternFill patternType="solid">
        <fgColor rgb="FFFFCCE5"/>
        <bgColor rgb="FFFFCCE5"/>
      </patternFill>
    </fill>
  </fills>
  <borders count="6">
    <border>
      <left/>
      <right/>
      <top/>
      <bottom/>
      <diagonal/>
    </border>
    <border diagonalUp="1" diagonalDown="1">
      <left style="dotted">
        <color auto="1"/>
      </left>
      <right style="dotted">
        <color auto="1"/>
      </right>
      <top style="dotted">
        <color auto="1"/>
      </top>
      <bottom/>
      <diagonal/>
    </border>
    <border diagonalUp="1" diagonalDown="1">
      <left style="dotted">
        <color auto="1"/>
      </left>
      <right style="dotted">
        <color auto="1"/>
      </right>
      <top style="dotted">
        <color auto="1"/>
      </top>
      <bottom style="dotted">
        <color auto="1"/>
      </bottom>
      <diagonal/>
    </border>
    <border diagonalUp="1" diagonalDown="1">
      <left style="dotted">
        <color auto="1"/>
      </left>
      <right style="hair">
        <color auto="1"/>
      </right>
      <top style="hair">
        <color auto="1"/>
      </top>
      <bottom style="hair">
        <color auto="1"/>
      </bottom>
      <diagonal/>
    </border>
    <border diagonalUp="1" diagonalDown="1">
      <left style="hair">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s>
  <cellStyleXfs count="1">
    <xf numFmtId="0" fontId="0" fillId="0" borderId="0"/>
  </cellStyleXfs>
  <cellXfs count="23">
    <xf numFmtId="0" fontId="0" fillId="0" borderId="0" xfId="0"/>
    <xf numFmtId="0" fontId="1" fillId="2" borderId="1" xfId="0" applyFont="1" applyFill="1" applyBorder="1"/>
    <xf numFmtId="0" fontId="0" fillId="0" borderId="0" xfId="0"/>
    <xf numFmtId="0" fontId="0" fillId="0" borderId="0" xfId="0" applyAlignment="1">
      <alignment horizontal="left"/>
    </xf>
    <xf numFmtId="0" fontId="4" fillId="0" borderId="0" xfId="0" applyFont="1"/>
    <xf numFmtId="0" fontId="3" fillId="0" borderId="0" xfId="0" applyFont="1"/>
    <xf numFmtId="0" fontId="3" fillId="0" borderId="0" xfId="0" applyFont="1" applyAlignment="1">
      <alignment horizontal="left"/>
    </xf>
    <xf numFmtId="0" fontId="5" fillId="0" borderId="0" xfId="0" applyFont="1"/>
    <xf numFmtId="0" fontId="7" fillId="0" borderId="0" xfId="0" applyFont="1"/>
    <xf numFmtId="0" fontId="2" fillId="0" borderId="2" xfId="0" applyFont="1" applyBorder="1" applyAlignment="1">
      <alignment horizontal="left" vertical="top" wrapText="1"/>
    </xf>
    <xf numFmtId="0" fontId="2" fillId="3" borderId="2" xfId="0" applyFont="1" applyFill="1" applyBorder="1" applyAlignment="1">
      <alignment horizontal="left" vertical="top" wrapText="1"/>
    </xf>
    <xf numFmtId="0" fontId="6" fillId="2" borderId="1" xfId="0" applyFont="1" applyFill="1" applyBorder="1" applyAlignment="1">
      <alignment horizontal="left" vertical="top" wrapText="1"/>
    </xf>
    <xf numFmtId="0" fontId="2" fillId="3" borderId="3" xfId="0" applyFont="1" applyFill="1" applyBorder="1" applyAlignment="1">
      <alignment horizontal="left" vertical="top"/>
    </xf>
    <xf numFmtId="0" fontId="2" fillId="0" borderId="2" xfId="0" applyFont="1" applyBorder="1" applyAlignment="1">
      <alignment horizontal="left" vertical="top"/>
    </xf>
    <xf numFmtId="0" fontId="0" fillId="0" borderId="0" xfId="0" applyAlignment="1">
      <alignment horizontal="left" vertical="top"/>
    </xf>
    <xf numFmtId="0" fontId="2" fillId="3" borderId="2" xfId="0" applyFont="1" applyFill="1" applyBorder="1" applyAlignment="1">
      <alignment horizontal="left" vertical="top"/>
    </xf>
    <xf numFmtId="0" fontId="2" fillId="0" borderId="4" xfId="0" applyFont="1" applyBorder="1" applyAlignment="1">
      <alignment horizontal="left" vertical="top"/>
    </xf>
    <xf numFmtId="0" fontId="2" fillId="0" borderId="4" xfId="0" applyFont="1" applyBorder="1" applyAlignment="1">
      <alignment horizontal="left" vertical="top" wrapText="1"/>
    </xf>
    <xf numFmtId="0" fontId="2" fillId="3" borderId="4" xfId="0" applyFont="1" applyFill="1" applyBorder="1" applyAlignment="1">
      <alignment horizontal="left" vertical="top"/>
    </xf>
    <xf numFmtId="0" fontId="2" fillId="3" borderId="4" xfId="0" applyFont="1" applyFill="1" applyBorder="1" applyAlignment="1">
      <alignment horizontal="left" vertical="top" wrapText="1"/>
    </xf>
    <xf numFmtId="0" fontId="3" fillId="0" borderId="5" xfId="0" applyFont="1" applyBorder="1"/>
    <xf numFmtId="0" fontId="3" fillId="0" borderId="5" xfId="0" applyFont="1" applyBorder="1" applyAlignment="1">
      <alignment horizontal="left"/>
    </xf>
    <xf numFmtId="0" fontId="0" fillId="0" borderId="5" xfId="0" applyBorder="1" applyAlignment="1">
      <alignment horizontal="left" vertical="top"/>
    </xf>
  </cellXfs>
  <cellStyles count="1">
    <cellStyle name="Standard"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69A2E"/>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AA95"/>
      <rgbColor rgb="FFCC99FF"/>
      <rgbColor rgb="FFF4B084"/>
      <rgbColor rgb="FF3366FF"/>
      <rgbColor rgb="FF33CCCC"/>
      <rgbColor rgb="FF99CC00"/>
      <rgbColor rgb="FFFFCC00"/>
      <rgbColor rgb="FFFF9900"/>
      <rgbColor rgb="FFFF6600"/>
      <rgbColor rgb="FF3465A4"/>
      <rgbColor rgb="FF999999"/>
      <rgbColor rgb="FF003366"/>
      <rgbColor rgb="FF3FAF4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1"/>
  <dimension ref="A1:L54"/>
  <sheetViews>
    <sheetView zoomScaleNormal="100" workbookViewId="0">
      <pane ySplit="1" topLeftCell="A2" activePane="bottomLeft" state="frozen"/>
      <selection pane="bottomLeft" activeCell="C7" sqref="C7"/>
    </sheetView>
  </sheetViews>
  <sheetFormatPr baseColWidth="10" defaultColWidth="12.5703125" defaultRowHeight="15" customHeight="1" x14ac:dyDescent="0.2"/>
  <cols>
    <col min="1" max="1" width="47.42578125" style="2" customWidth="1"/>
    <col min="2" max="2" width="18.5703125" style="2" customWidth="1"/>
    <col min="3" max="3" width="8.140625" style="2" customWidth="1"/>
    <col min="4" max="4" width="7" style="2" customWidth="1"/>
    <col min="5" max="5" width="11.42578125" style="2" customWidth="1"/>
    <col min="6" max="6" width="6.42578125" style="2" customWidth="1"/>
    <col min="7" max="8" width="11.42578125" style="2" customWidth="1"/>
    <col min="9" max="9" width="44.7109375" style="2" customWidth="1"/>
    <col min="10" max="10" width="43" style="2" customWidth="1"/>
    <col min="11" max="11" width="18.5703125" style="2" customWidth="1"/>
    <col min="12" max="210" width="12.5703125" style="2" customWidth="1"/>
    <col min="211" max="16384" width="12.5703125" style="2"/>
  </cols>
  <sheetData>
    <row r="1" spans="1:12" s="8" customFormat="1" ht="16.5" customHeight="1" x14ac:dyDescent="0.25">
      <c r="A1" s="11" t="s">
        <v>0</v>
      </c>
      <c r="B1" s="11" t="s">
        <v>1</v>
      </c>
      <c r="C1" s="11" t="s">
        <v>2</v>
      </c>
      <c r="D1" s="11" t="s">
        <v>3</v>
      </c>
      <c r="E1" s="11" t="s">
        <v>4</v>
      </c>
      <c r="F1" s="11" t="s">
        <v>5</v>
      </c>
      <c r="G1" s="11" t="s">
        <v>6</v>
      </c>
      <c r="H1" s="11" t="s">
        <v>7</v>
      </c>
      <c r="I1" s="11" t="s">
        <v>8</v>
      </c>
      <c r="J1" s="11" t="s">
        <v>9</v>
      </c>
      <c r="K1" s="11" t="s">
        <v>10</v>
      </c>
      <c r="L1" s="11" t="s">
        <v>11</v>
      </c>
    </row>
    <row r="2" spans="1:12" ht="15" customHeight="1" x14ac:dyDescent="0.2">
      <c r="A2" s="13" t="s">
        <v>12</v>
      </c>
      <c r="B2" s="13" t="s">
        <v>13</v>
      </c>
      <c r="C2" s="13" t="s">
        <v>14</v>
      </c>
      <c r="D2" s="13" t="s">
        <v>15</v>
      </c>
      <c r="E2" s="13" t="s">
        <v>16</v>
      </c>
      <c r="F2" s="13" t="s">
        <v>17</v>
      </c>
      <c r="G2" s="13" t="s">
        <v>18</v>
      </c>
      <c r="H2" s="13" t="s">
        <v>19</v>
      </c>
      <c r="I2" s="13" t="s">
        <v>20</v>
      </c>
      <c r="J2" s="9" t="s">
        <v>21</v>
      </c>
      <c r="K2" s="13" t="s">
        <v>22</v>
      </c>
    </row>
    <row r="3" spans="1:12" ht="15" customHeight="1" x14ac:dyDescent="0.2">
      <c r="A3" s="13" t="s">
        <v>23</v>
      </c>
      <c r="B3" s="13" t="s">
        <v>24</v>
      </c>
      <c r="C3" s="13" t="s">
        <v>25</v>
      </c>
      <c r="D3" s="13" t="s">
        <v>15</v>
      </c>
      <c r="E3" s="13" t="s">
        <v>26</v>
      </c>
      <c r="F3" s="13" t="s">
        <v>27</v>
      </c>
      <c r="G3" s="13" t="s">
        <v>28</v>
      </c>
      <c r="H3" s="13" t="s">
        <v>29</v>
      </c>
      <c r="I3" s="13" t="s">
        <v>30</v>
      </c>
      <c r="J3" s="9" t="s">
        <v>31</v>
      </c>
      <c r="K3" s="13" t="s">
        <v>32</v>
      </c>
    </row>
    <row r="4" spans="1:12" ht="15" customHeight="1" x14ac:dyDescent="0.2">
      <c r="A4" s="13" t="s">
        <v>33</v>
      </c>
      <c r="B4" s="13" t="s">
        <v>3</v>
      </c>
      <c r="C4" s="13" t="s">
        <v>34</v>
      </c>
      <c r="D4" s="13" t="s">
        <v>15</v>
      </c>
      <c r="E4" s="13" t="s">
        <v>35</v>
      </c>
      <c r="F4" s="13" t="s">
        <v>36</v>
      </c>
      <c r="G4" s="13" t="s">
        <v>18</v>
      </c>
      <c r="H4" s="13" t="s">
        <v>37</v>
      </c>
      <c r="I4" s="13" t="s">
        <v>38</v>
      </c>
      <c r="J4" s="9" t="s">
        <v>39</v>
      </c>
      <c r="K4" s="13" t="s">
        <v>40</v>
      </c>
    </row>
    <row r="5" spans="1:12" ht="15" customHeight="1" x14ac:dyDescent="0.2">
      <c r="A5" s="13" t="s">
        <v>41</v>
      </c>
      <c r="B5" s="13" t="s">
        <v>42</v>
      </c>
      <c r="C5" s="13" t="s">
        <v>43</v>
      </c>
      <c r="D5" s="13" t="s">
        <v>44</v>
      </c>
      <c r="E5" s="13" t="s">
        <v>45</v>
      </c>
      <c r="F5" s="13">
        <v>6</v>
      </c>
      <c r="G5" s="13" t="s">
        <v>46</v>
      </c>
      <c r="H5" s="13" t="s">
        <v>47</v>
      </c>
      <c r="I5" s="13" t="s">
        <v>48</v>
      </c>
      <c r="J5" s="9"/>
      <c r="K5" s="13" t="s">
        <v>49</v>
      </c>
    </row>
    <row r="6" spans="1:12" ht="15" customHeight="1" x14ac:dyDescent="0.2">
      <c r="A6" s="13" t="s">
        <v>50</v>
      </c>
      <c r="B6" s="13" t="s">
        <v>51</v>
      </c>
      <c r="C6" s="13" t="s">
        <v>52</v>
      </c>
      <c r="D6" s="13" t="s">
        <v>15</v>
      </c>
      <c r="E6" s="13" t="s">
        <v>35</v>
      </c>
      <c r="F6" s="13" t="s">
        <v>53</v>
      </c>
      <c r="G6" s="13" t="s">
        <v>18</v>
      </c>
      <c r="H6" s="13" t="s">
        <v>54</v>
      </c>
      <c r="I6" s="13" t="s">
        <v>55</v>
      </c>
      <c r="J6" s="9" t="s">
        <v>56</v>
      </c>
      <c r="K6" s="13" t="s">
        <v>57</v>
      </c>
    </row>
    <row r="7" spans="1:12" ht="15" customHeight="1" x14ac:dyDescent="0.2">
      <c r="A7" s="13" t="s">
        <v>58</v>
      </c>
      <c r="B7" s="13" t="s">
        <v>59</v>
      </c>
      <c r="C7" s="13" t="s">
        <v>43</v>
      </c>
      <c r="D7" s="13" t="s">
        <v>15</v>
      </c>
      <c r="E7" s="13" t="s">
        <v>35</v>
      </c>
      <c r="F7" s="13" t="s">
        <v>60</v>
      </c>
      <c r="G7" s="13" t="s">
        <v>18</v>
      </c>
      <c r="H7" s="13" t="s">
        <v>61</v>
      </c>
      <c r="I7" s="13" t="s">
        <v>62</v>
      </c>
      <c r="J7" s="9" t="s">
        <v>63</v>
      </c>
      <c r="K7" s="13" t="s">
        <v>64</v>
      </c>
    </row>
    <row r="8" spans="1:12" ht="15" customHeight="1" x14ac:dyDescent="0.2">
      <c r="A8" s="13" t="s">
        <v>65</v>
      </c>
      <c r="B8" s="13" t="s">
        <v>66</v>
      </c>
      <c r="C8" s="13" t="s">
        <v>67</v>
      </c>
      <c r="D8" s="13" t="s">
        <v>15</v>
      </c>
      <c r="E8" s="13" t="s">
        <v>35</v>
      </c>
      <c r="F8" s="13" t="s">
        <v>68</v>
      </c>
      <c r="G8" s="13" t="s">
        <v>46</v>
      </c>
      <c r="H8" s="13" t="s">
        <v>69</v>
      </c>
      <c r="I8" s="13" t="s">
        <v>70</v>
      </c>
      <c r="J8" s="9" t="s">
        <v>71</v>
      </c>
      <c r="K8" s="13" t="s">
        <v>72</v>
      </c>
    </row>
    <row r="9" spans="1:12" ht="15" customHeight="1" x14ac:dyDescent="0.2">
      <c r="A9" s="13" t="s">
        <v>73</v>
      </c>
      <c r="B9" s="13" t="s">
        <v>74</v>
      </c>
      <c r="C9" s="13" t="s">
        <v>75</v>
      </c>
      <c r="D9" s="13" t="s">
        <v>15</v>
      </c>
      <c r="E9" s="13" t="s">
        <v>35</v>
      </c>
      <c r="F9" s="13" t="s">
        <v>76</v>
      </c>
      <c r="G9" s="13" t="s">
        <v>77</v>
      </c>
      <c r="H9" s="13" t="s">
        <v>78</v>
      </c>
      <c r="I9" s="13" t="s">
        <v>79</v>
      </c>
      <c r="J9" s="9" t="s">
        <v>80</v>
      </c>
      <c r="K9" s="13" t="s">
        <v>81</v>
      </c>
    </row>
    <row r="10" spans="1:12" ht="15" customHeight="1" x14ac:dyDescent="0.2">
      <c r="A10" s="13" t="s">
        <v>82</v>
      </c>
      <c r="B10" s="13" t="s">
        <v>83</v>
      </c>
      <c r="C10" s="13" t="s">
        <v>67</v>
      </c>
      <c r="D10" s="13" t="s">
        <v>15</v>
      </c>
      <c r="E10" s="13" t="s">
        <v>84</v>
      </c>
      <c r="F10" s="13" t="s">
        <v>85</v>
      </c>
      <c r="G10" s="13" t="s">
        <v>86</v>
      </c>
      <c r="H10" s="13" t="s">
        <v>87</v>
      </c>
      <c r="I10" s="13" t="s">
        <v>88</v>
      </c>
      <c r="J10" s="9" t="s">
        <v>89</v>
      </c>
      <c r="K10" s="13" t="s">
        <v>90</v>
      </c>
    </row>
    <row r="11" spans="1:12" ht="15" customHeight="1" x14ac:dyDescent="0.2">
      <c r="A11" s="15" t="s">
        <v>91</v>
      </c>
      <c r="B11" s="15" t="s">
        <v>91</v>
      </c>
      <c r="C11" s="15" t="s">
        <v>67</v>
      </c>
      <c r="D11" s="15" t="s">
        <v>92</v>
      </c>
      <c r="E11" s="15" t="s">
        <v>93</v>
      </c>
      <c r="F11" s="15" t="s">
        <v>94</v>
      </c>
      <c r="G11" s="15" t="s">
        <v>46</v>
      </c>
      <c r="H11" s="15" t="s">
        <v>95</v>
      </c>
      <c r="I11" s="15" t="s">
        <v>96</v>
      </c>
      <c r="J11" s="10" t="s">
        <v>97</v>
      </c>
      <c r="K11" s="15" t="s">
        <v>98</v>
      </c>
    </row>
    <row r="12" spans="1:12" ht="15" customHeight="1" x14ac:dyDescent="0.2">
      <c r="A12" s="13" t="s">
        <v>99</v>
      </c>
      <c r="B12" s="13" t="s">
        <v>100</v>
      </c>
      <c r="C12" s="13">
        <v>1988</v>
      </c>
      <c r="D12" s="13" t="s">
        <v>15</v>
      </c>
      <c r="E12" s="13" t="s">
        <v>35</v>
      </c>
      <c r="F12" s="13" t="s">
        <v>101</v>
      </c>
      <c r="G12" s="13" t="s">
        <v>77</v>
      </c>
      <c r="H12" s="13" t="s">
        <v>102</v>
      </c>
      <c r="I12" s="13" t="s">
        <v>103</v>
      </c>
      <c r="J12" s="9"/>
      <c r="K12" s="13" t="s">
        <v>104</v>
      </c>
    </row>
    <row r="13" spans="1:12" ht="15" customHeight="1" x14ac:dyDescent="0.2">
      <c r="A13" s="13" t="s">
        <v>105</v>
      </c>
      <c r="B13" s="13" t="s">
        <v>105</v>
      </c>
      <c r="C13" s="13" t="s">
        <v>106</v>
      </c>
      <c r="D13" s="13" t="s">
        <v>15</v>
      </c>
      <c r="E13" s="13" t="s">
        <v>107</v>
      </c>
      <c r="F13" s="13" t="s">
        <v>108</v>
      </c>
      <c r="G13" s="13" t="s">
        <v>46</v>
      </c>
      <c r="H13" s="13" t="s">
        <v>109</v>
      </c>
      <c r="I13" s="13" t="s">
        <v>110</v>
      </c>
      <c r="J13" s="9" t="s">
        <v>111</v>
      </c>
      <c r="K13" s="13" t="s">
        <v>112</v>
      </c>
    </row>
    <row r="14" spans="1:12" ht="15" customHeight="1" x14ac:dyDescent="0.2">
      <c r="A14" s="13" t="s">
        <v>113</v>
      </c>
      <c r="B14" s="13" t="s">
        <v>114</v>
      </c>
      <c r="C14" s="13" t="s">
        <v>115</v>
      </c>
      <c r="D14" s="13" t="s">
        <v>15</v>
      </c>
      <c r="E14" s="13" t="s">
        <v>35</v>
      </c>
      <c r="F14" s="13" t="s">
        <v>94</v>
      </c>
      <c r="G14" s="13" t="s">
        <v>46</v>
      </c>
      <c r="H14" s="13" t="s">
        <v>116</v>
      </c>
      <c r="I14" s="13" t="s">
        <v>117</v>
      </c>
      <c r="J14" s="9" t="s">
        <v>118</v>
      </c>
      <c r="K14" s="13" t="s">
        <v>119</v>
      </c>
    </row>
    <row r="15" spans="1:12" ht="15" customHeight="1" x14ac:dyDescent="0.2">
      <c r="A15" s="13" t="s">
        <v>120</v>
      </c>
      <c r="B15" s="13" t="s">
        <v>121</v>
      </c>
      <c r="C15" s="13" t="s">
        <v>122</v>
      </c>
      <c r="D15" s="13" t="s">
        <v>15</v>
      </c>
      <c r="E15" s="13" t="s">
        <v>35</v>
      </c>
      <c r="F15" s="13" t="s">
        <v>60</v>
      </c>
      <c r="G15" s="13" t="s">
        <v>18</v>
      </c>
      <c r="H15" s="13" t="s">
        <v>123</v>
      </c>
      <c r="I15" s="13" t="s">
        <v>124</v>
      </c>
      <c r="J15" s="9" t="s">
        <v>125</v>
      </c>
      <c r="K15" s="13" t="s">
        <v>126</v>
      </c>
    </row>
    <row r="16" spans="1:12" ht="15" customHeight="1" x14ac:dyDescent="0.2">
      <c r="A16" s="13" t="s">
        <v>127</v>
      </c>
      <c r="B16" s="13" t="s">
        <v>127</v>
      </c>
      <c r="C16" s="13" t="s">
        <v>67</v>
      </c>
      <c r="D16" s="13" t="s">
        <v>15</v>
      </c>
      <c r="E16" s="13" t="s">
        <v>128</v>
      </c>
      <c r="F16" s="13" t="s">
        <v>129</v>
      </c>
      <c r="G16" s="13" t="s">
        <v>46</v>
      </c>
      <c r="H16" s="13" t="s">
        <v>130</v>
      </c>
      <c r="I16" s="13" t="s">
        <v>131</v>
      </c>
      <c r="J16" s="9" t="s">
        <v>132</v>
      </c>
      <c r="K16" s="13" t="s">
        <v>133</v>
      </c>
    </row>
    <row r="17" spans="1:11" ht="15" customHeight="1" x14ac:dyDescent="0.2">
      <c r="A17" s="13" t="s">
        <v>134</v>
      </c>
      <c r="B17" s="13" t="s">
        <v>135</v>
      </c>
      <c r="C17" s="13" t="s">
        <v>136</v>
      </c>
      <c r="D17" s="13" t="s">
        <v>15</v>
      </c>
      <c r="E17" s="13" t="s">
        <v>35</v>
      </c>
      <c r="F17" s="13" t="s">
        <v>137</v>
      </c>
      <c r="G17" s="13" t="s">
        <v>18</v>
      </c>
      <c r="H17" s="13" t="s">
        <v>138</v>
      </c>
      <c r="I17" s="13" t="s">
        <v>139</v>
      </c>
      <c r="J17" s="9" t="s">
        <v>140</v>
      </c>
      <c r="K17" s="13" t="s">
        <v>141</v>
      </c>
    </row>
    <row r="18" spans="1:11" ht="15" customHeight="1" x14ac:dyDescent="0.2">
      <c r="A18" s="13" t="s">
        <v>142</v>
      </c>
      <c r="B18" s="13" t="s">
        <v>143</v>
      </c>
      <c r="C18" s="13" t="s">
        <v>144</v>
      </c>
      <c r="D18" s="13" t="s">
        <v>15</v>
      </c>
      <c r="E18" s="13" t="s">
        <v>35</v>
      </c>
      <c r="F18" s="13" t="s">
        <v>145</v>
      </c>
      <c r="G18" s="13" t="s">
        <v>77</v>
      </c>
      <c r="H18" s="13" t="s">
        <v>146</v>
      </c>
      <c r="I18" s="13" t="s">
        <v>147</v>
      </c>
      <c r="J18" s="9" t="s">
        <v>148</v>
      </c>
      <c r="K18" s="13" t="s">
        <v>149</v>
      </c>
    </row>
    <row r="19" spans="1:11" ht="15" customHeight="1" x14ac:dyDescent="0.2">
      <c r="A19" s="13" t="s">
        <v>150</v>
      </c>
      <c r="B19" s="13" t="s">
        <v>151</v>
      </c>
      <c r="C19" s="13" t="s">
        <v>152</v>
      </c>
      <c r="D19" s="13" t="s">
        <v>15</v>
      </c>
      <c r="E19" s="13" t="s">
        <v>35</v>
      </c>
      <c r="F19" s="13" t="s">
        <v>108</v>
      </c>
      <c r="G19" s="13" t="s">
        <v>46</v>
      </c>
      <c r="H19" s="13" t="s">
        <v>153</v>
      </c>
      <c r="I19" s="13" t="s">
        <v>154</v>
      </c>
      <c r="J19" s="9" t="s">
        <v>155</v>
      </c>
      <c r="K19" s="13" t="s">
        <v>156</v>
      </c>
    </row>
    <row r="20" spans="1:11" ht="15" customHeight="1" x14ac:dyDescent="0.2">
      <c r="A20" s="13" t="s">
        <v>157</v>
      </c>
      <c r="B20" s="13" t="s">
        <v>158</v>
      </c>
      <c r="C20" s="13" t="s">
        <v>159</v>
      </c>
      <c r="D20" s="13" t="s">
        <v>15</v>
      </c>
      <c r="E20" s="13" t="s">
        <v>35</v>
      </c>
      <c r="F20" s="13" t="s">
        <v>160</v>
      </c>
      <c r="G20" s="13" t="s">
        <v>86</v>
      </c>
      <c r="H20" s="13" t="s">
        <v>161</v>
      </c>
      <c r="I20" s="13" t="s">
        <v>162</v>
      </c>
      <c r="J20" s="9" t="s">
        <v>163</v>
      </c>
      <c r="K20" s="13" t="s">
        <v>164</v>
      </c>
    </row>
    <row r="21" spans="1:11" ht="15" customHeight="1" x14ac:dyDescent="0.2">
      <c r="A21" s="15" t="s">
        <v>165</v>
      </c>
      <c r="B21" s="15" t="s">
        <v>166</v>
      </c>
      <c r="C21" s="15" t="s">
        <v>167</v>
      </c>
      <c r="D21" s="15" t="s">
        <v>15</v>
      </c>
      <c r="E21" s="15" t="s">
        <v>35</v>
      </c>
      <c r="F21" s="15" t="s">
        <v>168</v>
      </c>
      <c r="G21" s="15" t="s">
        <v>169</v>
      </c>
      <c r="H21" s="15" t="s">
        <v>170</v>
      </c>
      <c r="I21" s="15" t="s">
        <v>171</v>
      </c>
      <c r="J21" s="10" t="s">
        <v>172</v>
      </c>
      <c r="K21" s="15" t="s">
        <v>173</v>
      </c>
    </row>
    <row r="22" spans="1:11" ht="15" customHeight="1" x14ac:dyDescent="0.2">
      <c r="A22" s="13" t="s">
        <v>174</v>
      </c>
      <c r="B22" s="13" t="s">
        <v>175</v>
      </c>
      <c r="C22" s="13">
        <v>2020</v>
      </c>
      <c r="D22" s="13" t="s">
        <v>176</v>
      </c>
      <c r="E22" s="13" t="s">
        <v>177</v>
      </c>
      <c r="F22" s="13" t="s">
        <v>68</v>
      </c>
      <c r="G22" s="13" t="s">
        <v>46</v>
      </c>
      <c r="H22" s="13" t="s">
        <v>178</v>
      </c>
      <c r="I22" s="13" t="s">
        <v>179</v>
      </c>
      <c r="J22" s="9" t="s">
        <v>180</v>
      </c>
      <c r="K22" s="13" t="s">
        <v>181</v>
      </c>
    </row>
    <row r="23" spans="1:11" ht="15" customHeight="1" x14ac:dyDescent="0.2">
      <c r="A23" s="13" t="s">
        <v>182</v>
      </c>
      <c r="B23" s="13" t="s">
        <v>183</v>
      </c>
      <c r="C23" s="13" t="s">
        <v>184</v>
      </c>
      <c r="D23" s="13" t="s">
        <v>15</v>
      </c>
      <c r="E23" s="13" t="s">
        <v>35</v>
      </c>
      <c r="F23" s="13" t="s">
        <v>36</v>
      </c>
      <c r="G23" s="13" t="s">
        <v>18</v>
      </c>
      <c r="H23" s="13" t="s">
        <v>185</v>
      </c>
      <c r="I23" s="13" t="s">
        <v>186</v>
      </c>
      <c r="J23" s="9" t="s">
        <v>187</v>
      </c>
      <c r="K23" s="13" t="s">
        <v>188</v>
      </c>
    </row>
    <row r="24" spans="1:11" ht="15" customHeight="1" x14ac:dyDescent="0.2">
      <c r="A24" s="13" t="s">
        <v>189</v>
      </c>
      <c r="B24" s="13" t="s">
        <v>190</v>
      </c>
      <c r="C24" s="13" t="s">
        <v>67</v>
      </c>
      <c r="D24" s="13" t="s">
        <v>191</v>
      </c>
      <c r="E24" s="13" t="s">
        <v>35</v>
      </c>
      <c r="F24" s="13" t="s">
        <v>192</v>
      </c>
      <c r="G24" s="13" t="s">
        <v>46</v>
      </c>
      <c r="H24" s="13" t="s">
        <v>193</v>
      </c>
      <c r="I24" s="13" t="s">
        <v>194</v>
      </c>
      <c r="J24" s="9" t="s">
        <v>195</v>
      </c>
      <c r="K24" s="13" t="s">
        <v>196</v>
      </c>
    </row>
    <row r="25" spans="1:11" ht="15" customHeight="1" x14ac:dyDescent="0.2">
      <c r="A25" s="13" t="s">
        <v>197</v>
      </c>
      <c r="B25" s="13" t="s">
        <v>198</v>
      </c>
      <c r="C25" s="13" t="s">
        <v>199</v>
      </c>
      <c r="D25" s="13" t="s">
        <v>15</v>
      </c>
      <c r="E25" s="13" t="s">
        <v>200</v>
      </c>
      <c r="F25" s="13" t="s">
        <v>201</v>
      </c>
      <c r="G25" s="13" t="s">
        <v>46</v>
      </c>
      <c r="H25" s="13" t="s">
        <v>202</v>
      </c>
      <c r="I25" s="13" t="s">
        <v>203</v>
      </c>
      <c r="J25" s="9" t="s">
        <v>204</v>
      </c>
      <c r="K25" s="13" t="s">
        <v>205</v>
      </c>
    </row>
    <row r="26" spans="1:11" ht="15" customHeight="1" x14ac:dyDescent="0.2">
      <c r="A26" s="13" t="s">
        <v>206</v>
      </c>
      <c r="B26" s="13" t="s">
        <v>207</v>
      </c>
      <c r="C26" s="13" t="s">
        <v>208</v>
      </c>
      <c r="D26" s="13" t="s">
        <v>209</v>
      </c>
      <c r="E26" s="13" t="s">
        <v>35</v>
      </c>
      <c r="F26" s="13" t="s">
        <v>210</v>
      </c>
      <c r="G26" s="13" t="s">
        <v>77</v>
      </c>
      <c r="H26" s="13" t="s">
        <v>211</v>
      </c>
      <c r="I26" s="13" t="s">
        <v>212</v>
      </c>
      <c r="J26" s="9" t="s">
        <v>213</v>
      </c>
      <c r="K26" s="13" t="s">
        <v>214</v>
      </c>
    </row>
    <row r="27" spans="1:11" ht="15" customHeight="1" x14ac:dyDescent="0.2">
      <c r="A27" s="13" t="s">
        <v>215</v>
      </c>
      <c r="B27" s="13" t="s">
        <v>216</v>
      </c>
      <c r="C27" s="13" t="s">
        <v>136</v>
      </c>
      <c r="D27" s="13" t="s">
        <v>15</v>
      </c>
      <c r="E27" s="13" t="s">
        <v>35</v>
      </c>
      <c r="F27" s="13" t="s">
        <v>36</v>
      </c>
      <c r="G27" s="13" t="s">
        <v>18</v>
      </c>
      <c r="H27" s="13" t="s">
        <v>217</v>
      </c>
      <c r="I27" s="13" t="s">
        <v>218</v>
      </c>
      <c r="J27" s="9" t="s">
        <v>219</v>
      </c>
      <c r="K27" s="13" t="s">
        <v>220</v>
      </c>
    </row>
    <row r="28" spans="1:11" ht="15" customHeight="1" x14ac:dyDescent="0.2">
      <c r="A28" s="13" t="s">
        <v>221</v>
      </c>
      <c r="B28" s="13" t="s">
        <v>222</v>
      </c>
      <c r="C28" s="13" t="s">
        <v>43</v>
      </c>
      <c r="D28" s="13" t="s">
        <v>15</v>
      </c>
      <c r="E28" s="13" t="s">
        <v>35</v>
      </c>
      <c r="F28" s="13" t="s">
        <v>68</v>
      </c>
      <c r="G28" s="13" t="s">
        <v>46</v>
      </c>
      <c r="H28" s="13" t="s">
        <v>223</v>
      </c>
      <c r="I28" s="13" t="s">
        <v>224</v>
      </c>
      <c r="J28" s="9" t="s">
        <v>225</v>
      </c>
      <c r="K28" s="13" t="s">
        <v>226</v>
      </c>
    </row>
    <row r="29" spans="1:11" ht="15" customHeight="1" x14ac:dyDescent="0.2">
      <c r="A29" s="13" t="s">
        <v>227</v>
      </c>
      <c r="B29" s="13" t="s">
        <v>228</v>
      </c>
      <c r="C29" s="13" t="s">
        <v>184</v>
      </c>
      <c r="D29" s="13" t="s">
        <v>15</v>
      </c>
      <c r="E29" s="13" t="s">
        <v>35</v>
      </c>
      <c r="F29" s="13" t="s">
        <v>36</v>
      </c>
      <c r="G29" s="13" t="s">
        <v>18</v>
      </c>
      <c r="H29" s="13" t="s">
        <v>229</v>
      </c>
      <c r="I29" s="13" t="s">
        <v>230</v>
      </c>
      <c r="J29" s="9" t="s">
        <v>231</v>
      </c>
      <c r="K29" s="13" t="s">
        <v>232</v>
      </c>
    </row>
    <row r="30" spans="1:11" ht="15" customHeight="1" x14ac:dyDescent="0.2">
      <c r="A30" s="13" t="s">
        <v>233</v>
      </c>
      <c r="B30" s="13" t="s">
        <v>233</v>
      </c>
      <c r="C30" s="13" t="s">
        <v>234</v>
      </c>
      <c r="D30" s="13" t="s">
        <v>235</v>
      </c>
      <c r="E30" s="13" t="s">
        <v>93</v>
      </c>
      <c r="F30" s="13" t="s">
        <v>236</v>
      </c>
      <c r="G30" s="13" t="s">
        <v>18</v>
      </c>
      <c r="H30" s="13" t="s">
        <v>237</v>
      </c>
      <c r="I30" s="13" t="s">
        <v>238</v>
      </c>
      <c r="J30" s="9" t="s">
        <v>239</v>
      </c>
      <c r="K30" s="13" t="s">
        <v>240</v>
      </c>
    </row>
    <row r="31" spans="1:11" ht="15" customHeight="1" x14ac:dyDescent="0.2">
      <c r="A31" s="15" t="s">
        <v>241</v>
      </c>
      <c r="B31" s="15" t="s">
        <v>241</v>
      </c>
      <c r="C31" s="15" t="s">
        <v>242</v>
      </c>
      <c r="D31" s="15" t="s">
        <v>15</v>
      </c>
      <c r="E31" s="15" t="s">
        <v>243</v>
      </c>
      <c r="F31" s="15" t="s">
        <v>244</v>
      </c>
      <c r="G31" s="15" t="s">
        <v>28</v>
      </c>
      <c r="H31" s="15" t="s">
        <v>245</v>
      </c>
      <c r="I31" s="15" t="s">
        <v>246</v>
      </c>
      <c r="J31" s="10" t="s">
        <v>247</v>
      </c>
      <c r="K31" s="15" t="s">
        <v>248</v>
      </c>
    </row>
    <row r="32" spans="1:11" ht="15" customHeight="1" x14ac:dyDescent="0.2">
      <c r="A32" s="13" t="s">
        <v>249</v>
      </c>
      <c r="B32" s="13" t="s">
        <v>249</v>
      </c>
      <c r="C32" s="13" t="s">
        <v>25</v>
      </c>
      <c r="D32" s="13" t="s">
        <v>250</v>
      </c>
      <c r="E32" s="13" t="s">
        <v>251</v>
      </c>
      <c r="F32" s="13" t="s">
        <v>129</v>
      </c>
      <c r="G32" s="13" t="s">
        <v>46</v>
      </c>
      <c r="H32" s="13" t="s">
        <v>252</v>
      </c>
      <c r="I32" s="13" t="s">
        <v>253</v>
      </c>
      <c r="J32" s="9" t="s">
        <v>254</v>
      </c>
      <c r="K32" s="13" t="s">
        <v>255</v>
      </c>
    </row>
    <row r="33" spans="1:11" ht="15" customHeight="1" x14ac:dyDescent="0.2">
      <c r="A33" s="13" t="s">
        <v>256</v>
      </c>
      <c r="B33" s="13" t="s">
        <v>256</v>
      </c>
      <c r="C33" s="13" t="s">
        <v>257</v>
      </c>
      <c r="D33" s="13" t="s">
        <v>258</v>
      </c>
      <c r="E33" s="13" t="s">
        <v>259</v>
      </c>
      <c r="F33" s="13" t="s">
        <v>260</v>
      </c>
      <c r="G33" s="13" t="s">
        <v>46</v>
      </c>
      <c r="H33" s="13" t="s">
        <v>261</v>
      </c>
      <c r="I33" s="13" t="s">
        <v>262</v>
      </c>
      <c r="J33" s="9" t="s">
        <v>263</v>
      </c>
      <c r="K33" s="13" t="s">
        <v>264</v>
      </c>
    </row>
    <row r="34" spans="1:11" ht="15" customHeight="1" x14ac:dyDescent="0.2">
      <c r="A34" s="13" t="s">
        <v>265</v>
      </c>
      <c r="B34" s="13" t="s">
        <v>266</v>
      </c>
      <c r="C34" s="13" t="s">
        <v>267</v>
      </c>
      <c r="D34" s="13" t="s">
        <v>15</v>
      </c>
      <c r="E34" s="13" t="s">
        <v>35</v>
      </c>
      <c r="F34" s="13" t="s">
        <v>260</v>
      </c>
      <c r="G34" s="13" t="s">
        <v>46</v>
      </c>
      <c r="H34" s="13" t="s">
        <v>268</v>
      </c>
      <c r="I34" s="13" t="s">
        <v>269</v>
      </c>
      <c r="J34" s="9" t="s">
        <v>270</v>
      </c>
      <c r="K34" s="13" t="s">
        <v>271</v>
      </c>
    </row>
    <row r="35" spans="1:11" ht="15" customHeight="1" x14ac:dyDescent="0.2">
      <c r="A35" s="13" t="s">
        <v>272</v>
      </c>
      <c r="B35" s="13" t="s">
        <v>273</v>
      </c>
      <c r="C35" s="13" t="s">
        <v>274</v>
      </c>
      <c r="D35" s="13" t="s">
        <v>15</v>
      </c>
      <c r="E35" s="13" t="s">
        <v>35</v>
      </c>
      <c r="F35" s="13" t="s">
        <v>68</v>
      </c>
      <c r="G35" s="13" t="s">
        <v>46</v>
      </c>
      <c r="H35" s="13" t="s">
        <v>275</v>
      </c>
      <c r="I35" s="13" t="s">
        <v>276</v>
      </c>
      <c r="J35" s="9" t="s">
        <v>277</v>
      </c>
      <c r="K35" s="13" t="s">
        <v>278</v>
      </c>
    </row>
    <row r="36" spans="1:11" ht="15" customHeight="1" x14ac:dyDescent="0.2">
      <c r="A36" s="13" t="s">
        <v>279</v>
      </c>
      <c r="B36" s="13" t="s">
        <v>280</v>
      </c>
      <c r="C36" s="13" t="s">
        <v>281</v>
      </c>
      <c r="D36" s="13" t="s">
        <v>282</v>
      </c>
      <c r="E36" s="13" t="s">
        <v>35</v>
      </c>
      <c r="F36" s="13" t="s">
        <v>283</v>
      </c>
      <c r="G36" s="13" t="s">
        <v>46</v>
      </c>
      <c r="H36" s="13" t="s">
        <v>284</v>
      </c>
      <c r="I36" s="13" t="s">
        <v>285</v>
      </c>
      <c r="J36" s="9"/>
      <c r="K36" s="13" t="s">
        <v>286</v>
      </c>
    </row>
    <row r="37" spans="1:11" ht="15" customHeight="1" x14ac:dyDescent="0.2">
      <c r="A37" s="13" t="s">
        <v>287</v>
      </c>
      <c r="B37" s="13" t="s">
        <v>288</v>
      </c>
      <c r="C37" s="13" t="s">
        <v>289</v>
      </c>
      <c r="D37" s="13" t="s">
        <v>15</v>
      </c>
      <c r="E37" s="13" t="s">
        <v>35</v>
      </c>
      <c r="F37" s="13" t="s">
        <v>283</v>
      </c>
      <c r="G37" s="13" t="s">
        <v>46</v>
      </c>
      <c r="H37" s="13" t="s">
        <v>290</v>
      </c>
      <c r="I37" s="13" t="s">
        <v>291</v>
      </c>
      <c r="J37" s="9" t="s">
        <v>292</v>
      </c>
      <c r="K37" s="13" t="s">
        <v>293</v>
      </c>
    </row>
    <row r="38" spans="1:11" ht="15" customHeight="1" x14ac:dyDescent="0.2">
      <c r="A38" s="13" t="s">
        <v>294</v>
      </c>
      <c r="B38" s="13" t="s">
        <v>295</v>
      </c>
      <c r="C38" s="13" t="s">
        <v>208</v>
      </c>
      <c r="D38" s="13" t="s">
        <v>15</v>
      </c>
      <c r="E38" s="13" t="s">
        <v>35</v>
      </c>
      <c r="F38" s="13" t="s">
        <v>296</v>
      </c>
      <c r="G38" s="13" t="s">
        <v>46</v>
      </c>
      <c r="H38" s="13" t="s">
        <v>297</v>
      </c>
      <c r="I38" s="13" t="s">
        <v>298</v>
      </c>
      <c r="J38" s="9" t="s">
        <v>299</v>
      </c>
      <c r="K38" s="13" t="s">
        <v>300</v>
      </c>
    </row>
    <row r="39" spans="1:11" ht="15" customHeight="1" x14ac:dyDescent="0.2">
      <c r="A39" s="13" t="s">
        <v>301</v>
      </c>
      <c r="B39" s="13" t="s">
        <v>301</v>
      </c>
      <c r="C39" s="13" t="s">
        <v>302</v>
      </c>
      <c r="D39" s="13" t="s">
        <v>15</v>
      </c>
      <c r="E39" s="13" t="s">
        <v>93</v>
      </c>
      <c r="F39" s="13" t="s">
        <v>303</v>
      </c>
      <c r="G39" s="13" t="s">
        <v>77</v>
      </c>
      <c r="H39" s="13" t="s">
        <v>304</v>
      </c>
      <c r="I39" s="13" t="s">
        <v>305</v>
      </c>
      <c r="J39" s="9" t="s">
        <v>306</v>
      </c>
      <c r="K39" s="13" t="s">
        <v>307</v>
      </c>
    </row>
    <row r="40" spans="1:11" ht="15" customHeight="1" x14ac:dyDescent="0.2">
      <c r="A40" s="13" t="s">
        <v>308</v>
      </c>
      <c r="B40" s="13" t="s">
        <v>309</v>
      </c>
      <c r="C40" s="13" t="s">
        <v>25</v>
      </c>
      <c r="D40" s="13" t="s">
        <v>15</v>
      </c>
      <c r="E40" s="13" t="s">
        <v>310</v>
      </c>
      <c r="F40" s="13" t="s">
        <v>68</v>
      </c>
      <c r="G40" s="13" t="s">
        <v>46</v>
      </c>
      <c r="H40" s="13" t="s">
        <v>311</v>
      </c>
      <c r="I40" s="13" t="s">
        <v>312</v>
      </c>
      <c r="J40" s="9" t="s">
        <v>313</v>
      </c>
      <c r="K40" s="13" t="s">
        <v>314</v>
      </c>
    </row>
    <row r="41" spans="1:11" ht="15" customHeight="1" x14ac:dyDescent="0.2">
      <c r="A41" s="15" t="s">
        <v>315</v>
      </c>
      <c r="B41" s="15" t="s">
        <v>315</v>
      </c>
      <c r="C41" s="15" t="s">
        <v>115</v>
      </c>
      <c r="D41" s="15" t="s">
        <v>15</v>
      </c>
      <c r="E41" s="15" t="s">
        <v>177</v>
      </c>
      <c r="F41" s="15" t="s">
        <v>236</v>
      </c>
      <c r="G41" s="15" t="s">
        <v>18</v>
      </c>
      <c r="H41" s="15" t="s">
        <v>316</v>
      </c>
      <c r="I41" s="15" t="s">
        <v>317</v>
      </c>
      <c r="J41" s="10" t="s">
        <v>318</v>
      </c>
      <c r="K41" s="15" t="s">
        <v>319</v>
      </c>
    </row>
    <row r="42" spans="1:11" ht="15" customHeight="1" x14ac:dyDescent="0.2">
      <c r="A42" s="13" t="s">
        <v>320</v>
      </c>
      <c r="B42" s="13" t="s">
        <v>321</v>
      </c>
      <c r="C42" s="13" t="s">
        <v>322</v>
      </c>
      <c r="D42" s="13" t="s">
        <v>323</v>
      </c>
      <c r="E42" s="13" t="s">
        <v>324</v>
      </c>
      <c r="F42" s="13" t="s">
        <v>60</v>
      </c>
      <c r="G42" s="13" t="s">
        <v>18</v>
      </c>
      <c r="H42" s="13" t="s">
        <v>325</v>
      </c>
      <c r="I42" s="13" t="s">
        <v>326</v>
      </c>
      <c r="J42" s="9" t="s">
        <v>327</v>
      </c>
      <c r="K42" s="13" t="s">
        <v>328</v>
      </c>
    </row>
    <row r="43" spans="1:11" ht="15" customHeight="1" x14ac:dyDescent="0.2">
      <c r="A43" s="13" t="s">
        <v>329</v>
      </c>
      <c r="B43" s="13" t="s">
        <v>329</v>
      </c>
      <c r="C43" s="13" t="s">
        <v>136</v>
      </c>
      <c r="D43" s="13" t="s">
        <v>330</v>
      </c>
      <c r="E43" s="13" t="s">
        <v>324</v>
      </c>
      <c r="F43" s="13" t="s">
        <v>331</v>
      </c>
      <c r="G43" s="13" t="s">
        <v>18</v>
      </c>
      <c r="H43" s="13" t="s">
        <v>332</v>
      </c>
      <c r="I43" s="13" t="s">
        <v>333</v>
      </c>
      <c r="J43" s="9" t="s">
        <v>334</v>
      </c>
      <c r="K43" s="13" t="s">
        <v>335</v>
      </c>
    </row>
    <row r="44" spans="1:11" ht="15" customHeight="1" x14ac:dyDescent="0.2">
      <c r="A44" s="13" t="s">
        <v>336</v>
      </c>
      <c r="B44" s="13" t="s">
        <v>337</v>
      </c>
      <c r="C44" s="13" t="s">
        <v>67</v>
      </c>
      <c r="D44" s="13" t="s">
        <v>15</v>
      </c>
      <c r="E44" s="13" t="s">
        <v>84</v>
      </c>
      <c r="F44" s="13" t="s">
        <v>68</v>
      </c>
      <c r="G44" s="13" t="s">
        <v>46</v>
      </c>
      <c r="H44" s="13" t="s">
        <v>338</v>
      </c>
      <c r="I44" s="13" t="s">
        <v>339</v>
      </c>
      <c r="J44" s="9" t="s">
        <v>340</v>
      </c>
      <c r="K44" s="13" t="s">
        <v>341</v>
      </c>
    </row>
    <row r="45" spans="1:11" ht="15" customHeight="1" x14ac:dyDescent="0.2">
      <c r="A45" s="13" t="s">
        <v>342</v>
      </c>
      <c r="B45" s="13" t="s">
        <v>343</v>
      </c>
      <c r="C45" s="13" t="s">
        <v>208</v>
      </c>
      <c r="D45" s="13" t="s">
        <v>282</v>
      </c>
      <c r="E45" s="13" t="s">
        <v>35</v>
      </c>
      <c r="F45" s="13" t="s">
        <v>49</v>
      </c>
      <c r="G45" s="13" t="s">
        <v>46</v>
      </c>
      <c r="H45" s="13" t="s">
        <v>344</v>
      </c>
      <c r="I45" s="13" t="s">
        <v>345</v>
      </c>
      <c r="J45" s="9" t="s">
        <v>346</v>
      </c>
      <c r="K45" s="13" t="s">
        <v>347</v>
      </c>
    </row>
    <row r="46" spans="1:11" ht="15" customHeight="1" x14ac:dyDescent="0.2">
      <c r="A46" s="13" t="s">
        <v>348</v>
      </c>
      <c r="B46" s="13" t="s">
        <v>348</v>
      </c>
      <c r="C46" s="13" t="s">
        <v>349</v>
      </c>
      <c r="D46" s="13" t="s">
        <v>350</v>
      </c>
      <c r="E46" s="13" t="s">
        <v>351</v>
      </c>
      <c r="F46" s="13" t="s">
        <v>236</v>
      </c>
      <c r="G46" s="13" t="s">
        <v>18</v>
      </c>
      <c r="H46" s="13" t="s">
        <v>352</v>
      </c>
      <c r="I46" s="13" t="s">
        <v>353</v>
      </c>
      <c r="J46" s="9" t="s">
        <v>354</v>
      </c>
      <c r="K46" s="13" t="s">
        <v>355</v>
      </c>
    </row>
    <row r="47" spans="1:11" ht="15" customHeight="1" x14ac:dyDescent="0.2">
      <c r="A47" s="13" t="s">
        <v>356</v>
      </c>
      <c r="B47" s="13" t="s">
        <v>357</v>
      </c>
      <c r="C47" s="13" t="s">
        <v>358</v>
      </c>
      <c r="D47" s="13" t="s">
        <v>15</v>
      </c>
      <c r="E47" s="13" t="s">
        <v>35</v>
      </c>
      <c r="F47" s="13" t="s">
        <v>359</v>
      </c>
      <c r="G47" s="13" t="s">
        <v>28</v>
      </c>
      <c r="H47" s="13" t="s">
        <v>360</v>
      </c>
      <c r="I47" s="13" t="s">
        <v>361</v>
      </c>
      <c r="J47" s="9" t="s">
        <v>362</v>
      </c>
      <c r="K47" s="13" t="s">
        <v>363</v>
      </c>
    </row>
    <row r="48" spans="1:11" ht="15" customHeight="1" x14ac:dyDescent="0.2">
      <c r="A48" s="13" t="s">
        <v>364</v>
      </c>
      <c r="B48" s="13" t="s">
        <v>365</v>
      </c>
      <c r="C48" s="13" t="s">
        <v>257</v>
      </c>
      <c r="D48" s="13" t="s">
        <v>350</v>
      </c>
      <c r="E48" s="13" t="s">
        <v>35</v>
      </c>
      <c r="F48" s="13" t="s">
        <v>366</v>
      </c>
      <c r="G48" s="13" t="s">
        <v>46</v>
      </c>
      <c r="H48" s="13" t="s">
        <v>367</v>
      </c>
      <c r="I48" s="13" t="s">
        <v>368</v>
      </c>
      <c r="J48" s="9" t="s">
        <v>369</v>
      </c>
      <c r="K48" s="13" t="s">
        <v>370</v>
      </c>
    </row>
    <row r="49" spans="1:11" ht="15" customHeight="1" x14ac:dyDescent="0.2">
      <c r="A49" s="13" t="s">
        <v>371</v>
      </c>
      <c r="B49" s="13" t="s">
        <v>371</v>
      </c>
      <c r="C49" s="13" t="s">
        <v>43</v>
      </c>
      <c r="D49" s="13" t="s">
        <v>15</v>
      </c>
      <c r="E49" s="13" t="s">
        <v>372</v>
      </c>
      <c r="F49" s="13" t="s">
        <v>192</v>
      </c>
      <c r="G49" s="13" t="s">
        <v>46</v>
      </c>
      <c r="H49" s="13" t="s">
        <v>373</v>
      </c>
      <c r="I49" s="13" t="s">
        <v>374</v>
      </c>
      <c r="J49" s="9" t="s">
        <v>375</v>
      </c>
      <c r="K49" s="13" t="s">
        <v>376</v>
      </c>
    </row>
    <row r="50" spans="1:11" ht="15" customHeight="1" x14ac:dyDescent="0.2">
      <c r="A50" s="13" t="s">
        <v>377</v>
      </c>
      <c r="B50" s="13" t="s">
        <v>377</v>
      </c>
      <c r="C50" s="13" t="s">
        <v>67</v>
      </c>
      <c r="D50" s="13" t="s">
        <v>15</v>
      </c>
      <c r="E50" s="13" t="s">
        <v>324</v>
      </c>
      <c r="F50" s="13" t="s">
        <v>36</v>
      </c>
      <c r="G50" s="13" t="s">
        <v>18</v>
      </c>
      <c r="H50" s="13" t="s">
        <v>378</v>
      </c>
      <c r="I50" s="13" t="s">
        <v>379</v>
      </c>
      <c r="J50" s="9" t="s">
        <v>380</v>
      </c>
      <c r="K50" s="13" t="s">
        <v>381</v>
      </c>
    </row>
    <row r="51" spans="1:11" ht="15" customHeight="1" x14ac:dyDescent="0.2">
      <c r="A51" s="15" t="s">
        <v>382</v>
      </c>
      <c r="B51" s="15" t="s">
        <v>382</v>
      </c>
      <c r="C51" s="15" t="s">
        <v>383</v>
      </c>
      <c r="D51" s="15" t="s">
        <v>384</v>
      </c>
      <c r="E51" s="15" t="s">
        <v>385</v>
      </c>
      <c r="F51" s="15" t="s">
        <v>331</v>
      </c>
      <c r="G51" s="15" t="s">
        <v>18</v>
      </c>
      <c r="H51" s="15" t="s">
        <v>386</v>
      </c>
      <c r="I51" s="15" t="s">
        <v>387</v>
      </c>
      <c r="J51" s="10" t="s">
        <v>388</v>
      </c>
      <c r="K51" s="15" t="s">
        <v>389</v>
      </c>
    </row>
    <row r="52" spans="1:11" ht="15" customHeight="1" x14ac:dyDescent="0.2">
      <c r="A52" s="13" t="s">
        <v>390</v>
      </c>
      <c r="B52" s="13" t="s">
        <v>391</v>
      </c>
      <c r="C52" s="13" t="s">
        <v>281</v>
      </c>
      <c r="D52" s="13" t="s">
        <v>15</v>
      </c>
      <c r="E52" s="13" t="s">
        <v>35</v>
      </c>
      <c r="F52" s="13" t="s">
        <v>392</v>
      </c>
      <c r="G52" s="13" t="s">
        <v>46</v>
      </c>
      <c r="H52" s="13" t="s">
        <v>393</v>
      </c>
      <c r="I52" s="13" t="s">
        <v>394</v>
      </c>
      <c r="J52" s="9" t="s">
        <v>395</v>
      </c>
      <c r="K52" s="13" t="s">
        <v>396</v>
      </c>
    </row>
    <row r="53" spans="1:11" ht="15" customHeight="1" x14ac:dyDescent="0.2">
      <c r="A53" s="13" t="s">
        <v>397</v>
      </c>
      <c r="B53" s="13" t="s">
        <v>397</v>
      </c>
      <c r="C53" s="13" t="s">
        <v>398</v>
      </c>
      <c r="D53" s="13" t="s">
        <v>350</v>
      </c>
      <c r="E53" s="13" t="s">
        <v>399</v>
      </c>
      <c r="F53" s="13" t="s">
        <v>244</v>
      </c>
      <c r="G53" s="13" t="s">
        <v>28</v>
      </c>
      <c r="H53" s="13" t="s">
        <v>400</v>
      </c>
      <c r="I53" s="13" t="s">
        <v>401</v>
      </c>
      <c r="J53" s="9" t="s">
        <v>402</v>
      </c>
      <c r="K53" s="13" t="s">
        <v>403</v>
      </c>
    </row>
    <row r="54" spans="1:11" ht="15" customHeight="1" x14ac:dyDescent="0.2">
      <c r="A54" s="13" t="s">
        <v>404</v>
      </c>
      <c r="B54" s="13" t="s">
        <v>404</v>
      </c>
      <c r="C54" s="13" t="s">
        <v>67</v>
      </c>
      <c r="D54" s="13" t="s">
        <v>405</v>
      </c>
      <c r="E54" s="13" t="s">
        <v>406</v>
      </c>
      <c r="F54" s="13" t="s">
        <v>366</v>
      </c>
      <c r="G54" s="13" t="s">
        <v>46</v>
      </c>
      <c r="H54" s="13" t="s">
        <v>407</v>
      </c>
      <c r="I54" s="13" t="s">
        <v>408</v>
      </c>
      <c r="J54" s="9" t="s">
        <v>409</v>
      </c>
      <c r="K54" s="13" t="s">
        <v>410</v>
      </c>
    </row>
  </sheetData>
  <dataValidations count="1">
    <dataValidation type="list" allowBlank="1" showDropDown="1" showInputMessage="1" showErrorMessage="1" sqref="D2:E8 D10:E19 D21:E29 D31:E38 D40:E48 D50:E54" xr:uid="{00000000-0002-0000-0000-000000000000}">
      <formula1>#REF!</formula1>
      <formula2>0</formula2>
    </dataValidation>
  </dataValidations>
  <pageMargins left="0.78749999999999998" right="0.78749999999999998" top="1.05277777777778" bottom="1.05277777777778" header="0" footer="0"/>
  <pageSetup paperSize="9" orientation="portrait" horizontalDpi="300" verticalDpi="300"/>
  <headerFooter>
    <oddHeader>&amp;C ffffff&amp;A</oddHeader>
    <oddFooter>&amp;C ffffffSeite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Tabelle2">
    <outlinePr summaryBelow="0"/>
  </sheetPr>
  <dimension ref="A1:AE94"/>
  <sheetViews>
    <sheetView topLeftCell="B1" zoomScaleNormal="100" workbookViewId="0">
      <pane ySplit="1" topLeftCell="A82" activePane="bottomLeft" state="frozen"/>
      <selection pane="bottomLeft" activeCell="L1" sqref="L1"/>
    </sheetView>
  </sheetViews>
  <sheetFormatPr baseColWidth="10" defaultColWidth="12.5703125" defaultRowHeight="15" customHeight="1" x14ac:dyDescent="0.2"/>
  <cols>
    <col min="1" max="1" width="47.42578125" style="2" customWidth="1"/>
    <col min="2" max="2" width="18.5703125" style="2" customWidth="1"/>
    <col min="3" max="3" width="8.140625" style="3" customWidth="1"/>
    <col min="4" max="4" width="7" style="2" customWidth="1"/>
    <col min="5" max="5" width="11.42578125" style="2" customWidth="1"/>
    <col min="6" max="6" width="6.42578125" style="2" customWidth="1"/>
    <col min="7" max="7" width="11.42578125" style="2" customWidth="1"/>
    <col min="8" max="8" width="11.5703125" style="2" customWidth="1"/>
    <col min="9" max="9" width="44.7109375" style="2" customWidth="1"/>
    <col min="10" max="10" width="43" style="2" customWidth="1"/>
    <col min="11" max="11" width="18.5703125" style="3" customWidth="1"/>
    <col min="12" max="12" width="15" style="3" customWidth="1"/>
    <col min="14" max="14" width="24.5703125" style="2" customWidth="1"/>
    <col min="15" max="15" width="25.7109375" style="2" customWidth="1"/>
    <col min="16" max="16" width="11.42578125" style="2" customWidth="1"/>
    <col min="23" max="23" width="126.5703125" style="2" customWidth="1"/>
    <col min="24" max="24" width="8.140625" style="2" customWidth="1"/>
    <col min="25" max="25" width="32.140625" style="2" customWidth="1"/>
    <col min="26" max="26" width="16.42578125" style="2" customWidth="1"/>
    <col min="27" max="27" width="14.140625" style="2" customWidth="1"/>
    <col min="28" max="28" width="11.42578125" style="2" customWidth="1"/>
    <col min="32" max="32" width="37.7109375" style="2" customWidth="1"/>
    <col min="33" max="231" width="12.5703125" style="2" customWidth="1"/>
    <col min="232" max="16384" width="12.5703125" style="2"/>
  </cols>
  <sheetData>
    <row r="1" spans="1:11" ht="16.5" customHeight="1" x14ac:dyDescent="0.2">
      <c r="A1" s="11" t="s">
        <v>0</v>
      </c>
      <c r="B1" s="11" t="s">
        <v>1</v>
      </c>
      <c r="C1" s="11" t="s">
        <v>2</v>
      </c>
      <c r="D1" s="11" t="s">
        <v>3</v>
      </c>
      <c r="E1" s="11" t="s">
        <v>4</v>
      </c>
      <c r="F1" s="11" t="s">
        <v>5</v>
      </c>
      <c r="G1" s="11" t="s">
        <v>6</v>
      </c>
      <c r="H1" s="11" t="s">
        <v>7</v>
      </c>
      <c r="I1" s="11" t="s">
        <v>8</v>
      </c>
      <c r="J1" s="11" t="s">
        <v>9</v>
      </c>
      <c r="K1" s="11" t="s">
        <v>10</v>
      </c>
    </row>
    <row r="2" spans="1:11" ht="15" customHeight="1" x14ac:dyDescent="0.2">
      <c r="A2" s="13" t="s">
        <v>411</v>
      </c>
      <c r="B2" s="13" t="s">
        <v>412</v>
      </c>
      <c r="C2" s="13">
        <v>2011</v>
      </c>
      <c r="D2" s="13" t="s">
        <v>413</v>
      </c>
      <c r="E2" s="13" t="s">
        <v>84</v>
      </c>
      <c r="F2" s="13">
        <v>5.8</v>
      </c>
      <c r="G2" s="13" t="s">
        <v>46</v>
      </c>
      <c r="H2" s="13" t="s">
        <v>414</v>
      </c>
      <c r="I2" s="13" t="s">
        <v>415</v>
      </c>
      <c r="J2" s="9" t="s">
        <v>416</v>
      </c>
      <c r="K2" s="13">
        <v>1773</v>
      </c>
    </row>
    <row r="3" spans="1:11" ht="15" customHeight="1" x14ac:dyDescent="0.2">
      <c r="A3" s="13" t="s">
        <v>417</v>
      </c>
      <c r="B3" s="13" t="s">
        <v>417</v>
      </c>
      <c r="C3" s="13">
        <v>1988</v>
      </c>
      <c r="D3" s="13" t="s">
        <v>413</v>
      </c>
      <c r="E3" s="13" t="s">
        <v>418</v>
      </c>
      <c r="F3" s="13">
        <v>5.5</v>
      </c>
      <c r="G3" s="13" t="s">
        <v>28</v>
      </c>
      <c r="H3" s="13" t="s">
        <v>419</v>
      </c>
      <c r="I3" s="13" t="s">
        <v>420</v>
      </c>
      <c r="J3" s="9" t="s">
        <v>421</v>
      </c>
      <c r="K3" s="13">
        <v>264</v>
      </c>
    </row>
    <row r="4" spans="1:11" ht="15" customHeight="1" x14ac:dyDescent="0.2">
      <c r="A4" s="13" t="s">
        <v>422</v>
      </c>
      <c r="B4" s="13" t="s">
        <v>422</v>
      </c>
      <c r="C4" s="13">
        <v>2020</v>
      </c>
      <c r="D4" s="13" t="s">
        <v>413</v>
      </c>
      <c r="E4" s="13" t="s">
        <v>418</v>
      </c>
      <c r="F4" s="13">
        <v>7.1</v>
      </c>
      <c r="G4" s="13" t="s">
        <v>18</v>
      </c>
      <c r="H4" s="13" t="s">
        <v>423</v>
      </c>
      <c r="I4" s="13" t="s">
        <v>424</v>
      </c>
      <c r="J4" s="9" t="s">
        <v>425</v>
      </c>
      <c r="K4" s="13">
        <v>8557</v>
      </c>
    </row>
    <row r="5" spans="1:11" ht="15" customHeight="1" x14ac:dyDescent="0.2">
      <c r="A5" s="13" t="s">
        <v>426</v>
      </c>
      <c r="B5" s="13" t="s">
        <v>427</v>
      </c>
      <c r="C5" s="13">
        <v>2002</v>
      </c>
      <c r="D5" s="13" t="s">
        <v>428</v>
      </c>
      <c r="E5" s="13" t="s">
        <v>84</v>
      </c>
      <c r="F5" s="13">
        <v>5.5</v>
      </c>
      <c r="G5" s="13" t="s">
        <v>46</v>
      </c>
      <c r="H5" s="13" t="s">
        <v>429</v>
      </c>
      <c r="I5" s="13" t="s">
        <v>430</v>
      </c>
      <c r="J5" s="9" t="s">
        <v>431</v>
      </c>
      <c r="K5" s="13">
        <v>830</v>
      </c>
    </row>
    <row r="6" spans="1:11" ht="15" customHeight="1" x14ac:dyDescent="0.2">
      <c r="A6" s="13" t="s">
        <v>432</v>
      </c>
      <c r="B6" s="13" t="s">
        <v>433</v>
      </c>
      <c r="C6" s="13">
        <v>1996</v>
      </c>
      <c r="D6" s="13" t="s">
        <v>413</v>
      </c>
      <c r="E6" s="13" t="s">
        <v>84</v>
      </c>
      <c r="F6" s="13">
        <v>6.2</v>
      </c>
      <c r="G6" s="13" t="s">
        <v>46</v>
      </c>
      <c r="H6" s="13" t="s">
        <v>434</v>
      </c>
      <c r="I6" s="13" t="s">
        <v>435</v>
      </c>
      <c r="J6" s="9" t="s">
        <v>436</v>
      </c>
      <c r="K6" s="13">
        <v>128</v>
      </c>
    </row>
    <row r="7" spans="1:11" ht="15" customHeight="1" x14ac:dyDescent="0.2">
      <c r="A7" s="13" t="s">
        <v>437</v>
      </c>
      <c r="B7" s="13" t="s">
        <v>437</v>
      </c>
      <c r="C7" s="13">
        <v>2022</v>
      </c>
      <c r="D7" s="13" t="s">
        <v>438</v>
      </c>
      <c r="E7" s="13" t="s">
        <v>439</v>
      </c>
      <c r="F7" s="13">
        <v>7.4</v>
      </c>
      <c r="G7" s="13" t="s">
        <v>18</v>
      </c>
      <c r="H7" s="13" t="s">
        <v>440</v>
      </c>
      <c r="I7" s="13" t="s">
        <v>441</v>
      </c>
      <c r="J7" s="9" t="s">
        <v>442</v>
      </c>
      <c r="K7" s="13">
        <v>7085</v>
      </c>
    </row>
    <row r="8" spans="1:11" ht="15" customHeight="1" x14ac:dyDescent="0.2">
      <c r="A8" s="13" t="s">
        <v>443</v>
      </c>
      <c r="B8" s="13"/>
      <c r="C8" s="13"/>
      <c r="D8" s="13"/>
      <c r="E8" s="13"/>
      <c r="F8" s="13"/>
      <c r="G8" s="13"/>
      <c r="H8" s="13"/>
      <c r="I8" s="13"/>
      <c r="J8" s="9"/>
      <c r="K8" s="13"/>
    </row>
    <row r="9" spans="1:11" ht="15" customHeight="1" x14ac:dyDescent="0.2">
      <c r="A9" s="13" t="s">
        <v>444</v>
      </c>
      <c r="B9" s="13" t="s">
        <v>445</v>
      </c>
      <c r="C9" s="13">
        <v>1993</v>
      </c>
      <c r="D9" s="13" t="s">
        <v>446</v>
      </c>
      <c r="E9" s="13" t="s">
        <v>84</v>
      </c>
      <c r="F9" s="13">
        <v>6.52</v>
      </c>
      <c r="G9" s="13" t="s">
        <v>18</v>
      </c>
      <c r="H9" s="13" t="s">
        <v>447</v>
      </c>
      <c r="I9" s="13" t="s">
        <v>448</v>
      </c>
      <c r="J9" s="9" t="s">
        <v>449</v>
      </c>
      <c r="K9" s="13">
        <v>2524</v>
      </c>
    </row>
    <row r="10" spans="1:11" ht="15" customHeight="1" x14ac:dyDescent="0.2">
      <c r="A10" s="13" t="s">
        <v>450</v>
      </c>
      <c r="B10" s="13" t="s">
        <v>450</v>
      </c>
      <c r="C10" s="13">
        <v>2025</v>
      </c>
      <c r="D10" s="13" t="s">
        <v>413</v>
      </c>
      <c r="E10" s="13" t="s">
        <v>451</v>
      </c>
      <c r="F10" s="13">
        <v>6.7</v>
      </c>
      <c r="G10" s="13" t="s">
        <v>18</v>
      </c>
      <c r="H10" s="13" t="s">
        <v>452</v>
      </c>
      <c r="I10" s="13" t="s">
        <v>453</v>
      </c>
      <c r="J10" s="9" t="s">
        <v>454</v>
      </c>
      <c r="K10" s="13">
        <v>134</v>
      </c>
    </row>
    <row r="11" spans="1:11" ht="15" customHeight="1" x14ac:dyDescent="0.2">
      <c r="A11" s="15" t="s">
        <v>455</v>
      </c>
      <c r="B11" s="15" t="s">
        <v>455</v>
      </c>
      <c r="C11" s="15">
        <v>2004</v>
      </c>
      <c r="D11" s="15" t="s">
        <v>413</v>
      </c>
      <c r="E11" s="15" t="s">
        <v>456</v>
      </c>
      <c r="F11" s="15">
        <v>7.2</v>
      </c>
      <c r="G11" s="15" t="s">
        <v>18</v>
      </c>
      <c r="H11" s="15" t="s">
        <v>457</v>
      </c>
      <c r="I11" s="15" t="s">
        <v>458</v>
      </c>
      <c r="J11" s="10" t="s">
        <v>459</v>
      </c>
      <c r="K11" s="15">
        <v>6024</v>
      </c>
    </row>
    <row r="12" spans="1:11" ht="15" customHeight="1" x14ac:dyDescent="0.2">
      <c r="A12" s="13" t="s">
        <v>460</v>
      </c>
      <c r="B12" s="13" t="s">
        <v>461</v>
      </c>
      <c r="C12" s="13">
        <v>1998</v>
      </c>
      <c r="D12" s="13" t="s">
        <v>413</v>
      </c>
      <c r="E12" s="13" t="s">
        <v>84</v>
      </c>
      <c r="F12" s="13">
        <v>7.1</v>
      </c>
      <c r="G12" s="13" t="s">
        <v>18</v>
      </c>
      <c r="H12" s="13" t="s">
        <v>462</v>
      </c>
      <c r="I12" s="13" t="s">
        <v>463</v>
      </c>
      <c r="J12" s="9" t="s">
        <v>464</v>
      </c>
      <c r="K12" s="13">
        <v>4095</v>
      </c>
    </row>
    <row r="13" spans="1:11" ht="15" customHeight="1" x14ac:dyDescent="0.2">
      <c r="A13" s="13" t="s">
        <v>465</v>
      </c>
      <c r="B13" s="13" t="s">
        <v>466</v>
      </c>
      <c r="C13" s="13">
        <v>1995</v>
      </c>
      <c r="D13" s="13" t="s">
        <v>467</v>
      </c>
      <c r="E13" s="13" t="s">
        <v>468</v>
      </c>
      <c r="F13" s="13">
        <v>8.1999999999999993</v>
      </c>
      <c r="G13" s="13" t="s">
        <v>77</v>
      </c>
      <c r="H13" s="13" t="s">
        <v>469</v>
      </c>
      <c r="I13" s="13" t="s">
        <v>470</v>
      </c>
      <c r="J13" s="9" t="s">
        <v>471</v>
      </c>
      <c r="K13" s="13">
        <v>11000</v>
      </c>
    </row>
    <row r="14" spans="1:11" ht="15" customHeight="1" x14ac:dyDescent="0.2">
      <c r="A14" s="13" t="s">
        <v>472</v>
      </c>
      <c r="B14" s="13" t="s">
        <v>472</v>
      </c>
      <c r="C14" s="13">
        <v>2011</v>
      </c>
      <c r="D14" s="13" t="s">
        <v>413</v>
      </c>
      <c r="E14" s="13" t="s">
        <v>473</v>
      </c>
      <c r="F14" s="13">
        <v>7.6</v>
      </c>
      <c r="G14" s="13" t="s">
        <v>77</v>
      </c>
      <c r="H14" s="13" t="s">
        <v>474</v>
      </c>
      <c r="I14" s="13" t="s">
        <v>475</v>
      </c>
      <c r="J14" s="9" t="s">
        <v>476</v>
      </c>
      <c r="K14" s="13">
        <v>13219</v>
      </c>
    </row>
    <row r="15" spans="1:11" ht="15" customHeight="1" x14ac:dyDescent="0.2">
      <c r="A15" s="13" t="s">
        <v>477</v>
      </c>
      <c r="B15" s="13" t="s">
        <v>477</v>
      </c>
      <c r="C15" s="13">
        <v>2012</v>
      </c>
      <c r="D15" s="13" t="s">
        <v>478</v>
      </c>
      <c r="E15" s="13" t="s">
        <v>456</v>
      </c>
      <c r="F15" s="13">
        <v>7.3</v>
      </c>
      <c r="G15" s="13" t="s">
        <v>18</v>
      </c>
      <c r="H15" s="13" t="s">
        <v>479</v>
      </c>
      <c r="I15" s="13" t="s">
        <v>480</v>
      </c>
      <c r="J15" s="9" t="s">
        <v>481</v>
      </c>
      <c r="K15" s="13">
        <v>3475</v>
      </c>
    </row>
    <row r="16" spans="1:11" ht="15" customHeight="1" x14ac:dyDescent="0.2">
      <c r="A16" s="13" t="s">
        <v>482</v>
      </c>
      <c r="B16" s="13" t="s">
        <v>482</v>
      </c>
      <c r="C16" s="13">
        <v>2021</v>
      </c>
      <c r="D16" s="13" t="s">
        <v>483</v>
      </c>
      <c r="E16" s="13" t="s">
        <v>484</v>
      </c>
      <c r="F16" s="13">
        <v>7.1</v>
      </c>
      <c r="G16" s="13" t="s">
        <v>18</v>
      </c>
      <c r="H16" s="13" t="s">
        <v>485</v>
      </c>
      <c r="I16" s="13" t="s">
        <v>486</v>
      </c>
      <c r="J16" s="9" t="s">
        <v>487</v>
      </c>
      <c r="K16" s="13">
        <v>184</v>
      </c>
    </row>
    <row r="17" spans="1:11" ht="15" customHeight="1" x14ac:dyDescent="0.2">
      <c r="A17" s="13" t="s">
        <v>488</v>
      </c>
      <c r="B17" s="13" t="s">
        <v>489</v>
      </c>
      <c r="C17" s="13">
        <v>2019</v>
      </c>
      <c r="D17" s="13" t="s">
        <v>413</v>
      </c>
      <c r="E17" s="13" t="s">
        <v>490</v>
      </c>
      <c r="F17" s="13">
        <v>5.4</v>
      </c>
      <c r="G17" s="13" t="s">
        <v>28</v>
      </c>
      <c r="H17" s="13" t="s">
        <v>491</v>
      </c>
      <c r="I17" s="13" t="s">
        <v>492</v>
      </c>
      <c r="J17" s="9" t="s">
        <v>493</v>
      </c>
      <c r="K17" s="13">
        <v>906</v>
      </c>
    </row>
    <row r="18" spans="1:11" ht="15" customHeight="1" x14ac:dyDescent="0.2">
      <c r="A18" s="13" t="s">
        <v>494</v>
      </c>
      <c r="B18" s="13" t="s">
        <v>494</v>
      </c>
      <c r="C18" s="13">
        <v>2009</v>
      </c>
      <c r="D18" s="13" t="s">
        <v>495</v>
      </c>
      <c r="E18" s="13" t="s">
        <v>259</v>
      </c>
      <c r="F18" s="13">
        <v>6.7</v>
      </c>
      <c r="G18" s="13" t="s">
        <v>18</v>
      </c>
      <c r="H18" s="13" t="s">
        <v>496</v>
      </c>
      <c r="I18" s="13" t="s">
        <v>497</v>
      </c>
      <c r="J18" s="9" t="s">
        <v>498</v>
      </c>
      <c r="K18" s="13">
        <v>7590</v>
      </c>
    </row>
    <row r="19" spans="1:11" ht="15" customHeight="1" x14ac:dyDescent="0.2">
      <c r="A19" s="13" t="s">
        <v>499</v>
      </c>
      <c r="B19" s="13" t="s">
        <v>499</v>
      </c>
      <c r="C19" s="13">
        <v>2025</v>
      </c>
      <c r="D19" s="13" t="s">
        <v>500</v>
      </c>
      <c r="E19" s="13" t="s">
        <v>501</v>
      </c>
      <c r="F19" s="13">
        <v>6.3</v>
      </c>
      <c r="G19" s="13" t="s">
        <v>46</v>
      </c>
      <c r="H19" s="13" t="s">
        <v>502</v>
      </c>
      <c r="I19" s="13" t="s">
        <v>503</v>
      </c>
      <c r="J19" s="9" t="s">
        <v>504</v>
      </c>
      <c r="K19" s="13">
        <v>126</v>
      </c>
    </row>
    <row r="20" spans="1:11" ht="15" customHeight="1" x14ac:dyDescent="0.2">
      <c r="A20" s="13" t="s">
        <v>505</v>
      </c>
      <c r="B20" s="13" t="s">
        <v>505</v>
      </c>
      <c r="C20" s="13">
        <v>2010</v>
      </c>
      <c r="D20" s="13" t="s">
        <v>506</v>
      </c>
      <c r="E20" s="13" t="s">
        <v>507</v>
      </c>
      <c r="F20" s="13">
        <v>6.4</v>
      </c>
      <c r="G20" s="13" t="s">
        <v>46</v>
      </c>
      <c r="H20" s="13" t="s">
        <v>508</v>
      </c>
      <c r="I20" s="13" t="s">
        <v>509</v>
      </c>
      <c r="J20" s="9" t="s">
        <v>510</v>
      </c>
      <c r="K20" s="13">
        <v>2200</v>
      </c>
    </row>
    <row r="21" spans="1:11" ht="15" customHeight="1" x14ac:dyDescent="0.2">
      <c r="A21" s="15" t="s">
        <v>511</v>
      </c>
      <c r="B21" s="15" t="s">
        <v>511</v>
      </c>
      <c r="C21" s="15">
        <v>2019</v>
      </c>
      <c r="D21" s="15" t="s">
        <v>512</v>
      </c>
      <c r="E21" s="15" t="s">
        <v>513</v>
      </c>
      <c r="F21" s="15">
        <v>6.3</v>
      </c>
      <c r="G21" s="15" t="s">
        <v>46</v>
      </c>
      <c r="H21" s="15" t="s">
        <v>514</v>
      </c>
      <c r="I21" s="15" t="s">
        <v>515</v>
      </c>
      <c r="J21" s="10" t="s">
        <v>516</v>
      </c>
      <c r="K21" s="15">
        <v>5317</v>
      </c>
    </row>
    <row r="22" spans="1:11" ht="15" customHeight="1" x14ac:dyDescent="0.2">
      <c r="A22" s="13" t="s">
        <v>517</v>
      </c>
      <c r="B22" s="13" t="s">
        <v>518</v>
      </c>
      <c r="C22" s="13">
        <v>2018</v>
      </c>
      <c r="D22" s="13" t="s">
        <v>519</v>
      </c>
      <c r="E22" s="13" t="s">
        <v>520</v>
      </c>
      <c r="F22" s="13">
        <v>7.3</v>
      </c>
      <c r="G22" s="13"/>
      <c r="H22" s="13" t="s">
        <v>521</v>
      </c>
      <c r="I22" s="13" t="s">
        <v>522</v>
      </c>
      <c r="J22" s="9" t="s">
        <v>523</v>
      </c>
      <c r="K22" s="13">
        <v>4956</v>
      </c>
    </row>
    <row r="23" spans="1:11" ht="15" customHeight="1" x14ac:dyDescent="0.2">
      <c r="A23" s="13" t="s">
        <v>524</v>
      </c>
      <c r="B23" s="13" t="s">
        <v>524</v>
      </c>
      <c r="C23" s="13">
        <v>2025</v>
      </c>
      <c r="D23" s="13" t="s">
        <v>413</v>
      </c>
      <c r="E23" s="13" t="s">
        <v>451</v>
      </c>
      <c r="F23" s="13">
        <v>6.6</v>
      </c>
      <c r="G23" s="13" t="s">
        <v>18</v>
      </c>
      <c r="H23" s="13" t="s">
        <v>525</v>
      </c>
      <c r="I23" s="13" t="s">
        <v>526</v>
      </c>
      <c r="J23" s="9" t="s">
        <v>527</v>
      </c>
      <c r="K23" s="13">
        <v>135</v>
      </c>
    </row>
    <row r="24" spans="1:11" ht="15" customHeight="1" x14ac:dyDescent="0.2">
      <c r="A24" s="13" t="s">
        <v>528</v>
      </c>
      <c r="B24" s="13" t="s">
        <v>529</v>
      </c>
      <c r="C24" s="13">
        <v>2016</v>
      </c>
      <c r="D24" s="13" t="s">
        <v>530</v>
      </c>
      <c r="E24" s="13" t="s">
        <v>531</v>
      </c>
      <c r="F24" s="13">
        <v>3.6</v>
      </c>
      <c r="G24" s="13"/>
      <c r="H24" s="13" t="s">
        <v>532</v>
      </c>
      <c r="I24" s="13" t="s">
        <v>533</v>
      </c>
      <c r="J24" s="9" t="s">
        <v>534</v>
      </c>
      <c r="K24" s="13">
        <v>38</v>
      </c>
    </row>
    <row r="25" spans="1:11" ht="15" customHeight="1" x14ac:dyDescent="0.2">
      <c r="A25" s="13" t="s">
        <v>535</v>
      </c>
      <c r="B25" s="13" t="s">
        <v>536</v>
      </c>
      <c r="C25" s="13">
        <v>1993</v>
      </c>
      <c r="D25" s="13" t="s">
        <v>413</v>
      </c>
      <c r="E25" s="13" t="s">
        <v>84</v>
      </c>
      <c r="F25" s="13">
        <v>6.5</v>
      </c>
      <c r="G25" s="13" t="s">
        <v>46</v>
      </c>
      <c r="H25" s="13" t="s">
        <v>537</v>
      </c>
      <c r="I25" s="13" t="s">
        <v>538</v>
      </c>
      <c r="J25" s="9" t="s">
        <v>539</v>
      </c>
      <c r="K25" s="13">
        <v>1289</v>
      </c>
    </row>
    <row r="26" spans="1:11" ht="15" customHeight="1" x14ac:dyDescent="0.2">
      <c r="A26" s="13" t="s">
        <v>540</v>
      </c>
      <c r="B26" s="13" t="s">
        <v>541</v>
      </c>
      <c r="C26" s="13">
        <v>2020</v>
      </c>
      <c r="D26" s="13" t="s">
        <v>500</v>
      </c>
      <c r="E26" s="13" t="s">
        <v>542</v>
      </c>
      <c r="F26" s="13">
        <v>6.3</v>
      </c>
      <c r="G26" s="13" t="s">
        <v>46</v>
      </c>
      <c r="H26" s="13" t="s">
        <v>543</v>
      </c>
      <c r="I26" s="13" t="s">
        <v>544</v>
      </c>
      <c r="J26" s="9" t="s">
        <v>545</v>
      </c>
      <c r="K26" s="13">
        <v>77</v>
      </c>
    </row>
    <row r="27" spans="1:11" ht="15" customHeight="1" x14ac:dyDescent="0.2">
      <c r="A27" s="13" t="s">
        <v>546</v>
      </c>
      <c r="B27" s="13" t="s">
        <v>547</v>
      </c>
      <c r="C27" s="13">
        <v>1990</v>
      </c>
      <c r="D27" s="13" t="s">
        <v>413</v>
      </c>
      <c r="E27" s="13" t="s">
        <v>548</v>
      </c>
      <c r="F27" s="13">
        <v>7.4</v>
      </c>
      <c r="G27" s="13" t="s">
        <v>18</v>
      </c>
      <c r="H27" s="13" t="s">
        <v>549</v>
      </c>
      <c r="I27" s="13" t="s">
        <v>550</v>
      </c>
      <c r="J27" s="9" t="s">
        <v>551</v>
      </c>
      <c r="K27" s="13">
        <v>3488</v>
      </c>
    </row>
    <row r="28" spans="1:11" ht="15" customHeight="1" x14ac:dyDescent="0.2">
      <c r="A28" s="13" t="s">
        <v>552</v>
      </c>
      <c r="B28" s="13" t="s">
        <v>552</v>
      </c>
      <c r="C28" s="13">
        <v>2010</v>
      </c>
      <c r="D28" s="13" t="s">
        <v>553</v>
      </c>
      <c r="E28" s="13" t="s">
        <v>554</v>
      </c>
      <c r="F28" s="13">
        <v>6.6</v>
      </c>
      <c r="G28" s="13" t="s">
        <v>18</v>
      </c>
      <c r="H28" s="13" t="s">
        <v>555</v>
      </c>
      <c r="I28" s="13" t="s">
        <v>556</v>
      </c>
      <c r="J28" s="9" t="s">
        <v>557</v>
      </c>
      <c r="K28" s="13">
        <v>6378</v>
      </c>
    </row>
    <row r="29" spans="1:11" ht="15" customHeight="1" x14ac:dyDescent="0.2">
      <c r="A29" s="13" t="s">
        <v>558</v>
      </c>
      <c r="B29" s="13" t="s">
        <v>559</v>
      </c>
      <c r="C29" s="13">
        <v>2025</v>
      </c>
      <c r="D29" s="13" t="s">
        <v>560</v>
      </c>
      <c r="E29" s="13" t="s">
        <v>554</v>
      </c>
      <c r="F29" s="13">
        <v>7.1</v>
      </c>
      <c r="G29" s="13" t="s">
        <v>18</v>
      </c>
      <c r="H29" s="13" t="s">
        <v>561</v>
      </c>
      <c r="I29" s="13" t="s">
        <v>562</v>
      </c>
      <c r="J29" s="9" t="s">
        <v>563</v>
      </c>
      <c r="K29" s="13">
        <v>996</v>
      </c>
    </row>
    <row r="30" spans="1:11" ht="15" customHeight="1" x14ac:dyDescent="0.2">
      <c r="A30" s="13" t="s">
        <v>564</v>
      </c>
      <c r="B30" s="13" t="s">
        <v>565</v>
      </c>
      <c r="C30" s="13">
        <v>2008</v>
      </c>
      <c r="D30" s="13" t="s">
        <v>413</v>
      </c>
      <c r="E30" s="13" t="s">
        <v>566</v>
      </c>
      <c r="F30" s="13">
        <v>5.9</v>
      </c>
      <c r="G30" s="13" t="s">
        <v>46</v>
      </c>
      <c r="H30" s="13" t="s">
        <v>567</v>
      </c>
      <c r="I30" s="13" t="s">
        <v>568</v>
      </c>
      <c r="J30" s="9" t="s">
        <v>569</v>
      </c>
      <c r="K30" s="13">
        <v>1304</v>
      </c>
    </row>
    <row r="31" spans="1:11" ht="15" customHeight="1" x14ac:dyDescent="0.2">
      <c r="A31" s="15" t="s">
        <v>570</v>
      </c>
      <c r="B31" s="15" t="s">
        <v>571</v>
      </c>
      <c r="C31" s="15">
        <v>1991</v>
      </c>
      <c r="D31" s="15" t="s">
        <v>413</v>
      </c>
      <c r="E31" s="15" t="s">
        <v>84</v>
      </c>
      <c r="F31" s="15">
        <v>6.8</v>
      </c>
      <c r="G31" s="15" t="s">
        <v>18</v>
      </c>
      <c r="H31" s="15" t="s">
        <v>572</v>
      </c>
      <c r="I31" s="15" t="s">
        <v>573</v>
      </c>
      <c r="J31" s="10" t="s">
        <v>574</v>
      </c>
      <c r="K31" s="15">
        <v>2047</v>
      </c>
    </row>
    <row r="32" spans="1:11" ht="15" customHeight="1" x14ac:dyDescent="0.2">
      <c r="A32" s="13" t="s">
        <v>575</v>
      </c>
      <c r="B32" s="13" t="s">
        <v>576</v>
      </c>
      <c r="C32" s="13">
        <v>2019</v>
      </c>
      <c r="D32" s="13" t="s">
        <v>577</v>
      </c>
      <c r="E32" s="13" t="s">
        <v>84</v>
      </c>
      <c r="F32" s="13">
        <v>7</v>
      </c>
      <c r="G32" s="13" t="s">
        <v>18</v>
      </c>
      <c r="H32" s="13" t="s">
        <v>578</v>
      </c>
      <c r="I32" s="13" t="s">
        <v>579</v>
      </c>
      <c r="J32" s="9" t="s">
        <v>580</v>
      </c>
      <c r="K32" s="13">
        <v>451</v>
      </c>
    </row>
    <row r="33" spans="1:11" ht="15" customHeight="1" x14ac:dyDescent="0.2">
      <c r="A33" s="13" t="s">
        <v>581</v>
      </c>
      <c r="B33" s="13" t="s">
        <v>581</v>
      </c>
      <c r="C33" s="13">
        <v>2024</v>
      </c>
      <c r="D33" s="13" t="s">
        <v>500</v>
      </c>
      <c r="E33" s="13" t="s">
        <v>484</v>
      </c>
      <c r="F33" s="13">
        <v>7.2</v>
      </c>
      <c r="G33" s="13" t="s">
        <v>18</v>
      </c>
      <c r="H33" s="13" t="s">
        <v>582</v>
      </c>
      <c r="I33" s="13" t="s">
        <v>583</v>
      </c>
      <c r="J33" s="9" t="s">
        <v>584</v>
      </c>
      <c r="K33" s="13">
        <v>59</v>
      </c>
    </row>
    <row r="34" spans="1:11" ht="15" customHeight="1" x14ac:dyDescent="0.2">
      <c r="A34" s="13" t="s">
        <v>585</v>
      </c>
      <c r="B34" s="13" t="s">
        <v>585</v>
      </c>
      <c r="C34" s="13">
        <v>2024</v>
      </c>
      <c r="D34" s="13" t="s">
        <v>413</v>
      </c>
      <c r="E34" s="13" t="s">
        <v>418</v>
      </c>
      <c r="F34" s="13">
        <v>6.4</v>
      </c>
      <c r="G34" s="13" t="s">
        <v>46</v>
      </c>
      <c r="H34" s="13" t="s">
        <v>586</v>
      </c>
      <c r="I34" s="13" t="s">
        <v>587</v>
      </c>
      <c r="J34" s="9" t="s">
        <v>588</v>
      </c>
      <c r="K34" s="13">
        <v>1381</v>
      </c>
    </row>
    <row r="35" spans="1:11" ht="15" customHeight="1" x14ac:dyDescent="0.2">
      <c r="A35" s="13" t="s">
        <v>589</v>
      </c>
      <c r="B35" s="13" t="s">
        <v>589</v>
      </c>
      <c r="C35" s="13">
        <v>2016</v>
      </c>
      <c r="D35" s="13" t="s">
        <v>590</v>
      </c>
      <c r="E35" s="13" t="s">
        <v>259</v>
      </c>
      <c r="F35" s="13">
        <v>6.2</v>
      </c>
      <c r="G35" s="13" t="s">
        <v>46</v>
      </c>
      <c r="H35" s="13" t="s">
        <v>591</v>
      </c>
      <c r="I35" s="13" t="s">
        <v>592</v>
      </c>
      <c r="J35" s="9" t="s">
        <v>593</v>
      </c>
      <c r="K35" s="13">
        <v>4957</v>
      </c>
    </row>
    <row r="36" spans="1:11" ht="15" customHeight="1" x14ac:dyDescent="0.2">
      <c r="A36" s="13" t="s">
        <v>594</v>
      </c>
      <c r="B36" s="13" t="s">
        <v>594</v>
      </c>
      <c r="C36" s="13">
        <v>2017</v>
      </c>
      <c r="D36" s="13" t="s">
        <v>478</v>
      </c>
      <c r="E36" s="13" t="s">
        <v>595</v>
      </c>
      <c r="F36" s="13">
        <v>5.9</v>
      </c>
      <c r="G36" s="13" t="s">
        <v>46</v>
      </c>
      <c r="H36" s="13" t="s">
        <v>596</v>
      </c>
      <c r="I36" s="13" t="s">
        <v>597</v>
      </c>
      <c r="J36" s="9" t="s">
        <v>598</v>
      </c>
      <c r="K36" s="13">
        <v>126</v>
      </c>
    </row>
    <row r="37" spans="1:11" ht="15" customHeight="1" x14ac:dyDescent="0.2">
      <c r="A37" s="13" t="s">
        <v>599</v>
      </c>
      <c r="B37" s="13" t="s">
        <v>599</v>
      </c>
      <c r="C37" s="13">
        <v>1991</v>
      </c>
      <c r="D37" s="13" t="s">
        <v>519</v>
      </c>
      <c r="E37" s="13" t="s">
        <v>600</v>
      </c>
      <c r="F37" s="13">
        <v>6.1</v>
      </c>
      <c r="G37" s="13" t="s">
        <v>46</v>
      </c>
      <c r="H37" s="13" t="s">
        <v>601</v>
      </c>
      <c r="I37" s="13" t="s">
        <v>602</v>
      </c>
      <c r="J37" s="9" t="s">
        <v>603</v>
      </c>
      <c r="K37" s="13">
        <v>65</v>
      </c>
    </row>
    <row r="38" spans="1:11" ht="15" customHeight="1" x14ac:dyDescent="0.2">
      <c r="A38" s="13" t="s">
        <v>604</v>
      </c>
      <c r="B38" s="13" t="s">
        <v>605</v>
      </c>
      <c r="C38" s="13">
        <v>1991</v>
      </c>
      <c r="D38" s="13" t="s">
        <v>519</v>
      </c>
      <c r="E38" s="13" t="s">
        <v>600</v>
      </c>
      <c r="F38" s="13">
        <v>6.1</v>
      </c>
      <c r="G38" s="13" t="s">
        <v>46</v>
      </c>
      <c r="H38" s="13" t="s">
        <v>606</v>
      </c>
      <c r="I38" s="13" t="s">
        <v>602</v>
      </c>
      <c r="J38" s="9" t="s">
        <v>603</v>
      </c>
      <c r="K38" s="13">
        <v>65</v>
      </c>
    </row>
    <row r="39" spans="1:11" ht="15" customHeight="1" x14ac:dyDescent="0.2">
      <c r="A39" s="13" t="s">
        <v>607</v>
      </c>
      <c r="B39" s="13" t="s">
        <v>608</v>
      </c>
      <c r="C39" s="13">
        <v>1992</v>
      </c>
      <c r="D39" s="13" t="s">
        <v>519</v>
      </c>
      <c r="E39" s="13" t="s">
        <v>84</v>
      </c>
      <c r="F39" s="13">
        <v>6.7</v>
      </c>
      <c r="G39" s="13" t="s">
        <v>18</v>
      </c>
      <c r="H39" s="13" t="s">
        <v>609</v>
      </c>
      <c r="I39" s="13" t="s">
        <v>610</v>
      </c>
      <c r="J39" s="9" t="s">
        <v>611</v>
      </c>
      <c r="K39" s="13">
        <v>55</v>
      </c>
    </row>
    <row r="40" spans="1:11" ht="15" customHeight="1" x14ac:dyDescent="0.2">
      <c r="A40" s="13" t="s">
        <v>612</v>
      </c>
      <c r="B40" s="13" t="s">
        <v>613</v>
      </c>
      <c r="C40" s="13">
        <v>2022</v>
      </c>
      <c r="D40" s="13" t="s">
        <v>614</v>
      </c>
      <c r="E40" s="13" t="s">
        <v>418</v>
      </c>
      <c r="F40" s="13">
        <v>6.8</v>
      </c>
      <c r="G40" s="13" t="s">
        <v>18</v>
      </c>
      <c r="H40" s="13" t="s">
        <v>615</v>
      </c>
      <c r="I40" s="13" t="s">
        <v>616</v>
      </c>
      <c r="J40" s="9" t="s">
        <v>617</v>
      </c>
      <c r="K40" s="13">
        <v>2311</v>
      </c>
    </row>
    <row r="41" spans="1:11" ht="15" customHeight="1" x14ac:dyDescent="0.2">
      <c r="A41" s="15" t="s">
        <v>618</v>
      </c>
      <c r="B41" s="15" t="s">
        <v>618</v>
      </c>
      <c r="C41" s="15">
        <v>2018</v>
      </c>
      <c r="D41" s="15" t="s">
        <v>619</v>
      </c>
      <c r="E41" s="15" t="s">
        <v>620</v>
      </c>
      <c r="F41" s="15">
        <v>6.3</v>
      </c>
      <c r="G41" s="15" t="s">
        <v>46</v>
      </c>
      <c r="H41" s="15" t="s">
        <v>621</v>
      </c>
      <c r="I41" s="15" t="s">
        <v>622</v>
      </c>
      <c r="J41" s="10" t="s">
        <v>623</v>
      </c>
      <c r="K41" s="15">
        <v>7999</v>
      </c>
    </row>
    <row r="42" spans="1:11" ht="15" customHeight="1" x14ac:dyDescent="0.2">
      <c r="A42" s="13" t="s">
        <v>624</v>
      </c>
      <c r="B42" s="13" t="s">
        <v>625</v>
      </c>
      <c r="C42" s="13">
        <v>2023</v>
      </c>
      <c r="D42" s="13" t="s">
        <v>626</v>
      </c>
      <c r="E42" s="13" t="s">
        <v>84</v>
      </c>
      <c r="F42" s="13">
        <v>6.4</v>
      </c>
      <c r="G42" s="13" t="s">
        <v>46</v>
      </c>
      <c r="H42" s="13" t="s">
        <v>627</v>
      </c>
      <c r="I42" s="13" t="s">
        <v>628</v>
      </c>
      <c r="J42" s="9" t="s">
        <v>629</v>
      </c>
      <c r="K42" s="13">
        <v>3792</v>
      </c>
    </row>
    <row r="43" spans="1:11" ht="15" customHeight="1" x14ac:dyDescent="0.2">
      <c r="A43" s="13" t="s">
        <v>630</v>
      </c>
      <c r="B43" s="13" t="s">
        <v>631</v>
      </c>
      <c r="C43" s="13">
        <v>2022</v>
      </c>
      <c r="D43" s="13" t="s">
        <v>413</v>
      </c>
      <c r="E43" s="13" t="s">
        <v>84</v>
      </c>
      <c r="F43" s="13">
        <v>6.7</v>
      </c>
      <c r="G43" s="13" t="s">
        <v>18</v>
      </c>
      <c r="H43" s="13" t="s">
        <v>632</v>
      </c>
      <c r="I43" s="13" t="s">
        <v>633</v>
      </c>
      <c r="J43" s="9" t="s">
        <v>634</v>
      </c>
      <c r="K43" s="13">
        <v>1599</v>
      </c>
    </row>
    <row r="44" spans="1:11" ht="15" customHeight="1" x14ac:dyDescent="0.2">
      <c r="A44" s="13" t="s">
        <v>635</v>
      </c>
      <c r="B44" s="13" t="s">
        <v>635</v>
      </c>
      <c r="C44" s="13">
        <v>2017</v>
      </c>
      <c r="D44" s="13" t="s">
        <v>636</v>
      </c>
      <c r="E44" s="13" t="s">
        <v>84</v>
      </c>
      <c r="F44" s="13">
        <v>5.0999999999999996</v>
      </c>
      <c r="G44" s="13" t="s">
        <v>28</v>
      </c>
      <c r="H44" s="13" t="s">
        <v>637</v>
      </c>
      <c r="I44" s="13" t="s">
        <v>638</v>
      </c>
      <c r="J44" s="9" t="s">
        <v>639</v>
      </c>
      <c r="K44" s="13">
        <v>79</v>
      </c>
    </row>
    <row r="45" spans="1:11" ht="15" customHeight="1" x14ac:dyDescent="0.2">
      <c r="A45" s="13" t="s">
        <v>640</v>
      </c>
      <c r="B45" s="13" t="s">
        <v>640</v>
      </c>
      <c r="C45" s="13">
        <v>2004</v>
      </c>
      <c r="D45" s="13" t="s">
        <v>641</v>
      </c>
      <c r="E45" s="13" t="s">
        <v>642</v>
      </c>
      <c r="F45" s="13">
        <v>6.5</v>
      </c>
      <c r="G45" s="13" t="s">
        <v>46</v>
      </c>
      <c r="H45" s="13" t="s">
        <v>643</v>
      </c>
      <c r="I45" s="13" t="s">
        <v>644</v>
      </c>
      <c r="J45" s="9" t="s">
        <v>645</v>
      </c>
      <c r="K45" s="13">
        <v>1263</v>
      </c>
    </row>
    <row r="46" spans="1:11" ht="15" customHeight="1" x14ac:dyDescent="0.2">
      <c r="A46" s="13" t="s">
        <v>646</v>
      </c>
      <c r="B46" s="13" t="s">
        <v>647</v>
      </c>
      <c r="C46" s="13">
        <v>1996</v>
      </c>
      <c r="D46" s="13" t="s">
        <v>413</v>
      </c>
      <c r="E46" s="13" t="s">
        <v>648</v>
      </c>
      <c r="F46" s="13">
        <v>7</v>
      </c>
      <c r="G46" s="13" t="s">
        <v>18</v>
      </c>
      <c r="H46" s="13" t="s">
        <v>649</v>
      </c>
      <c r="I46" s="13" t="s">
        <v>650</v>
      </c>
      <c r="J46" s="9" t="s">
        <v>651</v>
      </c>
      <c r="K46" s="13">
        <v>9659</v>
      </c>
    </row>
    <row r="47" spans="1:11" ht="15" customHeight="1" x14ac:dyDescent="0.2">
      <c r="A47" s="13" t="s">
        <v>652</v>
      </c>
      <c r="B47" s="13" t="s">
        <v>653</v>
      </c>
      <c r="C47" s="13">
        <v>2023</v>
      </c>
      <c r="D47" s="13" t="s">
        <v>413</v>
      </c>
      <c r="E47" s="13" t="s">
        <v>84</v>
      </c>
      <c r="F47" s="13">
        <v>7.5</v>
      </c>
      <c r="G47" s="13" t="s">
        <v>77</v>
      </c>
      <c r="H47" s="13" t="s">
        <v>654</v>
      </c>
      <c r="I47" s="13" t="s">
        <v>655</v>
      </c>
      <c r="J47" s="9" t="s">
        <v>656</v>
      </c>
      <c r="K47" s="13">
        <v>4757</v>
      </c>
    </row>
    <row r="48" spans="1:11" ht="15" customHeight="1" x14ac:dyDescent="0.2">
      <c r="A48" s="13" t="s">
        <v>657</v>
      </c>
      <c r="B48" s="13" t="s">
        <v>658</v>
      </c>
      <c r="C48" s="13">
        <v>2025</v>
      </c>
      <c r="D48" s="13" t="s">
        <v>659</v>
      </c>
      <c r="E48" s="13" t="s">
        <v>84</v>
      </c>
      <c r="F48" s="13">
        <v>6.9</v>
      </c>
      <c r="G48" s="13" t="s">
        <v>18</v>
      </c>
      <c r="H48" s="13" t="s">
        <v>660</v>
      </c>
      <c r="I48" s="13" t="s">
        <v>661</v>
      </c>
      <c r="J48" s="9" t="s">
        <v>662</v>
      </c>
      <c r="K48" s="13">
        <v>1288</v>
      </c>
    </row>
    <row r="49" spans="1:11" ht="15" customHeight="1" x14ac:dyDescent="0.2">
      <c r="A49" s="13" t="s">
        <v>663</v>
      </c>
      <c r="B49" s="13" t="s">
        <v>663</v>
      </c>
      <c r="C49" s="13">
        <v>2015</v>
      </c>
      <c r="D49" s="13" t="s">
        <v>413</v>
      </c>
      <c r="E49" s="13" t="s">
        <v>418</v>
      </c>
      <c r="F49" s="13">
        <v>3.5</v>
      </c>
      <c r="G49" s="13" t="s">
        <v>46</v>
      </c>
      <c r="H49" s="13" t="s">
        <v>664</v>
      </c>
      <c r="I49" s="13" t="s">
        <v>665</v>
      </c>
      <c r="J49" s="9" t="s">
        <v>666</v>
      </c>
      <c r="K49" s="13">
        <v>11</v>
      </c>
    </row>
    <row r="50" spans="1:11" ht="15" customHeight="1" x14ac:dyDescent="0.2">
      <c r="A50" s="13" t="s">
        <v>667</v>
      </c>
      <c r="B50" s="13" t="s">
        <v>668</v>
      </c>
      <c r="C50" s="13">
        <v>2015</v>
      </c>
      <c r="D50" s="13" t="s">
        <v>669</v>
      </c>
      <c r="E50" s="13" t="s">
        <v>84</v>
      </c>
      <c r="F50" s="13">
        <v>6.9</v>
      </c>
      <c r="G50" s="13" t="s">
        <v>18</v>
      </c>
      <c r="H50" s="13" t="s">
        <v>670</v>
      </c>
      <c r="I50" s="13" t="s">
        <v>671</v>
      </c>
      <c r="J50" s="9" t="s">
        <v>672</v>
      </c>
      <c r="K50" s="13">
        <v>2642</v>
      </c>
    </row>
    <row r="51" spans="1:11" ht="15" customHeight="1" x14ac:dyDescent="0.2">
      <c r="A51" s="15" t="s">
        <v>673</v>
      </c>
      <c r="B51" s="15" t="s">
        <v>674</v>
      </c>
      <c r="C51" s="15">
        <v>2001</v>
      </c>
      <c r="D51" s="15" t="s">
        <v>413</v>
      </c>
      <c r="E51" s="15" t="s">
        <v>675</v>
      </c>
      <c r="F51" s="15">
        <v>7.5</v>
      </c>
      <c r="G51" s="15" t="s">
        <v>18</v>
      </c>
      <c r="H51" s="15" t="s">
        <v>676</v>
      </c>
      <c r="I51" s="15" t="s">
        <v>677</v>
      </c>
      <c r="J51" s="10" t="s">
        <v>678</v>
      </c>
      <c r="K51" s="15">
        <v>12181</v>
      </c>
    </row>
    <row r="52" spans="1:11" ht="15" customHeight="1" x14ac:dyDescent="0.2">
      <c r="A52" s="13" t="s">
        <v>679</v>
      </c>
      <c r="B52" s="13" t="s">
        <v>679</v>
      </c>
      <c r="C52" s="13">
        <v>1998</v>
      </c>
      <c r="D52" s="13" t="s">
        <v>413</v>
      </c>
      <c r="E52" s="13" t="s">
        <v>600</v>
      </c>
      <c r="F52" s="13">
        <v>3.6</v>
      </c>
      <c r="G52" s="13" t="s">
        <v>86</v>
      </c>
      <c r="H52" s="13" t="s">
        <v>680</v>
      </c>
      <c r="I52" s="13" t="s">
        <v>681</v>
      </c>
      <c r="J52" s="9" t="s">
        <v>682</v>
      </c>
      <c r="K52" s="13">
        <v>7</v>
      </c>
    </row>
    <row r="53" spans="1:11" ht="15" customHeight="1" x14ac:dyDescent="0.2">
      <c r="A53" s="13" t="s">
        <v>683</v>
      </c>
      <c r="B53" s="13" t="s">
        <v>683</v>
      </c>
      <c r="C53" s="13">
        <v>2024</v>
      </c>
      <c r="D53" s="13" t="s">
        <v>413</v>
      </c>
      <c r="E53" s="13" t="s">
        <v>84</v>
      </c>
      <c r="F53" s="13">
        <v>5.5</v>
      </c>
      <c r="G53" s="13" t="s">
        <v>46</v>
      </c>
      <c r="H53" s="13" t="s">
        <v>684</v>
      </c>
      <c r="I53" s="13" t="s">
        <v>685</v>
      </c>
      <c r="J53" s="9" t="s">
        <v>686</v>
      </c>
      <c r="K53" s="13">
        <v>65</v>
      </c>
    </row>
    <row r="54" spans="1:11" ht="15" customHeight="1" x14ac:dyDescent="0.2">
      <c r="A54" s="13" t="s">
        <v>687</v>
      </c>
      <c r="B54" s="13" t="s">
        <v>687</v>
      </c>
      <c r="C54" s="13">
        <v>2023</v>
      </c>
      <c r="D54" s="13" t="s">
        <v>688</v>
      </c>
      <c r="E54" s="13" t="s">
        <v>648</v>
      </c>
      <c r="F54" s="13">
        <v>6.9</v>
      </c>
      <c r="G54" s="13" t="s">
        <v>18</v>
      </c>
      <c r="H54" s="13" t="s">
        <v>689</v>
      </c>
      <c r="I54" s="13" t="s">
        <v>690</v>
      </c>
      <c r="J54" s="9" t="s">
        <v>691</v>
      </c>
      <c r="K54" s="13">
        <v>2528</v>
      </c>
    </row>
    <row r="55" spans="1:11" ht="15" customHeight="1" x14ac:dyDescent="0.2">
      <c r="A55" s="13" t="s">
        <v>692</v>
      </c>
      <c r="B55" s="13"/>
      <c r="C55" s="13"/>
      <c r="D55" s="13"/>
      <c r="E55" s="13"/>
      <c r="F55" s="13"/>
      <c r="G55" s="13"/>
      <c r="H55" s="13"/>
      <c r="I55" s="13"/>
      <c r="J55" s="9"/>
      <c r="K55" s="13"/>
    </row>
    <row r="56" spans="1:11" ht="15" customHeight="1" x14ac:dyDescent="0.2">
      <c r="A56" s="13" t="s">
        <v>693</v>
      </c>
      <c r="B56" s="13" t="s">
        <v>693</v>
      </c>
      <c r="C56" s="13">
        <v>2024</v>
      </c>
      <c r="D56" s="13" t="s">
        <v>413</v>
      </c>
      <c r="E56" s="13" t="s">
        <v>456</v>
      </c>
      <c r="F56" s="13">
        <v>7</v>
      </c>
      <c r="G56" s="13" t="s">
        <v>18</v>
      </c>
      <c r="H56" s="13" t="s">
        <v>694</v>
      </c>
      <c r="I56" s="13" t="s">
        <v>695</v>
      </c>
      <c r="J56" s="9" t="s">
        <v>696</v>
      </c>
      <c r="K56" s="13">
        <v>1483</v>
      </c>
    </row>
    <row r="57" spans="1:11" ht="15" customHeight="1" x14ac:dyDescent="0.2">
      <c r="A57" s="13" t="s">
        <v>697</v>
      </c>
      <c r="B57" s="13" t="s">
        <v>697</v>
      </c>
      <c r="C57" s="13">
        <v>2023</v>
      </c>
      <c r="D57" s="13" t="s">
        <v>698</v>
      </c>
      <c r="E57" s="13" t="s">
        <v>259</v>
      </c>
      <c r="F57" s="13">
        <v>6.6</v>
      </c>
      <c r="G57" s="13" t="s">
        <v>18</v>
      </c>
      <c r="H57" s="13" t="s">
        <v>699</v>
      </c>
      <c r="I57" s="13" t="s">
        <v>700</v>
      </c>
      <c r="J57" s="9" t="s">
        <v>701</v>
      </c>
      <c r="K57" s="13">
        <v>1304</v>
      </c>
    </row>
    <row r="58" spans="1:11" ht="15" customHeight="1" x14ac:dyDescent="0.2">
      <c r="A58" s="13" t="s">
        <v>702</v>
      </c>
      <c r="B58" s="13" t="s">
        <v>703</v>
      </c>
      <c r="C58" s="13">
        <v>2023</v>
      </c>
      <c r="D58" s="13" t="s">
        <v>704</v>
      </c>
      <c r="E58" s="13" t="s">
        <v>84</v>
      </c>
      <c r="F58" s="13">
        <v>7.2</v>
      </c>
      <c r="G58" s="13" t="s">
        <v>18</v>
      </c>
      <c r="H58" s="13" t="s">
        <v>705</v>
      </c>
      <c r="I58" s="13" t="s">
        <v>706</v>
      </c>
      <c r="J58" s="9" t="s">
        <v>707</v>
      </c>
      <c r="K58" s="13">
        <v>384</v>
      </c>
    </row>
    <row r="59" spans="1:11" ht="15" customHeight="1" x14ac:dyDescent="0.2">
      <c r="A59" s="13" t="s">
        <v>708</v>
      </c>
      <c r="B59" s="13"/>
      <c r="C59" s="13"/>
      <c r="D59" s="13"/>
      <c r="E59" s="13"/>
      <c r="F59" s="13"/>
      <c r="G59" s="13"/>
      <c r="H59" s="13"/>
      <c r="I59" s="13"/>
      <c r="J59" s="9"/>
      <c r="K59" s="13"/>
    </row>
    <row r="60" spans="1:11" ht="15" customHeight="1" x14ac:dyDescent="0.2">
      <c r="A60" s="13" t="s">
        <v>709</v>
      </c>
      <c r="B60" s="13" t="s">
        <v>710</v>
      </c>
      <c r="C60" s="13">
        <v>2012</v>
      </c>
      <c r="D60" s="13" t="s">
        <v>413</v>
      </c>
      <c r="E60" s="13" t="s">
        <v>84</v>
      </c>
      <c r="F60" s="13">
        <v>6.5</v>
      </c>
      <c r="G60" s="13" t="s">
        <v>46</v>
      </c>
      <c r="H60" s="13" t="s">
        <v>711</v>
      </c>
      <c r="I60" s="13" t="s">
        <v>712</v>
      </c>
      <c r="J60" s="9" t="s">
        <v>713</v>
      </c>
      <c r="K60" s="13">
        <v>2584</v>
      </c>
    </row>
    <row r="61" spans="1:11" ht="15" customHeight="1" x14ac:dyDescent="0.2">
      <c r="A61" s="15" t="s">
        <v>714</v>
      </c>
      <c r="B61" s="15" t="s">
        <v>715</v>
      </c>
      <c r="C61" s="15">
        <v>2012</v>
      </c>
      <c r="D61" s="15" t="s">
        <v>716</v>
      </c>
      <c r="E61" s="15" t="s">
        <v>84</v>
      </c>
      <c r="F61" s="15">
        <v>6.5</v>
      </c>
      <c r="G61" s="15" t="s">
        <v>46</v>
      </c>
      <c r="H61" s="15" t="s">
        <v>717</v>
      </c>
      <c r="I61" s="15" t="s">
        <v>718</v>
      </c>
      <c r="J61" s="10" t="s">
        <v>719</v>
      </c>
      <c r="K61" s="15">
        <v>3793</v>
      </c>
    </row>
    <row r="62" spans="1:11" ht="15" customHeight="1" x14ac:dyDescent="0.2">
      <c r="A62" s="13" t="s">
        <v>720</v>
      </c>
      <c r="B62" s="13" t="s">
        <v>720</v>
      </c>
      <c r="C62" s="13">
        <v>2015</v>
      </c>
      <c r="D62" s="13" t="s">
        <v>560</v>
      </c>
      <c r="E62" s="13" t="s">
        <v>648</v>
      </c>
      <c r="F62" s="13">
        <v>6.2</v>
      </c>
      <c r="G62" s="13" t="s">
        <v>46</v>
      </c>
      <c r="H62" s="13" t="s">
        <v>721</v>
      </c>
      <c r="I62" s="13" t="s">
        <v>722</v>
      </c>
      <c r="J62" s="9" t="s">
        <v>723</v>
      </c>
      <c r="K62" s="13">
        <v>8833</v>
      </c>
    </row>
    <row r="63" spans="1:11" ht="15" customHeight="1" x14ac:dyDescent="0.2">
      <c r="A63" s="13" t="s">
        <v>724</v>
      </c>
      <c r="B63" s="13" t="s">
        <v>724</v>
      </c>
      <c r="C63" s="13">
        <v>2015</v>
      </c>
      <c r="D63" s="13" t="s">
        <v>725</v>
      </c>
      <c r="E63" s="13" t="s">
        <v>456</v>
      </c>
      <c r="F63" s="13">
        <v>7.4</v>
      </c>
      <c r="G63" s="13" t="s">
        <v>18</v>
      </c>
      <c r="H63" s="13" t="s">
        <v>726</v>
      </c>
      <c r="I63" s="13" t="s">
        <v>727</v>
      </c>
      <c r="J63" s="9" t="s">
        <v>728</v>
      </c>
      <c r="K63" s="13">
        <v>9207</v>
      </c>
    </row>
    <row r="64" spans="1:11" ht="15" customHeight="1" x14ac:dyDescent="0.2">
      <c r="A64" s="13" t="s">
        <v>729</v>
      </c>
      <c r="B64" s="13" t="s">
        <v>730</v>
      </c>
      <c r="C64" s="13">
        <v>2023</v>
      </c>
      <c r="D64" s="13" t="s">
        <v>413</v>
      </c>
      <c r="E64" s="13" t="s">
        <v>84</v>
      </c>
      <c r="F64" s="13">
        <v>6.9</v>
      </c>
      <c r="G64" s="13"/>
      <c r="H64" s="13" t="s">
        <v>731</v>
      </c>
      <c r="I64" s="13" t="s">
        <v>732</v>
      </c>
      <c r="J64" s="9" t="s">
        <v>733</v>
      </c>
      <c r="K64" s="13">
        <v>3867</v>
      </c>
    </row>
    <row r="65" spans="1:11" ht="15" customHeight="1" x14ac:dyDescent="0.2">
      <c r="A65" s="13" t="s">
        <v>734</v>
      </c>
      <c r="B65" s="13" t="s">
        <v>734</v>
      </c>
      <c r="C65" s="13">
        <v>2023</v>
      </c>
      <c r="D65" s="13" t="s">
        <v>483</v>
      </c>
      <c r="E65" s="13" t="s">
        <v>600</v>
      </c>
      <c r="F65" s="13">
        <v>6.6</v>
      </c>
      <c r="G65" s="13" t="s">
        <v>18</v>
      </c>
      <c r="H65" s="13" t="s">
        <v>735</v>
      </c>
      <c r="I65" s="13" t="s">
        <v>736</v>
      </c>
      <c r="J65" s="9" t="s">
        <v>737</v>
      </c>
      <c r="K65" s="13">
        <v>65</v>
      </c>
    </row>
    <row r="66" spans="1:11" ht="15" customHeight="1" x14ac:dyDescent="0.2">
      <c r="A66" s="13" t="s">
        <v>738</v>
      </c>
      <c r="B66" s="13" t="s">
        <v>739</v>
      </c>
      <c r="C66" s="13">
        <v>2013</v>
      </c>
      <c r="D66" s="13" t="s">
        <v>740</v>
      </c>
      <c r="E66" s="13" t="s">
        <v>84</v>
      </c>
      <c r="F66" s="13">
        <v>6.1</v>
      </c>
      <c r="G66" s="13" t="s">
        <v>46</v>
      </c>
      <c r="H66" s="13" t="s">
        <v>741</v>
      </c>
      <c r="I66" s="13" t="s">
        <v>742</v>
      </c>
      <c r="J66" s="9" t="s">
        <v>743</v>
      </c>
      <c r="K66" s="13">
        <v>2428</v>
      </c>
    </row>
    <row r="67" spans="1:11" ht="15" customHeight="1" x14ac:dyDescent="0.2">
      <c r="A67" s="13" t="s">
        <v>744</v>
      </c>
      <c r="B67" s="13" t="s">
        <v>744</v>
      </c>
      <c r="C67" s="13">
        <v>2001</v>
      </c>
      <c r="D67" s="13" t="s">
        <v>530</v>
      </c>
      <c r="E67" s="13" t="s">
        <v>84</v>
      </c>
      <c r="F67" s="13">
        <v>7.2</v>
      </c>
      <c r="G67" s="13" t="s">
        <v>18</v>
      </c>
      <c r="H67" s="13" t="s">
        <v>745</v>
      </c>
      <c r="I67" s="13" t="s">
        <v>746</v>
      </c>
      <c r="J67" s="9" t="s">
        <v>747</v>
      </c>
      <c r="K67" s="13">
        <v>140</v>
      </c>
    </row>
    <row r="68" spans="1:11" ht="15" customHeight="1" x14ac:dyDescent="0.2">
      <c r="A68" s="13" t="s">
        <v>748</v>
      </c>
      <c r="B68" s="13" t="s">
        <v>748</v>
      </c>
      <c r="C68" s="13">
        <v>2023</v>
      </c>
      <c r="D68" s="13" t="s">
        <v>749</v>
      </c>
      <c r="E68" s="13" t="s">
        <v>750</v>
      </c>
      <c r="F68" s="13">
        <v>8</v>
      </c>
      <c r="G68" s="13" t="s">
        <v>77</v>
      </c>
      <c r="H68" s="13" t="s">
        <v>751</v>
      </c>
      <c r="I68" s="13" t="s">
        <v>752</v>
      </c>
      <c r="J68" s="9" t="s">
        <v>753</v>
      </c>
      <c r="K68" s="13">
        <v>2644</v>
      </c>
    </row>
    <row r="69" spans="1:11" ht="15" customHeight="1" x14ac:dyDescent="0.2">
      <c r="A69" s="13" t="s">
        <v>754</v>
      </c>
      <c r="B69" s="13" t="s">
        <v>754</v>
      </c>
      <c r="C69" s="13">
        <v>2011</v>
      </c>
      <c r="D69" s="13" t="s">
        <v>755</v>
      </c>
      <c r="E69" s="13" t="s">
        <v>756</v>
      </c>
      <c r="F69" s="13">
        <v>7.3</v>
      </c>
      <c r="G69" s="13" t="s">
        <v>18</v>
      </c>
      <c r="H69" s="13" t="s">
        <v>757</v>
      </c>
      <c r="I69" s="13" t="s">
        <v>758</v>
      </c>
      <c r="J69" s="9" t="s">
        <v>759</v>
      </c>
      <c r="K69" s="13">
        <v>8787</v>
      </c>
    </row>
    <row r="70" spans="1:11" ht="15" customHeight="1" x14ac:dyDescent="0.2">
      <c r="A70" s="13" t="s">
        <v>760</v>
      </c>
      <c r="B70" s="13" t="s">
        <v>760</v>
      </c>
      <c r="C70" s="13">
        <v>2002</v>
      </c>
      <c r="D70" s="13" t="s">
        <v>413</v>
      </c>
      <c r="E70" s="13" t="s">
        <v>761</v>
      </c>
      <c r="F70" s="13">
        <v>7.3</v>
      </c>
      <c r="G70" s="13" t="s">
        <v>18</v>
      </c>
      <c r="H70" s="13" t="s">
        <v>762</v>
      </c>
      <c r="I70" s="13" t="s">
        <v>763</v>
      </c>
      <c r="J70" s="9" t="s">
        <v>764</v>
      </c>
      <c r="K70" s="13">
        <v>20072</v>
      </c>
    </row>
    <row r="71" spans="1:11" ht="15" customHeight="1" x14ac:dyDescent="0.2">
      <c r="A71" s="15" t="s">
        <v>765</v>
      </c>
      <c r="B71" s="15" t="s">
        <v>766</v>
      </c>
      <c r="C71" s="15">
        <v>2001</v>
      </c>
      <c r="D71" s="15" t="s">
        <v>767</v>
      </c>
      <c r="E71" s="15" t="s">
        <v>84</v>
      </c>
      <c r="F71" s="15">
        <v>6.9</v>
      </c>
      <c r="G71" s="15" t="s">
        <v>18</v>
      </c>
      <c r="H71" s="15" t="s">
        <v>768</v>
      </c>
      <c r="I71" s="15" t="s">
        <v>769</v>
      </c>
      <c r="J71" s="10" t="s">
        <v>770</v>
      </c>
      <c r="K71" s="15">
        <v>2250</v>
      </c>
    </row>
    <row r="72" spans="1:11" ht="15" customHeight="1" x14ac:dyDescent="0.2">
      <c r="A72" s="13" t="s">
        <v>771</v>
      </c>
      <c r="B72" s="13" t="s">
        <v>772</v>
      </c>
      <c r="C72" s="13">
        <v>2018</v>
      </c>
      <c r="D72" s="13" t="s">
        <v>413</v>
      </c>
      <c r="E72" s="13" t="s">
        <v>84</v>
      </c>
      <c r="F72" s="13">
        <v>3.9</v>
      </c>
      <c r="G72" s="13" t="s">
        <v>86</v>
      </c>
      <c r="H72" s="13" t="s">
        <v>773</v>
      </c>
      <c r="I72" s="13" t="s">
        <v>774</v>
      </c>
      <c r="J72" s="9" t="s">
        <v>775</v>
      </c>
      <c r="K72" s="13">
        <v>64</v>
      </c>
    </row>
    <row r="73" spans="1:11" ht="15" customHeight="1" x14ac:dyDescent="0.2">
      <c r="A73" s="13" t="s">
        <v>776</v>
      </c>
      <c r="B73" s="13" t="s">
        <v>776</v>
      </c>
      <c r="C73" s="13">
        <v>2022</v>
      </c>
      <c r="D73" s="13" t="s">
        <v>413</v>
      </c>
      <c r="E73" s="13" t="s">
        <v>456</v>
      </c>
      <c r="F73" s="13">
        <v>7.7</v>
      </c>
      <c r="G73" s="13" t="s">
        <v>77</v>
      </c>
      <c r="H73" s="13" t="s">
        <v>777</v>
      </c>
      <c r="I73" s="13" t="s">
        <v>778</v>
      </c>
      <c r="J73" s="9" t="s">
        <v>779</v>
      </c>
      <c r="K73" s="13">
        <v>11417</v>
      </c>
    </row>
    <row r="74" spans="1:11" ht="15" customHeight="1" x14ac:dyDescent="0.2">
      <c r="A74" s="13" t="s">
        <v>780</v>
      </c>
      <c r="B74" s="13" t="s">
        <v>780</v>
      </c>
      <c r="C74" s="13">
        <v>2024</v>
      </c>
      <c r="D74" s="13" t="s">
        <v>781</v>
      </c>
      <c r="E74" s="13" t="s">
        <v>507</v>
      </c>
      <c r="F74" s="13">
        <v>7.3</v>
      </c>
      <c r="G74" s="13" t="s">
        <v>18</v>
      </c>
      <c r="H74" s="13" t="s">
        <v>782</v>
      </c>
      <c r="I74" s="13" t="s">
        <v>783</v>
      </c>
      <c r="J74" s="9" t="s">
        <v>784</v>
      </c>
      <c r="K74" s="13">
        <v>3904</v>
      </c>
    </row>
    <row r="75" spans="1:11" ht="15" customHeight="1" x14ac:dyDescent="0.2">
      <c r="A75" s="13" t="s">
        <v>785</v>
      </c>
      <c r="B75" s="13" t="s">
        <v>786</v>
      </c>
      <c r="C75" s="13">
        <v>2023</v>
      </c>
      <c r="D75" s="13" t="s">
        <v>787</v>
      </c>
      <c r="E75" s="13" t="s">
        <v>84</v>
      </c>
      <c r="F75" s="13">
        <v>7.3</v>
      </c>
      <c r="G75" s="13" t="s">
        <v>18</v>
      </c>
      <c r="H75" s="13" t="s">
        <v>788</v>
      </c>
      <c r="I75" s="13" t="s">
        <v>789</v>
      </c>
      <c r="J75" s="9" t="s">
        <v>790</v>
      </c>
      <c r="K75" s="13">
        <v>3490</v>
      </c>
    </row>
    <row r="76" spans="1:11" ht="15" customHeight="1" x14ac:dyDescent="0.2">
      <c r="A76" s="13" t="s">
        <v>791</v>
      </c>
      <c r="B76" s="13" t="s">
        <v>791</v>
      </c>
      <c r="C76" s="13">
        <v>2023</v>
      </c>
      <c r="D76" s="13" t="s">
        <v>413</v>
      </c>
      <c r="E76" s="13" t="s">
        <v>648</v>
      </c>
      <c r="F76" s="13">
        <v>6.1</v>
      </c>
      <c r="G76" s="13" t="s">
        <v>46</v>
      </c>
      <c r="H76" s="13" t="s">
        <v>792</v>
      </c>
      <c r="I76" s="13" t="s">
        <v>793</v>
      </c>
      <c r="J76" s="9" t="s">
        <v>794</v>
      </c>
      <c r="K76" s="13">
        <v>1776</v>
      </c>
    </row>
    <row r="77" spans="1:11" ht="15" customHeight="1" x14ac:dyDescent="0.2">
      <c r="A77" s="13" t="s">
        <v>795</v>
      </c>
      <c r="B77" s="13" t="s">
        <v>795</v>
      </c>
      <c r="C77" s="13">
        <v>2010</v>
      </c>
      <c r="D77" s="13" t="s">
        <v>483</v>
      </c>
      <c r="E77" s="13" t="s">
        <v>456</v>
      </c>
      <c r="F77" s="13">
        <v>7.7</v>
      </c>
      <c r="G77" s="13" t="s">
        <v>77</v>
      </c>
      <c r="H77" s="13" t="s">
        <v>796</v>
      </c>
      <c r="I77" s="13" t="s">
        <v>797</v>
      </c>
      <c r="J77" s="9" t="s">
        <v>798</v>
      </c>
      <c r="K77" s="13">
        <v>1416</v>
      </c>
    </row>
    <row r="78" spans="1:11" ht="15" customHeight="1" x14ac:dyDescent="0.2">
      <c r="A78" s="13" t="s">
        <v>799</v>
      </c>
      <c r="B78" s="13" t="s">
        <v>799</v>
      </c>
      <c r="C78" s="13">
        <v>2022</v>
      </c>
      <c r="D78" s="13" t="s">
        <v>560</v>
      </c>
      <c r="E78" s="13" t="s">
        <v>324</v>
      </c>
      <c r="F78" s="13">
        <v>6.4</v>
      </c>
      <c r="G78" s="13" t="s">
        <v>46</v>
      </c>
      <c r="H78" s="13" t="s">
        <v>800</v>
      </c>
      <c r="I78" s="13" t="s">
        <v>801</v>
      </c>
      <c r="J78" s="9" t="s">
        <v>802</v>
      </c>
      <c r="K78" s="13">
        <v>472</v>
      </c>
    </row>
    <row r="79" spans="1:11" ht="15" customHeight="1" x14ac:dyDescent="0.2">
      <c r="A79" s="13" t="s">
        <v>803</v>
      </c>
      <c r="B79" s="13" t="s">
        <v>804</v>
      </c>
      <c r="C79" s="13">
        <v>2021</v>
      </c>
      <c r="D79" s="13" t="s">
        <v>413</v>
      </c>
      <c r="E79" s="13" t="s">
        <v>805</v>
      </c>
      <c r="F79" s="13">
        <v>6.8</v>
      </c>
      <c r="G79" s="13" t="s">
        <v>18</v>
      </c>
      <c r="H79" s="13" t="s">
        <v>806</v>
      </c>
      <c r="I79" s="13" t="s">
        <v>807</v>
      </c>
      <c r="J79" s="9" t="s">
        <v>808</v>
      </c>
      <c r="K79" s="13">
        <v>1687</v>
      </c>
    </row>
    <row r="80" spans="1:11" ht="15" customHeight="1" x14ac:dyDescent="0.2">
      <c r="A80" s="13" t="s">
        <v>809</v>
      </c>
      <c r="B80" s="13" t="s">
        <v>810</v>
      </c>
      <c r="C80" s="13">
        <v>2021</v>
      </c>
      <c r="D80" s="13" t="s">
        <v>811</v>
      </c>
      <c r="E80" s="13" t="s">
        <v>84</v>
      </c>
      <c r="F80" s="13">
        <v>6.6</v>
      </c>
      <c r="G80" s="13" t="s">
        <v>18</v>
      </c>
      <c r="H80" s="13" t="s">
        <v>812</v>
      </c>
      <c r="I80" s="13" t="s">
        <v>813</v>
      </c>
      <c r="J80" s="9" t="s">
        <v>814</v>
      </c>
      <c r="K80" s="13">
        <v>1084</v>
      </c>
    </row>
    <row r="81" spans="1:11" ht="15" customHeight="1" x14ac:dyDescent="0.2">
      <c r="A81" s="15" t="s">
        <v>815</v>
      </c>
      <c r="B81" s="15" t="s">
        <v>815</v>
      </c>
      <c r="C81" s="15">
        <v>2011</v>
      </c>
      <c r="D81" s="15" t="s">
        <v>413</v>
      </c>
      <c r="E81" s="15" t="s">
        <v>507</v>
      </c>
      <c r="F81" s="15">
        <v>6.5</v>
      </c>
      <c r="G81" s="15" t="s">
        <v>46</v>
      </c>
      <c r="H81" s="15" t="s">
        <v>816</v>
      </c>
      <c r="I81" s="15" t="s">
        <v>817</v>
      </c>
      <c r="J81" s="10" t="s">
        <v>818</v>
      </c>
      <c r="K81" s="15">
        <v>31</v>
      </c>
    </row>
    <row r="82" spans="1:11" ht="15" customHeight="1" x14ac:dyDescent="0.2">
      <c r="A82" s="13" t="s">
        <v>819</v>
      </c>
      <c r="B82" s="13" t="s">
        <v>819</v>
      </c>
      <c r="C82" s="13">
        <v>1998</v>
      </c>
      <c r="D82" s="13" t="s">
        <v>413</v>
      </c>
      <c r="E82" s="13" t="s">
        <v>84</v>
      </c>
      <c r="F82" s="13">
        <v>6.2</v>
      </c>
      <c r="G82" s="13" t="s">
        <v>46</v>
      </c>
      <c r="H82" s="13" t="s">
        <v>820</v>
      </c>
      <c r="I82" s="13" t="s">
        <v>821</v>
      </c>
      <c r="J82" s="9" t="s">
        <v>822</v>
      </c>
      <c r="K82" s="13">
        <v>553</v>
      </c>
    </row>
    <row r="83" spans="1:11" ht="15" customHeight="1" x14ac:dyDescent="0.2">
      <c r="A83" s="13" t="s">
        <v>823</v>
      </c>
      <c r="B83" s="13" t="s">
        <v>823</v>
      </c>
      <c r="C83" s="13">
        <v>2020</v>
      </c>
      <c r="D83" s="13" t="s">
        <v>824</v>
      </c>
      <c r="E83" s="13" t="s">
        <v>84</v>
      </c>
      <c r="F83" s="13">
        <v>5.5</v>
      </c>
      <c r="G83" s="13" t="s">
        <v>46</v>
      </c>
      <c r="H83" s="13" t="s">
        <v>825</v>
      </c>
      <c r="I83" s="13" t="s">
        <v>826</v>
      </c>
      <c r="J83" s="9" t="s">
        <v>827</v>
      </c>
      <c r="K83" s="13">
        <v>641</v>
      </c>
    </row>
    <row r="84" spans="1:11" ht="15" customHeight="1" x14ac:dyDescent="0.2">
      <c r="A84" s="13" t="s">
        <v>828</v>
      </c>
      <c r="B84" s="13" t="s">
        <v>829</v>
      </c>
      <c r="C84" s="13">
        <v>2024</v>
      </c>
      <c r="D84" s="13" t="s">
        <v>483</v>
      </c>
      <c r="E84" s="13" t="s">
        <v>507</v>
      </c>
      <c r="F84" s="13">
        <v>7.1</v>
      </c>
      <c r="G84" s="13" t="s">
        <v>18</v>
      </c>
      <c r="H84" s="13" t="s">
        <v>830</v>
      </c>
      <c r="I84" s="13" t="s">
        <v>831</v>
      </c>
      <c r="J84" s="9" t="s">
        <v>832</v>
      </c>
      <c r="K84" s="13">
        <v>207</v>
      </c>
    </row>
    <row r="85" spans="1:11" ht="15" customHeight="1" x14ac:dyDescent="0.2">
      <c r="A85" s="13" t="s">
        <v>833</v>
      </c>
      <c r="B85" s="13" t="s">
        <v>833</v>
      </c>
      <c r="C85" s="13">
        <v>2021</v>
      </c>
      <c r="D85" s="13" t="s">
        <v>413</v>
      </c>
      <c r="E85" s="13" t="s">
        <v>324</v>
      </c>
      <c r="F85" s="13">
        <v>7.5</v>
      </c>
      <c r="G85" s="13" t="s">
        <v>18</v>
      </c>
      <c r="H85" s="13" t="s">
        <v>834</v>
      </c>
      <c r="I85" s="13" t="s">
        <v>835</v>
      </c>
      <c r="J85" s="9" t="s">
        <v>836</v>
      </c>
      <c r="K85" s="13">
        <v>9255</v>
      </c>
    </row>
    <row r="86" spans="1:11" ht="15" customHeight="1" x14ac:dyDescent="0.2">
      <c r="A86" s="13" t="s">
        <v>837</v>
      </c>
      <c r="B86" s="13" t="s">
        <v>837</v>
      </c>
      <c r="C86" s="13">
        <v>2024</v>
      </c>
      <c r="D86" s="13" t="s">
        <v>478</v>
      </c>
      <c r="E86" s="13" t="s">
        <v>439</v>
      </c>
      <c r="F86" s="13">
        <v>6.1</v>
      </c>
      <c r="G86" s="13" t="s">
        <v>46</v>
      </c>
      <c r="H86" s="13" t="s">
        <v>838</v>
      </c>
      <c r="I86" s="13" t="s">
        <v>839</v>
      </c>
      <c r="J86" s="9" t="s">
        <v>840</v>
      </c>
      <c r="K86" s="13">
        <v>1072</v>
      </c>
    </row>
    <row r="87" spans="1:11" ht="15" customHeight="1" x14ac:dyDescent="0.2">
      <c r="A87" s="13" t="s">
        <v>841</v>
      </c>
      <c r="B87" s="13" t="s">
        <v>842</v>
      </c>
      <c r="C87" s="13">
        <v>2015</v>
      </c>
      <c r="D87" s="13" t="s">
        <v>843</v>
      </c>
      <c r="E87" s="13" t="s">
        <v>84</v>
      </c>
      <c r="F87" s="13">
        <v>6.7</v>
      </c>
      <c r="G87" s="13" t="s">
        <v>18</v>
      </c>
      <c r="H87" s="13" t="s">
        <v>844</v>
      </c>
      <c r="I87" s="13" t="s">
        <v>845</v>
      </c>
      <c r="J87" s="9" t="s">
        <v>846</v>
      </c>
      <c r="K87" s="13">
        <v>1354</v>
      </c>
    </row>
    <row r="88" spans="1:11" ht="15" customHeight="1" x14ac:dyDescent="0.2">
      <c r="A88" s="13" t="s">
        <v>847</v>
      </c>
      <c r="B88" s="13" t="s">
        <v>848</v>
      </c>
      <c r="C88" s="13">
        <v>2017</v>
      </c>
      <c r="D88" s="13" t="s">
        <v>849</v>
      </c>
      <c r="E88" s="13" t="s">
        <v>84</v>
      </c>
      <c r="F88" s="13">
        <v>6.5</v>
      </c>
      <c r="G88" s="13" t="s">
        <v>46</v>
      </c>
      <c r="H88" s="13" t="s">
        <v>850</v>
      </c>
      <c r="I88" s="13" t="s">
        <v>851</v>
      </c>
      <c r="J88" s="9" t="s">
        <v>852</v>
      </c>
      <c r="K88" s="13">
        <v>96</v>
      </c>
    </row>
    <row r="89" spans="1:11" ht="15" customHeight="1" x14ac:dyDescent="0.2">
      <c r="A89" s="13" t="s">
        <v>853</v>
      </c>
      <c r="B89" s="13" t="s">
        <v>854</v>
      </c>
      <c r="C89" s="13">
        <v>1990</v>
      </c>
      <c r="D89" s="13" t="s">
        <v>855</v>
      </c>
      <c r="E89" s="13" t="s">
        <v>418</v>
      </c>
      <c r="F89" s="13">
        <v>6.6</v>
      </c>
      <c r="G89" s="13" t="s">
        <v>18</v>
      </c>
      <c r="H89" s="13" t="s">
        <v>856</v>
      </c>
      <c r="I89" s="13" t="s">
        <v>857</v>
      </c>
      <c r="J89" s="9" t="s">
        <v>858</v>
      </c>
      <c r="K89" s="13">
        <v>30</v>
      </c>
    </row>
    <row r="90" spans="1:11" ht="15" customHeight="1" x14ac:dyDescent="0.2">
      <c r="A90" s="13" t="s">
        <v>859</v>
      </c>
      <c r="B90" s="13" t="s">
        <v>860</v>
      </c>
      <c r="C90" s="13">
        <v>2022</v>
      </c>
      <c r="D90" s="13" t="s">
        <v>413</v>
      </c>
      <c r="E90" s="13" t="s">
        <v>473</v>
      </c>
      <c r="F90" s="13">
        <v>8.1999999999999993</v>
      </c>
      <c r="G90" s="13" t="s">
        <v>77</v>
      </c>
      <c r="H90" s="13" t="s">
        <v>861</v>
      </c>
      <c r="I90" s="13" t="s">
        <v>862</v>
      </c>
      <c r="J90" s="9" t="s">
        <v>863</v>
      </c>
      <c r="K90" s="13">
        <v>10393</v>
      </c>
    </row>
    <row r="91" spans="1:11" ht="15" customHeight="1" x14ac:dyDescent="0.2">
      <c r="A91" s="15" t="s">
        <v>864</v>
      </c>
      <c r="B91" s="15" t="s">
        <v>864</v>
      </c>
      <c r="C91" s="15">
        <v>1996</v>
      </c>
      <c r="D91" s="15" t="s">
        <v>413</v>
      </c>
      <c r="E91" s="15" t="s">
        <v>648</v>
      </c>
      <c r="F91" s="15">
        <v>6.5</v>
      </c>
      <c r="G91" s="15" t="s">
        <v>18</v>
      </c>
      <c r="H91" s="15" t="s">
        <v>865</v>
      </c>
      <c r="I91" s="15" t="s">
        <v>866</v>
      </c>
      <c r="J91" s="10" t="s">
        <v>867</v>
      </c>
      <c r="K91" s="15">
        <v>3682</v>
      </c>
    </row>
    <row r="92" spans="1:11" ht="15" customHeight="1" x14ac:dyDescent="0.2">
      <c r="A92" s="13" t="s">
        <v>868</v>
      </c>
      <c r="B92" s="13" t="s">
        <v>868</v>
      </c>
      <c r="C92" s="13">
        <v>2024</v>
      </c>
      <c r="D92" s="13" t="s">
        <v>495</v>
      </c>
      <c r="E92" s="13" t="s">
        <v>648</v>
      </c>
      <c r="F92" s="13">
        <v>6.8</v>
      </c>
      <c r="G92" s="13" t="s">
        <v>18</v>
      </c>
      <c r="H92" s="13" t="s">
        <v>869</v>
      </c>
      <c r="I92" s="13" t="s">
        <v>870</v>
      </c>
      <c r="J92" s="9" t="s">
        <v>871</v>
      </c>
      <c r="K92" s="13">
        <v>2721</v>
      </c>
    </row>
    <row r="93" spans="1:11" ht="15" customHeight="1" x14ac:dyDescent="0.2">
      <c r="A93" s="13" t="s">
        <v>404</v>
      </c>
      <c r="B93" s="13" t="s">
        <v>404</v>
      </c>
      <c r="C93" s="13">
        <v>2022</v>
      </c>
      <c r="D93" s="13" t="s">
        <v>872</v>
      </c>
      <c r="E93" s="13" t="s">
        <v>406</v>
      </c>
      <c r="F93" s="13">
        <v>6.9</v>
      </c>
      <c r="G93" s="13" t="s">
        <v>18</v>
      </c>
      <c r="H93" s="13" t="s">
        <v>407</v>
      </c>
      <c r="I93" s="13" t="s">
        <v>408</v>
      </c>
      <c r="J93" s="9" t="s">
        <v>409</v>
      </c>
      <c r="K93" s="13">
        <v>6513</v>
      </c>
    </row>
    <row r="94" spans="1:11" ht="15" customHeight="1" x14ac:dyDescent="0.2">
      <c r="A94" s="13" t="s">
        <v>873</v>
      </c>
      <c r="B94" s="13" t="s">
        <v>874</v>
      </c>
      <c r="C94" s="13">
        <v>2009</v>
      </c>
      <c r="D94" s="13" t="s">
        <v>875</v>
      </c>
      <c r="E94" s="13" t="s">
        <v>84</v>
      </c>
      <c r="F94" s="13">
        <v>7.5</v>
      </c>
      <c r="G94" s="13" t="s">
        <v>18</v>
      </c>
      <c r="H94" s="13" t="s">
        <v>876</v>
      </c>
      <c r="I94" s="13" t="s">
        <v>877</v>
      </c>
      <c r="J94" s="9" t="s">
        <v>878</v>
      </c>
      <c r="K94" s="13">
        <v>1315</v>
      </c>
    </row>
  </sheetData>
  <dataValidations count="1">
    <dataValidation type="list" allowBlank="1" showDropDown="1" showInputMessage="1" showErrorMessage="1" sqref="D2:D8 D10:D19 D21:D29 D31:D38 D40:D48 D50:D54 I2:I8 I10:I19 I21:I29 I31:I38 I40:I48 I50:I54" xr:uid="{00000000-0002-0000-0100-000000000000}">
      <formula1>#REF!</formula1>
      <formula2>0</formula2>
    </dataValidation>
  </dataValidations>
  <pageMargins left="0.74791666666666701" right="0.74791666666666701" top="0.98402777777777795" bottom="0.9840277777777779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Tabelle3">
    <outlinePr summaryBelow="0"/>
  </sheetPr>
  <dimension ref="A1:K437"/>
  <sheetViews>
    <sheetView zoomScaleNormal="100" workbookViewId="0">
      <pane ySplit="1" topLeftCell="A137" activePane="bottomLeft" state="frozen"/>
      <selection activeCell="B1" sqref="B1"/>
      <selection pane="bottomLeft" activeCell="A148" sqref="A148"/>
    </sheetView>
  </sheetViews>
  <sheetFormatPr baseColWidth="10" defaultColWidth="12.5703125" defaultRowHeight="15" customHeight="1" x14ac:dyDescent="0.2"/>
  <cols>
    <col min="1" max="1" width="47.42578125" style="2" customWidth="1"/>
    <col min="2" max="2" width="18.5703125" style="2" customWidth="1"/>
    <col min="3" max="3" width="8.140625" style="3" customWidth="1"/>
    <col min="4" max="4" width="7" style="2" customWidth="1"/>
    <col min="5" max="5" width="11.42578125" style="3" customWidth="1"/>
    <col min="6" max="6" width="6.42578125" style="2" customWidth="1"/>
    <col min="7" max="7" width="11.42578125" style="2" customWidth="1"/>
    <col min="8" max="8" width="12.85546875" style="2" customWidth="1"/>
    <col min="9" max="9" width="44.7109375" style="2" customWidth="1"/>
    <col min="10" max="10" width="43" style="2" customWidth="1"/>
    <col min="11" max="12" width="18.5703125" style="2" customWidth="1"/>
    <col min="13" max="25" width="12.5703125" style="2" customWidth="1"/>
    <col min="26" max="16384" width="12.5703125" style="2"/>
  </cols>
  <sheetData>
    <row r="1" spans="1:11" s="4" customFormat="1" ht="16.5" customHeight="1" x14ac:dyDescent="0.2">
      <c r="A1" s="11" t="s">
        <v>0</v>
      </c>
      <c r="B1" s="11" t="s">
        <v>1</v>
      </c>
      <c r="C1" s="11" t="s">
        <v>2</v>
      </c>
      <c r="D1" s="11" t="s">
        <v>3</v>
      </c>
      <c r="E1" s="11" t="s">
        <v>4</v>
      </c>
      <c r="F1" s="11" t="s">
        <v>5</v>
      </c>
      <c r="G1" s="11" t="s">
        <v>6</v>
      </c>
      <c r="H1" s="11" t="s">
        <v>7</v>
      </c>
      <c r="I1" s="11" t="s">
        <v>8</v>
      </c>
      <c r="J1" s="11" t="s">
        <v>9</v>
      </c>
      <c r="K1" s="11" t="s">
        <v>10</v>
      </c>
    </row>
    <row r="2" spans="1:11" ht="15" customHeight="1" x14ac:dyDescent="0.2">
      <c r="A2" s="13" t="s">
        <v>879</v>
      </c>
      <c r="B2" s="13" t="s">
        <v>879</v>
      </c>
      <c r="C2" s="13">
        <v>1997</v>
      </c>
      <c r="D2" s="13" t="s">
        <v>880</v>
      </c>
      <c r="E2" s="13" t="s">
        <v>881</v>
      </c>
      <c r="F2" s="13"/>
      <c r="G2" s="13"/>
      <c r="H2" s="13" t="s">
        <v>882</v>
      </c>
      <c r="I2" s="13" t="s">
        <v>879</v>
      </c>
      <c r="J2" s="9"/>
      <c r="K2" s="13"/>
    </row>
    <row r="3" spans="1:11" ht="15" customHeight="1" x14ac:dyDescent="0.2">
      <c r="A3" s="13" t="s">
        <v>883</v>
      </c>
      <c r="B3" s="13" t="s">
        <v>884</v>
      </c>
      <c r="C3" s="13">
        <v>2003</v>
      </c>
      <c r="D3" s="13" t="s">
        <v>530</v>
      </c>
      <c r="E3" s="13" t="s">
        <v>885</v>
      </c>
      <c r="F3" s="13">
        <v>6.3789999999999996</v>
      </c>
      <c r="G3" s="13" t="s">
        <v>46</v>
      </c>
      <c r="H3" s="13" t="s">
        <v>886</v>
      </c>
      <c r="I3" s="13" t="s">
        <v>887</v>
      </c>
      <c r="J3" s="9" t="s">
        <v>888</v>
      </c>
      <c r="K3" s="13">
        <v>1837</v>
      </c>
    </row>
    <row r="4" spans="1:11" ht="15" customHeight="1" x14ac:dyDescent="0.2">
      <c r="A4" s="13" t="s">
        <v>889</v>
      </c>
      <c r="B4" s="13" t="s">
        <v>889</v>
      </c>
      <c r="C4" s="13">
        <v>1992</v>
      </c>
      <c r="D4" s="13" t="s">
        <v>413</v>
      </c>
      <c r="E4" s="13" t="s">
        <v>890</v>
      </c>
      <c r="F4" s="13">
        <v>7.3259999999999996</v>
      </c>
      <c r="G4" s="13" t="s">
        <v>18</v>
      </c>
      <c r="H4" s="13" t="s">
        <v>891</v>
      </c>
      <c r="I4" s="13" t="s">
        <v>892</v>
      </c>
      <c r="J4" s="9" t="s">
        <v>893</v>
      </c>
      <c r="K4" s="13">
        <v>1528</v>
      </c>
    </row>
    <row r="5" spans="1:11" ht="15" customHeight="1" x14ac:dyDescent="0.2">
      <c r="A5" s="13" t="s">
        <v>894</v>
      </c>
      <c r="B5" s="13" t="s">
        <v>894</v>
      </c>
      <c r="C5" s="13">
        <v>1995</v>
      </c>
      <c r="D5" s="13" t="s">
        <v>413</v>
      </c>
      <c r="E5" s="13" t="s">
        <v>456</v>
      </c>
      <c r="F5" s="13">
        <v>7.9</v>
      </c>
      <c r="G5" s="13" t="s">
        <v>77</v>
      </c>
      <c r="H5" s="13" t="s">
        <v>895</v>
      </c>
      <c r="I5" s="13" t="s">
        <v>896</v>
      </c>
      <c r="J5" s="9" t="s">
        <v>897</v>
      </c>
      <c r="K5" s="13">
        <v>7949</v>
      </c>
    </row>
    <row r="6" spans="1:11" ht="15" customHeight="1" x14ac:dyDescent="0.2">
      <c r="A6" s="13" t="s">
        <v>898</v>
      </c>
      <c r="B6" s="13" t="s">
        <v>899</v>
      </c>
      <c r="C6" s="13">
        <v>1999</v>
      </c>
      <c r="D6" s="13" t="s">
        <v>413</v>
      </c>
      <c r="E6" s="13" t="s">
        <v>900</v>
      </c>
      <c r="F6" s="13">
        <v>7.4530000000000003</v>
      </c>
      <c r="G6" s="13" t="s">
        <v>18</v>
      </c>
      <c r="H6" s="13" t="s">
        <v>901</v>
      </c>
      <c r="I6" s="13" t="s">
        <v>902</v>
      </c>
      <c r="J6" s="9" t="s">
        <v>903</v>
      </c>
      <c r="K6" s="13">
        <v>1967</v>
      </c>
    </row>
    <row r="7" spans="1:11" ht="15" customHeight="1" x14ac:dyDescent="0.2">
      <c r="A7" s="13" t="s">
        <v>904</v>
      </c>
      <c r="B7" s="13" t="s">
        <v>905</v>
      </c>
      <c r="C7" s="13">
        <v>2002</v>
      </c>
      <c r="D7" s="13" t="s">
        <v>15</v>
      </c>
      <c r="E7" s="13" t="s">
        <v>906</v>
      </c>
      <c r="F7" s="13">
        <v>6.9550000000000001</v>
      </c>
      <c r="G7" s="13" t="s">
        <v>18</v>
      </c>
      <c r="H7" s="13" t="s">
        <v>907</v>
      </c>
      <c r="I7" s="13" t="s">
        <v>908</v>
      </c>
      <c r="J7" s="9" t="s">
        <v>909</v>
      </c>
      <c r="K7" s="13">
        <v>5061</v>
      </c>
    </row>
    <row r="8" spans="1:11" ht="15" customHeight="1" x14ac:dyDescent="0.2">
      <c r="A8" s="13" t="s">
        <v>910</v>
      </c>
      <c r="B8" s="13" t="s">
        <v>911</v>
      </c>
      <c r="C8" s="13">
        <v>2008</v>
      </c>
      <c r="D8" s="13" t="s">
        <v>880</v>
      </c>
      <c r="E8" s="13" t="s">
        <v>881</v>
      </c>
      <c r="F8" s="13">
        <v>8</v>
      </c>
      <c r="G8" s="13" t="s">
        <v>77</v>
      </c>
      <c r="H8" s="13" t="s">
        <v>912</v>
      </c>
      <c r="I8" s="13" t="s">
        <v>913</v>
      </c>
      <c r="J8" s="9"/>
      <c r="K8" s="13">
        <v>2</v>
      </c>
    </row>
    <row r="9" spans="1:11" ht="15" customHeight="1" x14ac:dyDescent="0.2">
      <c r="A9" s="13" t="s">
        <v>914</v>
      </c>
      <c r="B9" s="13" t="s">
        <v>915</v>
      </c>
      <c r="C9" s="13">
        <v>1984</v>
      </c>
      <c r="D9" s="13"/>
      <c r="E9" s="13" t="s">
        <v>916</v>
      </c>
      <c r="F9" s="13">
        <v>6</v>
      </c>
      <c r="G9" s="13" t="s">
        <v>46</v>
      </c>
      <c r="H9" s="13" t="s">
        <v>917</v>
      </c>
      <c r="I9" s="13" t="s">
        <v>918</v>
      </c>
      <c r="J9" s="9" t="s">
        <v>919</v>
      </c>
      <c r="K9" s="13">
        <v>8</v>
      </c>
    </row>
    <row r="10" spans="1:11" ht="15" customHeight="1" x14ac:dyDescent="0.2">
      <c r="A10" s="13" t="s">
        <v>920</v>
      </c>
      <c r="B10" s="13" t="s">
        <v>921</v>
      </c>
      <c r="C10" s="13">
        <v>1973</v>
      </c>
      <c r="D10" s="13" t="s">
        <v>922</v>
      </c>
      <c r="E10" s="13" t="s">
        <v>906</v>
      </c>
      <c r="F10" s="13">
        <v>6.4</v>
      </c>
      <c r="G10" s="13"/>
      <c r="H10" s="13">
        <v>5601</v>
      </c>
      <c r="I10" s="13" t="s">
        <v>923</v>
      </c>
      <c r="J10" s="9" t="s">
        <v>924</v>
      </c>
      <c r="K10" s="13">
        <v>61</v>
      </c>
    </row>
    <row r="11" spans="1:11" ht="15" customHeight="1" x14ac:dyDescent="0.2">
      <c r="A11" s="15" t="s">
        <v>925</v>
      </c>
      <c r="B11" s="15" t="s">
        <v>926</v>
      </c>
      <c r="C11" s="15">
        <v>1972</v>
      </c>
      <c r="D11" s="15" t="s">
        <v>927</v>
      </c>
      <c r="E11" s="15" t="s">
        <v>928</v>
      </c>
      <c r="F11" s="15">
        <v>5.2119999999999997</v>
      </c>
      <c r="G11" s="15" t="s">
        <v>28</v>
      </c>
      <c r="H11" s="15" t="s">
        <v>929</v>
      </c>
      <c r="I11" s="15" t="s">
        <v>930</v>
      </c>
      <c r="J11" s="10"/>
      <c r="K11" s="15">
        <v>27</v>
      </c>
    </row>
    <row r="12" spans="1:11" ht="15" customHeight="1" x14ac:dyDescent="0.2">
      <c r="A12" s="13" t="s">
        <v>931</v>
      </c>
      <c r="B12" s="13" t="s">
        <v>932</v>
      </c>
      <c r="C12" s="13">
        <v>1998</v>
      </c>
      <c r="D12" s="13" t="s">
        <v>933</v>
      </c>
      <c r="E12" s="13" t="s">
        <v>934</v>
      </c>
      <c r="F12" s="13"/>
      <c r="G12" s="13"/>
      <c r="H12" s="13" t="s">
        <v>935</v>
      </c>
      <c r="I12" s="13" t="s">
        <v>936</v>
      </c>
      <c r="J12" s="9" t="s">
        <v>937</v>
      </c>
      <c r="K12" s="13"/>
    </row>
    <row r="13" spans="1:11" ht="15" customHeight="1" x14ac:dyDescent="0.2">
      <c r="A13" s="13" t="s">
        <v>938</v>
      </c>
      <c r="B13" s="13" t="s">
        <v>938</v>
      </c>
      <c r="C13" s="13">
        <v>1978</v>
      </c>
      <c r="D13" s="13" t="s">
        <v>939</v>
      </c>
      <c r="E13" s="13" t="s">
        <v>940</v>
      </c>
      <c r="F13" s="13">
        <v>4.5</v>
      </c>
      <c r="G13" s="13" t="s">
        <v>86</v>
      </c>
      <c r="H13" s="13" t="s">
        <v>941</v>
      </c>
      <c r="I13" s="13" t="s">
        <v>942</v>
      </c>
      <c r="J13" s="9" t="s">
        <v>943</v>
      </c>
      <c r="K13" s="13">
        <v>2</v>
      </c>
    </row>
    <row r="14" spans="1:11" ht="15" customHeight="1" x14ac:dyDescent="0.2">
      <c r="A14" s="13" t="s">
        <v>944</v>
      </c>
      <c r="B14" s="13" t="s">
        <v>945</v>
      </c>
      <c r="C14" s="13">
        <v>1997</v>
      </c>
      <c r="D14" s="13" t="s">
        <v>530</v>
      </c>
      <c r="E14" s="13" t="s">
        <v>946</v>
      </c>
      <c r="F14" s="13">
        <v>6.8390000000000004</v>
      </c>
      <c r="G14" s="13" t="s">
        <v>18</v>
      </c>
      <c r="H14" s="13" t="s">
        <v>947</v>
      </c>
      <c r="I14" s="13" t="s">
        <v>948</v>
      </c>
      <c r="J14" s="9" t="s">
        <v>949</v>
      </c>
      <c r="K14" s="13">
        <v>1263</v>
      </c>
    </row>
    <row r="15" spans="1:11" ht="15" customHeight="1" x14ac:dyDescent="0.2">
      <c r="A15" s="13" t="s">
        <v>950</v>
      </c>
      <c r="B15" s="13" t="s">
        <v>951</v>
      </c>
      <c r="C15" s="13">
        <v>2007</v>
      </c>
      <c r="D15" s="13" t="s">
        <v>952</v>
      </c>
      <c r="E15" s="13" t="s">
        <v>531</v>
      </c>
      <c r="F15" s="13">
        <v>7.2619999999999996</v>
      </c>
      <c r="G15" s="13" t="s">
        <v>18</v>
      </c>
      <c r="H15" s="13" t="s">
        <v>953</v>
      </c>
      <c r="I15" s="13" t="s">
        <v>954</v>
      </c>
      <c r="J15" s="9" t="s">
        <v>955</v>
      </c>
      <c r="K15" s="13">
        <v>4161</v>
      </c>
    </row>
    <row r="16" spans="1:11" ht="15" customHeight="1" x14ac:dyDescent="0.2">
      <c r="A16" s="13" t="s">
        <v>956</v>
      </c>
      <c r="B16" s="13" t="s">
        <v>957</v>
      </c>
      <c r="C16" s="13">
        <v>1991</v>
      </c>
      <c r="D16" s="13" t="s">
        <v>49</v>
      </c>
      <c r="E16" s="13" t="s">
        <v>49</v>
      </c>
      <c r="F16" s="13">
        <v>8.3460000000000001</v>
      </c>
      <c r="G16" s="13" t="s">
        <v>77</v>
      </c>
      <c r="H16" s="13" t="s">
        <v>958</v>
      </c>
      <c r="I16" s="13" t="s">
        <v>959</v>
      </c>
      <c r="J16" s="9" t="s">
        <v>960</v>
      </c>
      <c r="K16" s="13">
        <v>17339</v>
      </c>
    </row>
    <row r="17" spans="1:11" ht="15" customHeight="1" x14ac:dyDescent="0.2">
      <c r="A17" s="13" t="s">
        <v>961</v>
      </c>
      <c r="B17" s="13" t="s">
        <v>962</v>
      </c>
      <c r="C17" s="13">
        <v>1988</v>
      </c>
      <c r="D17" s="13" t="s">
        <v>15</v>
      </c>
      <c r="E17" s="13" t="s">
        <v>963</v>
      </c>
      <c r="F17" s="13">
        <v>6.6920000000000002</v>
      </c>
      <c r="G17" s="13" t="s">
        <v>18</v>
      </c>
      <c r="H17" s="13" t="s">
        <v>964</v>
      </c>
      <c r="I17" s="13" t="s">
        <v>965</v>
      </c>
      <c r="J17" s="9" t="s">
        <v>966</v>
      </c>
      <c r="K17" s="13">
        <v>27</v>
      </c>
    </row>
    <row r="18" spans="1:11" ht="15" customHeight="1" x14ac:dyDescent="0.2">
      <c r="A18" s="13" t="s">
        <v>967</v>
      </c>
      <c r="B18" s="13" t="s">
        <v>968</v>
      </c>
      <c r="C18" s="13">
        <v>1984</v>
      </c>
      <c r="D18" s="13" t="s">
        <v>969</v>
      </c>
      <c r="E18" s="13" t="s">
        <v>970</v>
      </c>
      <c r="F18" s="13">
        <v>6.7</v>
      </c>
      <c r="G18" s="13"/>
      <c r="H18" s="13">
        <v>2669</v>
      </c>
      <c r="I18" s="13" t="s">
        <v>971</v>
      </c>
      <c r="J18" s="9" t="s">
        <v>972</v>
      </c>
      <c r="K18" s="13">
        <v>612</v>
      </c>
    </row>
    <row r="19" spans="1:11" ht="15" customHeight="1" x14ac:dyDescent="0.2">
      <c r="A19" s="13" t="s">
        <v>973</v>
      </c>
      <c r="B19" s="13" t="s">
        <v>973</v>
      </c>
      <c r="C19" s="13">
        <v>2001</v>
      </c>
      <c r="D19" s="13" t="s">
        <v>413</v>
      </c>
      <c r="E19" s="13" t="s">
        <v>974</v>
      </c>
      <c r="F19" s="13">
        <v>6.76</v>
      </c>
      <c r="G19" s="13" t="s">
        <v>18</v>
      </c>
      <c r="H19" s="13" t="s">
        <v>975</v>
      </c>
      <c r="I19" s="13" t="s">
        <v>976</v>
      </c>
      <c r="J19" s="9" t="s">
        <v>977</v>
      </c>
      <c r="K19" s="13">
        <v>594</v>
      </c>
    </row>
    <row r="20" spans="1:11" ht="15" customHeight="1" x14ac:dyDescent="0.2">
      <c r="A20" s="13" t="s">
        <v>978</v>
      </c>
      <c r="B20" s="13" t="s">
        <v>979</v>
      </c>
      <c r="C20" s="13">
        <v>1999</v>
      </c>
      <c r="D20" s="13" t="s">
        <v>980</v>
      </c>
      <c r="E20" s="13" t="s">
        <v>600</v>
      </c>
      <c r="F20" s="13">
        <v>6.492</v>
      </c>
      <c r="G20" s="13" t="s">
        <v>46</v>
      </c>
      <c r="H20" s="13" t="s">
        <v>981</v>
      </c>
      <c r="I20" s="13" t="s">
        <v>982</v>
      </c>
      <c r="J20" s="9" t="s">
        <v>983</v>
      </c>
      <c r="K20" s="13">
        <v>638</v>
      </c>
    </row>
    <row r="21" spans="1:11" ht="15" customHeight="1" x14ac:dyDescent="0.2">
      <c r="A21" s="15" t="s">
        <v>984</v>
      </c>
      <c r="B21" s="15" t="s">
        <v>985</v>
      </c>
      <c r="C21" s="15">
        <v>2015</v>
      </c>
      <c r="D21" s="15" t="s">
        <v>986</v>
      </c>
      <c r="E21" s="15" t="s">
        <v>987</v>
      </c>
      <c r="F21" s="15">
        <v>6.0209999999999999</v>
      </c>
      <c r="G21" s="15" t="s">
        <v>46</v>
      </c>
      <c r="H21" s="15" t="s">
        <v>988</v>
      </c>
      <c r="I21" s="15" t="s">
        <v>989</v>
      </c>
      <c r="J21" s="10" t="s">
        <v>990</v>
      </c>
      <c r="K21" s="15">
        <v>650</v>
      </c>
    </row>
    <row r="22" spans="1:11" ht="15" customHeight="1" x14ac:dyDescent="0.2">
      <c r="A22" s="13" t="s">
        <v>991</v>
      </c>
      <c r="B22" s="13" t="s">
        <v>992</v>
      </c>
      <c r="C22" s="13">
        <v>1994</v>
      </c>
      <c r="D22" s="13" t="s">
        <v>15</v>
      </c>
      <c r="E22" s="13" t="s">
        <v>993</v>
      </c>
      <c r="F22" s="13">
        <v>7.383</v>
      </c>
      <c r="G22" s="13" t="s">
        <v>18</v>
      </c>
      <c r="H22" s="13" t="s">
        <v>994</v>
      </c>
      <c r="I22" s="13" t="s">
        <v>995</v>
      </c>
      <c r="J22" s="9" t="s">
        <v>996</v>
      </c>
      <c r="K22" s="13">
        <v>2757</v>
      </c>
    </row>
    <row r="23" spans="1:11" ht="15" customHeight="1" x14ac:dyDescent="0.2">
      <c r="A23" s="13" t="s">
        <v>997</v>
      </c>
      <c r="B23" s="13" t="s">
        <v>998</v>
      </c>
      <c r="C23" s="13">
        <v>1998</v>
      </c>
      <c r="D23" s="13" t="s">
        <v>15</v>
      </c>
      <c r="E23" s="13" t="s">
        <v>999</v>
      </c>
      <c r="F23" s="13">
        <v>7.3529999999999998</v>
      </c>
      <c r="G23" s="13" t="s">
        <v>18</v>
      </c>
      <c r="H23" s="13" t="s">
        <v>1000</v>
      </c>
      <c r="I23" s="13" t="s">
        <v>1001</v>
      </c>
      <c r="J23" s="9" t="s">
        <v>1002</v>
      </c>
      <c r="K23" s="13">
        <v>5576</v>
      </c>
    </row>
    <row r="24" spans="1:11" ht="15" customHeight="1" x14ac:dyDescent="0.2">
      <c r="A24" s="13" t="s">
        <v>1003</v>
      </c>
      <c r="B24" s="13" t="s">
        <v>1004</v>
      </c>
      <c r="C24" s="13">
        <v>2002</v>
      </c>
      <c r="D24" s="13" t="s">
        <v>1005</v>
      </c>
      <c r="E24" s="13" t="s">
        <v>1006</v>
      </c>
      <c r="F24" s="13">
        <v>7.032</v>
      </c>
      <c r="G24" s="13" t="s">
        <v>18</v>
      </c>
      <c r="H24" s="13" t="s">
        <v>1007</v>
      </c>
      <c r="I24" s="13" t="s">
        <v>1008</v>
      </c>
      <c r="J24" s="9" t="s">
        <v>1009</v>
      </c>
      <c r="K24" s="13">
        <v>4542</v>
      </c>
    </row>
    <row r="25" spans="1:11" ht="15" customHeight="1" x14ac:dyDescent="0.2">
      <c r="A25" s="13" t="s">
        <v>1010</v>
      </c>
      <c r="B25" s="13" t="s">
        <v>1011</v>
      </c>
      <c r="C25" s="13">
        <v>1992</v>
      </c>
      <c r="D25" s="13" t="s">
        <v>1012</v>
      </c>
      <c r="E25" s="13" t="s">
        <v>1013</v>
      </c>
      <c r="F25" s="13">
        <v>5.4</v>
      </c>
      <c r="G25" s="13" t="s">
        <v>28</v>
      </c>
      <c r="H25" s="13" t="s">
        <v>1014</v>
      </c>
      <c r="I25" s="13" t="s">
        <v>1015</v>
      </c>
      <c r="J25" s="9" t="s">
        <v>1016</v>
      </c>
      <c r="K25" s="13">
        <v>36</v>
      </c>
    </row>
    <row r="26" spans="1:11" ht="15" customHeight="1" x14ac:dyDescent="0.2">
      <c r="A26" s="13" t="s">
        <v>1017</v>
      </c>
      <c r="B26" s="13" t="s">
        <v>1017</v>
      </c>
      <c r="C26" s="13">
        <v>2020</v>
      </c>
      <c r="D26" s="13" t="s">
        <v>1018</v>
      </c>
      <c r="E26" s="13" t="s">
        <v>974</v>
      </c>
      <c r="F26" s="13">
        <v>8.0980000000000008</v>
      </c>
      <c r="G26" s="13" t="s">
        <v>77</v>
      </c>
      <c r="H26" s="13" t="s">
        <v>1019</v>
      </c>
      <c r="I26" s="13" t="s">
        <v>1020</v>
      </c>
      <c r="J26" s="9" t="s">
        <v>1021</v>
      </c>
      <c r="K26" s="13">
        <v>3469</v>
      </c>
    </row>
    <row r="27" spans="1:11" ht="15" customHeight="1" x14ac:dyDescent="0.2">
      <c r="A27" s="13" t="s">
        <v>1022</v>
      </c>
      <c r="B27" s="13" t="s">
        <v>1023</v>
      </c>
      <c r="C27" s="13">
        <v>1993</v>
      </c>
      <c r="D27" s="13" t="s">
        <v>969</v>
      </c>
      <c r="E27" s="13" t="s">
        <v>1024</v>
      </c>
      <c r="F27" s="13">
        <v>7.3630000000000004</v>
      </c>
      <c r="G27" s="13" t="s">
        <v>18</v>
      </c>
      <c r="H27" s="13" t="s">
        <v>1025</v>
      </c>
      <c r="I27" s="13" t="s">
        <v>1026</v>
      </c>
      <c r="J27" s="9" t="s">
        <v>1027</v>
      </c>
      <c r="K27" s="13">
        <v>1425</v>
      </c>
    </row>
    <row r="28" spans="1:11" ht="15" customHeight="1" x14ac:dyDescent="0.2">
      <c r="A28" s="13" t="s">
        <v>1028</v>
      </c>
      <c r="B28" s="13" t="s">
        <v>1029</v>
      </c>
      <c r="C28" s="13">
        <v>1992</v>
      </c>
      <c r="D28" s="13" t="s">
        <v>1030</v>
      </c>
      <c r="E28" s="13" t="s">
        <v>1024</v>
      </c>
      <c r="F28" s="13">
        <v>7</v>
      </c>
      <c r="G28" s="13" t="s">
        <v>18</v>
      </c>
      <c r="H28" s="13" t="s">
        <v>1031</v>
      </c>
      <c r="I28" s="13" t="s">
        <v>1032</v>
      </c>
      <c r="J28" s="9" t="s">
        <v>1033</v>
      </c>
      <c r="K28" s="13">
        <v>576</v>
      </c>
    </row>
    <row r="29" spans="1:11" ht="15" customHeight="1" x14ac:dyDescent="0.2">
      <c r="A29" s="13" t="s">
        <v>1034</v>
      </c>
      <c r="B29" s="13" t="s">
        <v>1035</v>
      </c>
      <c r="C29" s="13">
        <v>2000</v>
      </c>
      <c r="D29" s="13" t="s">
        <v>560</v>
      </c>
      <c r="E29" s="13" t="s">
        <v>1036</v>
      </c>
      <c r="F29" s="13">
        <v>6</v>
      </c>
      <c r="G29" s="13" t="s">
        <v>46</v>
      </c>
      <c r="H29" s="13" t="s">
        <v>1037</v>
      </c>
      <c r="I29" s="13" t="s">
        <v>1038</v>
      </c>
      <c r="J29" s="9"/>
      <c r="K29" s="13">
        <v>48</v>
      </c>
    </row>
    <row r="30" spans="1:11" ht="15" customHeight="1" x14ac:dyDescent="0.2">
      <c r="A30" s="13" t="s">
        <v>1039</v>
      </c>
      <c r="B30" s="13" t="s">
        <v>1039</v>
      </c>
      <c r="C30" s="13">
        <v>1963</v>
      </c>
      <c r="D30" s="13" t="s">
        <v>413</v>
      </c>
      <c r="E30" s="13" t="s">
        <v>1040</v>
      </c>
      <c r="F30" s="13">
        <v>7.665</v>
      </c>
      <c r="G30" s="13" t="s">
        <v>77</v>
      </c>
      <c r="H30" s="13" t="s">
        <v>1041</v>
      </c>
      <c r="I30" s="13" t="s">
        <v>1042</v>
      </c>
      <c r="J30" s="9" t="s">
        <v>1043</v>
      </c>
      <c r="K30" s="13">
        <v>1476</v>
      </c>
    </row>
    <row r="31" spans="1:11" ht="15" customHeight="1" x14ac:dyDescent="0.2">
      <c r="A31" s="15" t="s">
        <v>1044</v>
      </c>
      <c r="B31" s="15" t="s">
        <v>1045</v>
      </c>
      <c r="C31" s="15">
        <v>1953</v>
      </c>
      <c r="D31" s="15" t="s">
        <v>15</v>
      </c>
      <c r="E31" s="15" t="s">
        <v>1046</v>
      </c>
      <c r="F31" s="15">
        <v>7.8869999999999996</v>
      </c>
      <c r="G31" s="15" t="s">
        <v>77</v>
      </c>
      <c r="H31" s="15" t="s">
        <v>1047</v>
      </c>
      <c r="I31" s="15" t="s">
        <v>1048</v>
      </c>
      <c r="J31" s="10" t="s">
        <v>1049</v>
      </c>
      <c r="K31" s="15">
        <v>2182</v>
      </c>
    </row>
    <row r="32" spans="1:11" ht="15" customHeight="1" x14ac:dyDescent="0.2">
      <c r="A32" s="13" t="s">
        <v>1050</v>
      </c>
      <c r="B32" s="13" t="s">
        <v>1051</v>
      </c>
      <c r="C32" s="13">
        <v>1957</v>
      </c>
      <c r="D32" s="13" t="s">
        <v>15</v>
      </c>
      <c r="E32" s="13" t="s">
        <v>1052</v>
      </c>
      <c r="F32" s="13">
        <v>6.9509999999999996</v>
      </c>
      <c r="G32" s="13" t="s">
        <v>18</v>
      </c>
      <c r="H32" s="13" t="s">
        <v>1053</v>
      </c>
      <c r="I32" s="13" t="s">
        <v>1054</v>
      </c>
      <c r="J32" s="9" t="s">
        <v>1055</v>
      </c>
      <c r="K32" s="13">
        <v>123</v>
      </c>
    </row>
    <row r="33" spans="1:11" ht="15" customHeight="1" x14ac:dyDescent="0.2">
      <c r="A33" s="13" t="s">
        <v>1056</v>
      </c>
      <c r="B33" s="13" t="s">
        <v>1057</v>
      </c>
      <c r="C33" s="13">
        <v>1956</v>
      </c>
      <c r="D33" s="13" t="s">
        <v>1058</v>
      </c>
      <c r="E33" s="13" t="s">
        <v>881</v>
      </c>
      <c r="F33" s="13">
        <v>6.7</v>
      </c>
      <c r="G33" s="13" t="s">
        <v>18</v>
      </c>
      <c r="H33" s="13" t="s">
        <v>1059</v>
      </c>
      <c r="I33" s="13" t="s">
        <v>1060</v>
      </c>
      <c r="J33" s="9" t="s">
        <v>1061</v>
      </c>
      <c r="K33" s="13">
        <v>255</v>
      </c>
    </row>
    <row r="34" spans="1:11" ht="15" customHeight="1" x14ac:dyDescent="0.2">
      <c r="A34" s="13" t="s">
        <v>1062</v>
      </c>
      <c r="B34" s="13" t="s">
        <v>1063</v>
      </c>
      <c r="C34" s="13">
        <v>1976</v>
      </c>
      <c r="D34" s="13" t="s">
        <v>15</v>
      </c>
      <c r="E34" s="13" t="s">
        <v>1064</v>
      </c>
      <c r="F34" s="13">
        <v>6.32</v>
      </c>
      <c r="G34" s="13" t="s">
        <v>46</v>
      </c>
      <c r="H34" s="13" t="s">
        <v>1065</v>
      </c>
      <c r="I34" s="13" t="s">
        <v>1066</v>
      </c>
      <c r="J34" s="9" t="s">
        <v>1067</v>
      </c>
      <c r="K34" s="13">
        <v>256</v>
      </c>
    </row>
    <row r="35" spans="1:11" ht="15" customHeight="1" x14ac:dyDescent="0.2">
      <c r="A35" s="13" t="s">
        <v>1068</v>
      </c>
      <c r="B35" s="13" t="s">
        <v>1068</v>
      </c>
      <c r="C35" s="13">
        <v>1954</v>
      </c>
      <c r="D35" s="13" t="s">
        <v>413</v>
      </c>
      <c r="E35" s="13" t="s">
        <v>1069</v>
      </c>
      <c r="F35" s="13">
        <v>7.5</v>
      </c>
      <c r="G35" s="13" t="s">
        <v>77</v>
      </c>
      <c r="H35" s="13" t="s">
        <v>1070</v>
      </c>
      <c r="I35" s="13" t="s">
        <v>1071</v>
      </c>
      <c r="J35" s="9" t="s">
        <v>1072</v>
      </c>
      <c r="K35" s="13">
        <v>1306</v>
      </c>
    </row>
    <row r="36" spans="1:11" ht="15" customHeight="1" x14ac:dyDescent="0.2">
      <c r="A36" s="13" t="s">
        <v>1073</v>
      </c>
      <c r="B36" s="13" t="s">
        <v>1074</v>
      </c>
      <c r="C36" s="13">
        <v>1955</v>
      </c>
      <c r="D36" s="13" t="s">
        <v>969</v>
      </c>
      <c r="E36" s="13" t="s">
        <v>1024</v>
      </c>
      <c r="F36" s="13">
        <v>6.8</v>
      </c>
      <c r="G36" s="13" t="s">
        <v>18</v>
      </c>
      <c r="H36" s="13" t="s">
        <v>1075</v>
      </c>
      <c r="I36" s="13" t="s">
        <v>1076</v>
      </c>
      <c r="J36" s="9" t="s">
        <v>1077</v>
      </c>
      <c r="K36" s="13">
        <v>160</v>
      </c>
    </row>
    <row r="37" spans="1:11" ht="15" customHeight="1" x14ac:dyDescent="0.2">
      <c r="A37" s="13" t="s">
        <v>1078</v>
      </c>
      <c r="B37" s="13" t="s">
        <v>1079</v>
      </c>
      <c r="C37" s="13">
        <v>1967</v>
      </c>
      <c r="D37" s="13" t="s">
        <v>15</v>
      </c>
      <c r="E37" s="13" t="s">
        <v>1080</v>
      </c>
      <c r="F37" s="13">
        <v>7.3</v>
      </c>
      <c r="G37" s="13" t="s">
        <v>18</v>
      </c>
      <c r="H37" s="13" t="s">
        <v>1081</v>
      </c>
      <c r="I37" s="13" t="s">
        <v>1082</v>
      </c>
      <c r="J37" s="9" t="s">
        <v>1083</v>
      </c>
      <c r="K37" s="13">
        <v>570</v>
      </c>
    </row>
    <row r="38" spans="1:11" ht="15" customHeight="1" x14ac:dyDescent="0.2">
      <c r="A38" s="13" t="s">
        <v>1084</v>
      </c>
      <c r="B38" s="13" t="s">
        <v>1084</v>
      </c>
      <c r="C38" s="13">
        <v>1951</v>
      </c>
      <c r="D38" s="13" t="s">
        <v>939</v>
      </c>
      <c r="E38" s="13" t="s">
        <v>934</v>
      </c>
      <c r="F38" s="13">
        <v>6.4</v>
      </c>
      <c r="G38" s="13" t="s">
        <v>46</v>
      </c>
      <c r="H38" s="13" t="s">
        <v>1085</v>
      </c>
      <c r="I38" s="13" t="s">
        <v>1086</v>
      </c>
      <c r="J38" s="9" t="s">
        <v>1087</v>
      </c>
      <c r="K38" s="13">
        <v>31</v>
      </c>
    </row>
    <row r="39" spans="1:11" ht="15" customHeight="1" x14ac:dyDescent="0.2">
      <c r="A39" s="13" t="s">
        <v>1088</v>
      </c>
      <c r="B39" s="13" t="s">
        <v>1089</v>
      </c>
      <c r="C39" s="13">
        <v>1966</v>
      </c>
      <c r="D39" s="13" t="s">
        <v>15</v>
      </c>
      <c r="E39" s="13" t="s">
        <v>1090</v>
      </c>
      <c r="F39" s="13">
        <v>7.5049999999999999</v>
      </c>
      <c r="G39" s="13" t="s">
        <v>77</v>
      </c>
      <c r="H39" s="13" t="s">
        <v>1091</v>
      </c>
      <c r="I39" s="13" t="s">
        <v>1092</v>
      </c>
      <c r="J39" s="9" t="s">
        <v>1093</v>
      </c>
      <c r="K39" s="13">
        <v>634</v>
      </c>
    </row>
    <row r="40" spans="1:11" ht="15" customHeight="1" x14ac:dyDescent="0.2">
      <c r="A40" s="13" t="s">
        <v>1094</v>
      </c>
      <c r="B40" s="13" t="s">
        <v>1095</v>
      </c>
      <c r="C40" s="13">
        <v>1964</v>
      </c>
      <c r="D40" s="13" t="s">
        <v>15</v>
      </c>
      <c r="E40" s="13" t="s">
        <v>1096</v>
      </c>
      <c r="F40" s="13">
        <v>6.3</v>
      </c>
      <c r="G40" s="13" t="s">
        <v>46</v>
      </c>
      <c r="H40" s="13" t="s">
        <v>1097</v>
      </c>
      <c r="I40" s="13" t="s">
        <v>1098</v>
      </c>
      <c r="J40" s="9" t="s">
        <v>1099</v>
      </c>
      <c r="K40" s="13">
        <v>189</v>
      </c>
    </row>
    <row r="41" spans="1:11" ht="15" customHeight="1" x14ac:dyDescent="0.2">
      <c r="A41" s="15" t="s">
        <v>1100</v>
      </c>
      <c r="B41" s="15" t="s">
        <v>1101</v>
      </c>
      <c r="C41" s="15">
        <v>2018</v>
      </c>
      <c r="D41" s="15" t="s">
        <v>49</v>
      </c>
      <c r="E41" s="15" t="s">
        <v>399</v>
      </c>
      <c r="F41" s="15">
        <v>6.6</v>
      </c>
      <c r="G41" s="15" t="s">
        <v>18</v>
      </c>
      <c r="H41" s="15" t="s">
        <v>1102</v>
      </c>
      <c r="I41" s="15" t="s">
        <v>1103</v>
      </c>
      <c r="J41" s="10"/>
      <c r="K41" s="15">
        <v>75</v>
      </c>
    </row>
    <row r="42" spans="1:11" ht="15" customHeight="1" x14ac:dyDescent="0.2">
      <c r="A42" s="13" t="s">
        <v>1104</v>
      </c>
      <c r="B42" s="13" t="s">
        <v>1104</v>
      </c>
      <c r="C42" s="13">
        <v>2006</v>
      </c>
      <c r="D42" s="13" t="s">
        <v>1105</v>
      </c>
      <c r="E42" s="13" t="s">
        <v>484</v>
      </c>
      <c r="F42" s="13">
        <v>6.4470000000000001</v>
      </c>
      <c r="G42" s="13" t="s">
        <v>46</v>
      </c>
      <c r="H42" s="13" t="s">
        <v>1106</v>
      </c>
      <c r="I42" s="13" t="s">
        <v>1107</v>
      </c>
      <c r="J42" s="9" t="s">
        <v>1108</v>
      </c>
      <c r="K42" s="13">
        <v>2028</v>
      </c>
    </row>
    <row r="43" spans="1:11" ht="15" customHeight="1" x14ac:dyDescent="0.2">
      <c r="A43" s="13" t="s">
        <v>1109</v>
      </c>
      <c r="B43" s="13" t="s">
        <v>1110</v>
      </c>
      <c r="C43" s="13">
        <v>1999</v>
      </c>
      <c r="D43" s="13" t="s">
        <v>530</v>
      </c>
      <c r="E43" s="13" t="s">
        <v>1111</v>
      </c>
      <c r="F43" s="13">
        <v>6.0460000000000003</v>
      </c>
      <c r="G43" s="13" t="s">
        <v>46</v>
      </c>
      <c r="H43" s="13" t="s">
        <v>1112</v>
      </c>
      <c r="I43" s="13" t="s">
        <v>1113</v>
      </c>
      <c r="J43" s="9" t="s">
        <v>1114</v>
      </c>
      <c r="K43" s="13">
        <v>340</v>
      </c>
    </row>
    <row r="44" spans="1:11" ht="15" customHeight="1" x14ac:dyDescent="0.2">
      <c r="A44" s="13" t="s">
        <v>1115</v>
      </c>
      <c r="B44" s="13" t="s">
        <v>1116</v>
      </c>
      <c r="C44" s="13">
        <v>2001</v>
      </c>
      <c r="D44" s="13" t="s">
        <v>530</v>
      </c>
      <c r="E44" s="13" t="s">
        <v>1117</v>
      </c>
      <c r="F44" s="13">
        <v>6.298</v>
      </c>
      <c r="G44" s="13" t="s">
        <v>46</v>
      </c>
      <c r="H44" s="13" t="s">
        <v>1118</v>
      </c>
      <c r="I44" s="13" t="s">
        <v>1119</v>
      </c>
      <c r="J44" s="9" t="s">
        <v>1120</v>
      </c>
      <c r="K44" s="13">
        <v>1066</v>
      </c>
    </row>
    <row r="45" spans="1:11" ht="15" customHeight="1" x14ac:dyDescent="0.2">
      <c r="A45" s="13" t="s">
        <v>1121</v>
      </c>
      <c r="B45" s="13" t="s">
        <v>1122</v>
      </c>
      <c r="C45" s="13">
        <v>1987</v>
      </c>
      <c r="D45" s="13" t="s">
        <v>15</v>
      </c>
      <c r="E45" s="13" t="s">
        <v>1052</v>
      </c>
      <c r="F45" s="13">
        <v>5.9870000000000001</v>
      </c>
      <c r="G45" s="13" t="s">
        <v>46</v>
      </c>
      <c r="H45" s="13" t="s">
        <v>1123</v>
      </c>
      <c r="I45" s="13" t="s">
        <v>1124</v>
      </c>
      <c r="J45" s="9" t="s">
        <v>1125</v>
      </c>
      <c r="K45" s="13">
        <v>518</v>
      </c>
    </row>
    <row r="46" spans="1:11" ht="15" customHeight="1" x14ac:dyDescent="0.2">
      <c r="A46" s="13" t="s">
        <v>1126</v>
      </c>
      <c r="B46" s="13" t="s">
        <v>1127</v>
      </c>
      <c r="C46" s="13">
        <v>1998</v>
      </c>
      <c r="D46" s="13" t="s">
        <v>15</v>
      </c>
      <c r="E46" s="13" t="s">
        <v>1128</v>
      </c>
      <c r="F46" s="13">
        <v>6.2880000000000003</v>
      </c>
      <c r="G46" s="13" t="s">
        <v>46</v>
      </c>
      <c r="H46" s="13" t="s">
        <v>1129</v>
      </c>
      <c r="I46" s="13" t="s">
        <v>1130</v>
      </c>
      <c r="J46" s="9" t="s">
        <v>1131</v>
      </c>
      <c r="K46" s="13">
        <v>1600</v>
      </c>
    </row>
    <row r="47" spans="1:11" ht="15" customHeight="1" x14ac:dyDescent="0.2">
      <c r="A47" s="13" t="s">
        <v>570</v>
      </c>
      <c r="B47" s="13" t="s">
        <v>571</v>
      </c>
      <c r="C47" s="13">
        <v>1991</v>
      </c>
      <c r="D47" s="13" t="s">
        <v>15</v>
      </c>
      <c r="E47" s="13" t="s">
        <v>259</v>
      </c>
      <c r="F47" s="13">
        <v>6.8339999999999996</v>
      </c>
      <c r="G47" s="13" t="s">
        <v>18</v>
      </c>
      <c r="H47" s="13" t="s">
        <v>572</v>
      </c>
      <c r="I47" s="13" t="s">
        <v>573</v>
      </c>
      <c r="J47" s="9" t="s">
        <v>574</v>
      </c>
      <c r="K47" s="13">
        <v>2051</v>
      </c>
    </row>
    <row r="48" spans="1:11" ht="15" customHeight="1" x14ac:dyDescent="0.2">
      <c r="A48" s="13" t="s">
        <v>1132</v>
      </c>
      <c r="B48" s="13" t="s">
        <v>1133</v>
      </c>
      <c r="C48" s="13">
        <v>1994</v>
      </c>
      <c r="D48" s="13" t="s">
        <v>15</v>
      </c>
      <c r="E48" s="13" t="s">
        <v>1134</v>
      </c>
      <c r="F48" s="13">
        <v>6.8</v>
      </c>
      <c r="G48" s="13" t="s">
        <v>18</v>
      </c>
      <c r="H48" s="13" t="s">
        <v>1135</v>
      </c>
      <c r="I48" s="13" t="s">
        <v>1136</v>
      </c>
      <c r="J48" s="9" t="s">
        <v>1137</v>
      </c>
      <c r="K48" s="13">
        <v>326</v>
      </c>
    </row>
    <row r="49" spans="1:11" ht="15" customHeight="1" x14ac:dyDescent="0.2">
      <c r="A49" s="13" t="s">
        <v>1138</v>
      </c>
      <c r="B49" s="13" t="s">
        <v>1138</v>
      </c>
      <c r="C49" s="13">
        <v>2005</v>
      </c>
      <c r="D49" s="13" t="s">
        <v>413</v>
      </c>
      <c r="E49" s="13" t="s">
        <v>675</v>
      </c>
      <c r="F49" s="13">
        <v>7.46</v>
      </c>
      <c r="G49" s="13" t="s">
        <v>18</v>
      </c>
      <c r="H49" s="13" t="s">
        <v>1139</v>
      </c>
      <c r="I49" s="13" t="s">
        <v>1140</v>
      </c>
      <c r="J49" s="9" t="s">
        <v>1141</v>
      </c>
      <c r="K49" s="13">
        <v>8571</v>
      </c>
    </row>
    <row r="50" spans="1:11" ht="15" customHeight="1" x14ac:dyDescent="0.2">
      <c r="A50" s="13" t="s">
        <v>1142</v>
      </c>
      <c r="B50" s="13" t="s">
        <v>1142</v>
      </c>
      <c r="C50" s="13">
        <v>2010</v>
      </c>
      <c r="D50" s="13" t="s">
        <v>1143</v>
      </c>
      <c r="E50" s="13" t="s">
        <v>648</v>
      </c>
      <c r="F50" s="13">
        <v>6.2469999999999999</v>
      </c>
      <c r="G50" s="13" t="s">
        <v>46</v>
      </c>
      <c r="H50" s="13" t="s">
        <v>1144</v>
      </c>
      <c r="I50" s="13" t="s">
        <v>1145</v>
      </c>
      <c r="J50" s="9" t="s">
        <v>1146</v>
      </c>
      <c r="K50" s="13">
        <v>8077</v>
      </c>
    </row>
    <row r="51" spans="1:11" ht="15" customHeight="1" x14ac:dyDescent="0.2">
      <c r="A51" s="15" t="s">
        <v>1147</v>
      </c>
      <c r="B51" s="15" t="s">
        <v>1148</v>
      </c>
      <c r="C51" s="15">
        <v>1991</v>
      </c>
      <c r="D51" s="15" t="s">
        <v>530</v>
      </c>
      <c r="E51" s="15" t="s">
        <v>531</v>
      </c>
      <c r="F51" s="15">
        <v>5</v>
      </c>
      <c r="G51" s="15" t="s">
        <v>28</v>
      </c>
      <c r="H51" s="15" t="s">
        <v>1149</v>
      </c>
      <c r="I51" s="15" t="s">
        <v>1150</v>
      </c>
      <c r="J51" s="10" t="s">
        <v>1151</v>
      </c>
      <c r="K51" s="15">
        <v>1</v>
      </c>
    </row>
    <row r="52" spans="1:11" ht="15" customHeight="1" x14ac:dyDescent="0.2">
      <c r="A52" s="13" t="s">
        <v>1152</v>
      </c>
      <c r="B52" s="13" t="s">
        <v>1153</v>
      </c>
      <c r="C52" s="13">
        <v>1993</v>
      </c>
      <c r="D52" s="13" t="s">
        <v>15</v>
      </c>
      <c r="E52" s="13" t="s">
        <v>1154</v>
      </c>
      <c r="F52" s="13">
        <v>5.8460000000000001</v>
      </c>
      <c r="G52" s="13" t="s">
        <v>46</v>
      </c>
      <c r="H52" s="13" t="s">
        <v>1155</v>
      </c>
      <c r="I52" s="13" t="s">
        <v>1156</v>
      </c>
      <c r="J52" s="9" t="s">
        <v>1157</v>
      </c>
      <c r="K52" s="13">
        <v>865</v>
      </c>
    </row>
    <row r="53" spans="1:11" ht="15" customHeight="1" x14ac:dyDescent="0.2">
      <c r="A53" s="13" t="s">
        <v>1158</v>
      </c>
      <c r="B53" s="13" t="s">
        <v>1159</v>
      </c>
      <c r="C53" s="13">
        <v>2005</v>
      </c>
      <c r="D53" s="13" t="s">
        <v>519</v>
      </c>
      <c r="E53" s="13" t="s">
        <v>946</v>
      </c>
      <c r="F53" s="13"/>
      <c r="G53" s="13"/>
      <c r="H53" s="13" t="s">
        <v>1160</v>
      </c>
      <c r="I53" s="13" t="s">
        <v>1161</v>
      </c>
      <c r="J53" s="9"/>
      <c r="K53" s="13"/>
    </row>
    <row r="54" spans="1:11" ht="15" customHeight="1" x14ac:dyDescent="0.2">
      <c r="A54" s="13" t="s">
        <v>1162</v>
      </c>
      <c r="B54" s="13" t="s">
        <v>1162</v>
      </c>
      <c r="C54" s="13">
        <v>1948</v>
      </c>
      <c r="D54" s="13" t="s">
        <v>1163</v>
      </c>
      <c r="E54" s="13" t="s">
        <v>566</v>
      </c>
      <c r="F54" s="13">
        <v>0</v>
      </c>
      <c r="G54" s="13"/>
      <c r="H54" s="13" t="s">
        <v>1164</v>
      </c>
      <c r="I54" s="13" t="s">
        <v>1165</v>
      </c>
      <c r="J54" s="9" t="s">
        <v>1166</v>
      </c>
      <c r="K54" s="13">
        <v>0</v>
      </c>
    </row>
    <row r="55" spans="1:11" ht="15" customHeight="1" x14ac:dyDescent="0.2">
      <c r="A55" s="13" t="s">
        <v>1167</v>
      </c>
      <c r="B55" s="13" t="s">
        <v>1168</v>
      </c>
      <c r="C55" s="13">
        <v>1948</v>
      </c>
      <c r="D55" s="13" t="s">
        <v>15</v>
      </c>
      <c r="E55" s="13" t="s">
        <v>1169</v>
      </c>
      <c r="F55" s="13">
        <v>6.7</v>
      </c>
      <c r="G55" s="13" t="s">
        <v>18</v>
      </c>
      <c r="H55" s="13" t="s">
        <v>1170</v>
      </c>
      <c r="I55" s="13" t="s">
        <v>1171</v>
      </c>
      <c r="J55" s="9" t="s">
        <v>1172</v>
      </c>
      <c r="K55" s="13">
        <v>195</v>
      </c>
    </row>
    <row r="56" spans="1:11" ht="15" customHeight="1" x14ac:dyDescent="0.2">
      <c r="A56" s="13" t="s">
        <v>1173</v>
      </c>
      <c r="B56" s="13" t="s">
        <v>1174</v>
      </c>
      <c r="C56" s="13">
        <v>1956</v>
      </c>
      <c r="D56" s="13" t="s">
        <v>530</v>
      </c>
      <c r="E56" s="13" t="s">
        <v>934</v>
      </c>
      <c r="F56" s="13">
        <v>6.2</v>
      </c>
      <c r="G56" s="13" t="s">
        <v>46</v>
      </c>
      <c r="H56" s="13" t="s">
        <v>1175</v>
      </c>
      <c r="I56" s="13" t="s">
        <v>49</v>
      </c>
      <c r="J56" s="9" t="s">
        <v>1176</v>
      </c>
      <c r="K56" s="13">
        <v>93</v>
      </c>
    </row>
    <row r="57" spans="1:11" ht="15" customHeight="1" x14ac:dyDescent="0.2">
      <c r="A57" s="13" t="s">
        <v>1177</v>
      </c>
      <c r="B57" s="13" t="s">
        <v>1178</v>
      </c>
      <c r="C57" s="13">
        <v>2017</v>
      </c>
      <c r="D57" s="13" t="s">
        <v>1179</v>
      </c>
      <c r="E57" s="13" t="s">
        <v>1180</v>
      </c>
      <c r="F57" s="13">
        <v>6.585</v>
      </c>
      <c r="G57" s="13" t="s">
        <v>18</v>
      </c>
      <c r="H57" s="13" t="s">
        <v>1181</v>
      </c>
      <c r="I57" s="13" t="s">
        <v>1182</v>
      </c>
      <c r="J57" s="9" t="s">
        <v>1183</v>
      </c>
      <c r="K57" s="13">
        <v>41</v>
      </c>
    </row>
    <row r="58" spans="1:11" ht="15" customHeight="1" x14ac:dyDescent="0.2">
      <c r="A58" s="13" t="s">
        <v>1184</v>
      </c>
      <c r="B58" s="13" t="s">
        <v>1185</v>
      </c>
      <c r="C58" s="13">
        <v>1941</v>
      </c>
      <c r="D58" s="13" t="s">
        <v>15</v>
      </c>
      <c r="E58" s="13" t="s">
        <v>1024</v>
      </c>
      <c r="F58" s="13">
        <v>6.556</v>
      </c>
      <c r="G58" s="13" t="s">
        <v>18</v>
      </c>
      <c r="H58" s="13" t="s">
        <v>1186</v>
      </c>
      <c r="I58" s="13" t="s">
        <v>1187</v>
      </c>
      <c r="J58" s="9" t="s">
        <v>1188</v>
      </c>
      <c r="K58" s="13">
        <v>117</v>
      </c>
    </row>
    <row r="59" spans="1:11" ht="15" customHeight="1" x14ac:dyDescent="0.2">
      <c r="A59" s="13" t="s">
        <v>1189</v>
      </c>
      <c r="B59" s="13" t="s">
        <v>1190</v>
      </c>
      <c r="C59" s="13">
        <v>1946</v>
      </c>
      <c r="D59" s="13" t="s">
        <v>15</v>
      </c>
      <c r="E59" s="13" t="s">
        <v>1191</v>
      </c>
      <c r="F59" s="13">
        <v>7.75</v>
      </c>
      <c r="G59" s="13" t="s">
        <v>77</v>
      </c>
      <c r="H59" s="13" t="s">
        <v>1192</v>
      </c>
      <c r="I59" s="13" t="s">
        <v>1193</v>
      </c>
      <c r="J59" s="9" t="s">
        <v>1194</v>
      </c>
      <c r="K59" s="13">
        <v>1687</v>
      </c>
    </row>
    <row r="60" spans="1:11" ht="15" customHeight="1" x14ac:dyDescent="0.2">
      <c r="A60" s="13" t="s">
        <v>1195</v>
      </c>
      <c r="B60" s="13" t="s">
        <v>1178</v>
      </c>
      <c r="C60" s="13">
        <v>2017</v>
      </c>
      <c r="D60" s="13" t="s">
        <v>927</v>
      </c>
      <c r="E60" s="13" t="s">
        <v>1196</v>
      </c>
      <c r="F60" s="13">
        <v>6.585</v>
      </c>
      <c r="G60" s="13" t="s">
        <v>18</v>
      </c>
      <c r="H60" s="13" t="s">
        <v>1181</v>
      </c>
      <c r="I60" s="13" t="s">
        <v>1197</v>
      </c>
      <c r="J60" s="9" t="s">
        <v>1183</v>
      </c>
      <c r="K60" s="13">
        <v>41</v>
      </c>
    </row>
    <row r="61" spans="1:11" ht="15" customHeight="1" x14ac:dyDescent="0.2">
      <c r="A61" s="15" t="s">
        <v>1039</v>
      </c>
      <c r="B61" s="15" t="s">
        <v>1039</v>
      </c>
      <c r="C61" s="15">
        <v>1963</v>
      </c>
      <c r="D61" s="15" t="s">
        <v>413</v>
      </c>
      <c r="E61" s="15" t="s">
        <v>1040</v>
      </c>
      <c r="F61" s="15">
        <v>7.665</v>
      </c>
      <c r="G61" s="15" t="s">
        <v>77</v>
      </c>
      <c r="H61" s="15" t="s">
        <v>1041</v>
      </c>
      <c r="I61" s="15" t="s">
        <v>1042</v>
      </c>
      <c r="J61" s="10" t="s">
        <v>1043</v>
      </c>
      <c r="K61" s="15">
        <v>1476</v>
      </c>
    </row>
    <row r="62" spans="1:11" ht="15" customHeight="1" x14ac:dyDescent="0.2">
      <c r="A62" s="13" t="s">
        <v>1198</v>
      </c>
      <c r="B62" s="13" t="s">
        <v>1199</v>
      </c>
      <c r="C62" s="13">
        <v>1964</v>
      </c>
      <c r="D62" s="13" t="s">
        <v>15</v>
      </c>
      <c r="E62" s="13" t="s">
        <v>1200</v>
      </c>
      <c r="F62" s="13">
        <v>7.0419999999999998</v>
      </c>
      <c r="G62" s="13" t="s">
        <v>18</v>
      </c>
      <c r="H62" s="13" t="s">
        <v>1201</v>
      </c>
      <c r="I62" s="13" t="s">
        <v>1202</v>
      </c>
      <c r="J62" s="9" t="s">
        <v>1203</v>
      </c>
      <c r="K62" s="13">
        <v>191</v>
      </c>
    </row>
    <row r="63" spans="1:11" ht="15" customHeight="1" x14ac:dyDescent="0.2">
      <c r="A63" s="13" t="s">
        <v>1204</v>
      </c>
      <c r="B63" s="13" t="s">
        <v>1205</v>
      </c>
      <c r="C63" s="13">
        <v>1959</v>
      </c>
      <c r="D63" s="13" t="s">
        <v>15</v>
      </c>
      <c r="E63" s="13" t="s">
        <v>1206</v>
      </c>
      <c r="F63" s="13">
        <v>7.98</v>
      </c>
      <c r="G63" s="13" t="s">
        <v>77</v>
      </c>
      <c r="H63" s="13" t="s">
        <v>1207</v>
      </c>
      <c r="I63" s="13" t="s">
        <v>1208</v>
      </c>
      <c r="J63" s="9" t="s">
        <v>1209</v>
      </c>
      <c r="K63" s="13">
        <v>4345</v>
      </c>
    </row>
    <row r="64" spans="1:11" ht="15" customHeight="1" x14ac:dyDescent="0.2">
      <c r="A64" s="13" t="s">
        <v>1210</v>
      </c>
      <c r="B64" s="13" t="s">
        <v>1211</v>
      </c>
      <c r="C64" s="13">
        <v>1957</v>
      </c>
      <c r="D64" s="13" t="s">
        <v>15</v>
      </c>
      <c r="E64" s="13" t="s">
        <v>1024</v>
      </c>
      <c r="F64" s="13">
        <v>7.3520000000000003</v>
      </c>
      <c r="G64" s="13" t="s">
        <v>18</v>
      </c>
      <c r="H64" s="13" t="s">
        <v>1212</v>
      </c>
      <c r="I64" s="13" t="s">
        <v>1213</v>
      </c>
      <c r="J64" s="9" t="s">
        <v>1214</v>
      </c>
      <c r="K64" s="13">
        <v>493</v>
      </c>
    </row>
    <row r="65" spans="1:11" ht="15" customHeight="1" x14ac:dyDescent="0.2">
      <c r="A65" s="13" t="s">
        <v>1215</v>
      </c>
      <c r="B65" s="13" t="s">
        <v>1216</v>
      </c>
      <c r="C65" s="13">
        <v>1941</v>
      </c>
      <c r="D65" s="13" t="s">
        <v>15</v>
      </c>
      <c r="E65" s="13" t="s">
        <v>1052</v>
      </c>
      <c r="F65" s="13">
        <v>7.6</v>
      </c>
      <c r="G65" s="13" t="s">
        <v>77</v>
      </c>
      <c r="H65" s="13" t="s">
        <v>1217</v>
      </c>
      <c r="I65" s="13" t="s">
        <v>1218</v>
      </c>
      <c r="J65" s="9" t="s">
        <v>1219</v>
      </c>
      <c r="K65" s="13">
        <v>935</v>
      </c>
    </row>
    <row r="66" spans="1:11" ht="15" customHeight="1" x14ac:dyDescent="0.2">
      <c r="A66" s="13" t="s">
        <v>1220</v>
      </c>
      <c r="B66" s="13" t="s">
        <v>1221</v>
      </c>
      <c r="C66" s="13">
        <v>1953</v>
      </c>
      <c r="D66" s="13" t="s">
        <v>15</v>
      </c>
      <c r="E66" s="13" t="s">
        <v>1052</v>
      </c>
      <c r="F66" s="13">
        <v>5.327</v>
      </c>
      <c r="G66" s="13" t="s">
        <v>28</v>
      </c>
      <c r="H66" s="13" t="s">
        <v>1222</v>
      </c>
      <c r="I66" s="13" t="s">
        <v>1223</v>
      </c>
      <c r="J66" s="9" t="s">
        <v>1224</v>
      </c>
      <c r="K66" s="13">
        <v>26</v>
      </c>
    </row>
    <row r="67" spans="1:11" ht="15" customHeight="1" x14ac:dyDescent="0.2">
      <c r="A67" s="13" t="s">
        <v>1225</v>
      </c>
      <c r="B67" s="13" t="s">
        <v>1226</v>
      </c>
      <c r="C67" s="13">
        <v>1950</v>
      </c>
      <c r="D67" s="13" t="s">
        <v>15</v>
      </c>
      <c r="E67" s="13" t="s">
        <v>1227</v>
      </c>
      <c r="F67" s="13">
        <v>6.5960000000000001</v>
      </c>
      <c r="G67" s="13" t="s">
        <v>18</v>
      </c>
      <c r="H67" s="13" t="s">
        <v>1228</v>
      </c>
      <c r="I67" s="13" t="s">
        <v>1229</v>
      </c>
      <c r="J67" s="9" t="s">
        <v>1230</v>
      </c>
      <c r="K67" s="13">
        <v>26</v>
      </c>
    </row>
    <row r="68" spans="1:11" ht="15" customHeight="1" x14ac:dyDescent="0.2">
      <c r="A68" s="13" t="s">
        <v>1231</v>
      </c>
      <c r="B68" s="13" t="s">
        <v>1231</v>
      </c>
      <c r="C68" s="13">
        <v>1958</v>
      </c>
      <c r="D68" s="13" t="s">
        <v>1163</v>
      </c>
      <c r="E68" s="13" t="s">
        <v>399</v>
      </c>
      <c r="F68" s="13">
        <v>0</v>
      </c>
      <c r="G68" s="13"/>
      <c r="H68" s="13" t="s">
        <v>1232</v>
      </c>
      <c r="I68" s="13" t="s">
        <v>1233</v>
      </c>
      <c r="J68" s="9" t="s">
        <v>1234</v>
      </c>
      <c r="K68" s="13">
        <v>0</v>
      </c>
    </row>
    <row r="69" spans="1:11" ht="15" customHeight="1" x14ac:dyDescent="0.2">
      <c r="A69" s="13" t="s">
        <v>1235</v>
      </c>
      <c r="B69" s="13" t="s">
        <v>1236</v>
      </c>
      <c r="C69" s="13">
        <v>1947</v>
      </c>
      <c r="D69" s="13" t="s">
        <v>15</v>
      </c>
      <c r="E69" s="13" t="s">
        <v>1237</v>
      </c>
      <c r="F69" s="13">
        <v>7.0750000000000002</v>
      </c>
      <c r="G69" s="13" t="s">
        <v>18</v>
      </c>
      <c r="H69" s="13" t="s">
        <v>1238</v>
      </c>
      <c r="I69" s="13" t="s">
        <v>1239</v>
      </c>
      <c r="J69" s="9" t="s">
        <v>1240</v>
      </c>
      <c r="K69" s="13">
        <v>261</v>
      </c>
    </row>
    <row r="70" spans="1:11" ht="15" customHeight="1" x14ac:dyDescent="0.2">
      <c r="A70" s="13" t="s">
        <v>1241</v>
      </c>
      <c r="B70" s="13"/>
      <c r="C70" s="13">
        <v>1948</v>
      </c>
      <c r="D70" s="13"/>
      <c r="E70" s="13"/>
      <c r="F70" s="13"/>
      <c r="G70" s="13"/>
      <c r="H70" s="13"/>
      <c r="I70" s="13"/>
      <c r="J70" s="9"/>
      <c r="K70" s="13"/>
    </row>
    <row r="71" spans="1:11" ht="15" customHeight="1" x14ac:dyDescent="0.2">
      <c r="A71" s="15" t="s">
        <v>1242</v>
      </c>
      <c r="B71" s="15" t="s">
        <v>1243</v>
      </c>
      <c r="C71" s="15">
        <v>1938</v>
      </c>
      <c r="D71" s="15" t="s">
        <v>15</v>
      </c>
      <c r="E71" s="15" t="s">
        <v>1052</v>
      </c>
      <c r="F71" s="15">
        <v>7.5259999999999998</v>
      </c>
      <c r="G71" s="15" t="s">
        <v>77</v>
      </c>
      <c r="H71" s="15" t="s">
        <v>1244</v>
      </c>
      <c r="I71" s="15" t="s">
        <v>1245</v>
      </c>
      <c r="J71" s="10" t="s">
        <v>1246</v>
      </c>
      <c r="K71" s="15">
        <v>1032</v>
      </c>
    </row>
    <row r="72" spans="1:11" ht="15" customHeight="1" x14ac:dyDescent="0.2">
      <c r="A72" s="13" t="s">
        <v>1247</v>
      </c>
      <c r="B72" s="13" t="s">
        <v>1248</v>
      </c>
      <c r="C72" s="13">
        <v>1952</v>
      </c>
      <c r="D72" s="13" t="s">
        <v>15</v>
      </c>
      <c r="E72" s="13" t="s">
        <v>1249</v>
      </c>
      <c r="F72" s="13">
        <v>6.7</v>
      </c>
      <c r="G72" s="13" t="s">
        <v>18</v>
      </c>
      <c r="H72" s="13" t="s">
        <v>1250</v>
      </c>
      <c r="I72" s="13" t="s">
        <v>1251</v>
      </c>
      <c r="J72" s="9" t="s">
        <v>1252</v>
      </c>
      <c r="K72" s="13">
        <v>278</v>
      </c>
    </row>
    <row r="73" spans="1:11" ht="15" customHeight="1" x14ac:dyDescent="0.2">
      <c r="A73" s="13" t="s">
        <v>1253</v>
      </c>
      <c r="B73" s="13" t="s">
        <v>1254</v>
      </c>
      <c r="C73" s="13">
        <v>1940</v>
      </c>
      <c r="D73" s="13" t="s">
        <v>15</v>
      </c>
      <c r="E73" s="13" t="s">
        <v>1052</v>
      </c>
      <c r="F73" s="13">
        <v>7.0090000000000003</v>
      </c>
      <c r="G73" s="13" t="s">
        <v>18</v>
      </c>
      <c r="H73" s="13" t="s">
        <v>1255</v>
      </c>
      <c r="I73" s="13" t="s">
        <v>1256</v>
      </c>
      <c r="J73" s="9" t="s">
        <v>1257</v>
      </c>
      <c r="K73" s="13">
        <v>165</v>
      </c>
    </row>
    <row r="74" spans="1:11" ht="15" customHeight="1" x14ac:dyDescent="0.2">
      <c r="A74" s="13" t="s">
        <v>1258</v>
      </c>
      <c r="B74" s="13" t="s">
        <v>1259</v>
      </c>
      <c r="C74" s="13">
        <v>1966</v>
      </c>
      <c r="D74" s="13" t="s">
        <v>15</v>
      </c>
      <c r="E74" s="13" t="s">
        <v>1052</v>
      </c>
      <c r="F74" s="13">
        <v>6.468</v>
      </c>
      <c r="G74" s="13" t="s">
        <v>46</v>
      </c>
      <c r="H74" s="13" t="s">
        <v>1260</v>
      </c>
      <c r="I74" s="13" t="s">
        <v>1261</v>
      </c>
      <c r="J74" s="9" t="s">
        <v>1262</v>
      </c>
      <c r="K74" s="13">
        <v>78</v>
      </c>
    </row>
    <row r="75" spans="1:11" ht="15" customHeight="1" x14ac:dyDescent="0.2">
      <c r="A75" s="13" t="s">
        <v>1263</v>
      </c>
      <c r="B75" s="13" t="s">
        <v>1264</v>
      </c>
      <c r="C75" s="13">
        <v>1939</v>
      </c>
      <c r="D75" s="13" t="s">
        <v>15</v>
      </c>
      <c r="E75" s="13" t="s">
        <v>1024</v>
      </c>
      <c r="F75" s="13">
        <v>6.9660000000000002</v>
      </c>
      <c r="G75" s="13" t="s">
        <v>18</v>
      </c>
      <c r="H75" s="13" t="s">
        <v>1265</v>
      </c>
      <c r="I75" s="13" t="s">
        <v>1266</v>
      </c>
      <c r="J75" s="9" t="s">
        <v>1267</v>
      </c>
      <c r="K75" s="13">
        <v>60</v>
      </c>
    </row>
    <row r="76" spans="1:11" ht="15" customHeight="1" x14ac:dyDescent="0.2">
      <c r="A76" s="13" t="s">
        <v>1268</v>
      </c>
      <c r="B76" s="13" t="s">
        <v>1269</v>
      </c>
      <c r="C76" s="13">
        <v>1948</v>
      </c>
      <c r="D76" s="13" t="s">
        <v>15</v>
      </c>
      <c r="E76" s="13" t="s">
        <v>1270</v>
      </c>
      <c r="F76" s="13">
        <v>6.9870000000000001</v>
      </c>
      <c r="G76" s="13" t="s">
        <v>18</v>
      </c>
      <c r="H76" s="13" t="s">
        <v>1271</v>
      </c>
      <c r="I76" s="13" t="s">
        <v>1272</v>
      </c>
      <c r="J76" s="9" t="s">
        <v>1273</v>
      </c>
      <c r="K76" s="13">
        <v>190</v>
      </c>
    </row>
    <row r="77" spans="1:11" ht="15" customHeight="1" x14ac:dyDescent="0.2">
      <c r="A77" s="13" t="s">
        <v>1274</v>
      </c>
      <c r="B77" s="13" t="s">
        <v>1275</v>
      </c>
      <c r="C77" s="13">
        <v>1944</v>
      </c>
      <c r="D77" s="13" t="s">
        <v>15</v>
      </c>
      <c r="E77" s="13" t="s">
        <v>1276</v>
      </c>
      <c r="F77" s="13">
        <v>5.6669999999999998</v>
      </c>
      <c r="G77" s="13" t="s">
        <v>46</v>
      </c>
      <c r="H77" s="13" t="s">
        <v>1277</v>
      </c>
      <c r="I77" s="13" t="s">
        <v>1278</v>
      </c>
      <c r="J77" s="9" t="s">
        <v>1279</v>
      </c>
      <c r="K77" s="13">
        <v>12</v>
      </c>
    </row>
    <row r="78" spans="1:11" ht="15" customHeight="1" x14ac:dyDescent="0.2">
      <c r="A78" s="13" t="s">
        <v>1280</v>
      </c>
      <c r="B78" s="13" t="s">
        <v>1281</v>
      </c>
      <c r="C78" s="13">
        <v>1939</v>
      </c>
      <c r="D78" s="13" t="s">
        <v>15</v>
      </c>
      <c r="E78" s="13" t="s">
        <v>1282</v>
      </c>
      <c r="F78" s="13">
        <v>7.274</v>
      </c>
      <c r="G78" s="13" t="s">
        <v>18</v>
      </c>
      <c r="H78" s="13" t="s">
        <v>1283</v>
      </c>
      <c r="I78" s="13" t="s">
        <v>1284</v>
      </c>
      <c r="J78" s="9" t="s">
        <v>1285</v>
      </c>
      <c r="K78" s="13">
        <v>261</v>
      </c>
    </row>
    <row r="79" spans="1:11" ht="15" customHeight="1" x14ac:dyDescent="0.2">
      <c r="A79" s="13" t="s">
        <v>1286</v>
      </c>
      <c r="B79" s="13" t="s">
        <v>1287</v>
      </c>
      <c r="C79" s="13">
        <v>1940</v>
      </c>
      <c r="D79" s="13" t="s">
        <v>15</v>
      </c>
      <c r="E79" s="13" t="s">
        <v>1052</v>
      </c>
      <c r="F79" s="13">
        <v>7.4</v>
      </c>
      <c r="G79" s="13" t="s">
        <v>18</v>
      </c>
      <c r="H79" s="13" t="s">
        <v>1288</v>
      </c>
      <c r="I79" s="13" t="s">
        <v>1289</v>
      </c>
      <c r="J79" s="9" t="s">
        <v>1290</v>
      </c>
      <c r="K79" s="13">
        <v>891</v>
      </c>
    </row>
    <row r="80" spans="1:11" ht="15" customHeight="1" x14ac:dyDescent="0.2">
      <c r="A80" s="13" t="s">
        <v>1291</v>
      </c>
      <c r="B80" s="13" t="s">
        <v>1292</v>
      </c>
      <c r="C80" s="13">
        <v>1947</v>
      </c>
      <c r="D80" s="13" t="s">
        <v>15</v>
      </c>
      <c r="E80" s="13" t="s">
        <v>1052</v>
      </c>
      <c r="F80" s="13">
        <v>6.9</v>
      </c>
      <c r="G80" s="13" t="s">
        <v>18</v>
      </c>
      <c r="H80" s="13" t="s">
        <v>1293</v>
      </c>
      <c r="I80" s="13" t="s">
        <v>1294</v>
      </c>
      <c r="J80" s="9" t="s">
        <v>1295</v>
      </c>
      <c r="K80" s="13">
        <v>135</v>
      </c>
    </row>
    <row r="81" spans="1:11" ht="15" customHeight="1" x14ac:dyDescent="0.2">
      <c r="A81" s="15" t="s">
        <v>1296</v>
      </c>
      <c r="B81" s="15" t="s">
        <v>1297</v>
      </c>
      <c r="C81" s="15">
        <v>1946</v>
      </c>
      <c r="D81" s="15" t="s">
        <v>15</v>
      </c>
      <c r="E81" s="15" t="s">
        <v>1298</v>
      </c>
      <c r="F81" s="15">
        <v>5.8680000000000003</v>
      </c>
      <c r="G81" s="15" t="s">
        <v>46</v>
      </c>
      <c r="H81" s="15" t="s">
        <v>1299</v>
      </c>
      <c r="I81" s="15" t="s">
        <v>1300</v>
      </c>
      <c r="J81" s="10" t="s">
        <v>1301</v>
      </c>
      <c r="K81" s="15">
        <v>34</v>
      </c>
    </row>
    <row r="82" spans="1:11" ht="15" customHeight="1" x14ac:dyDescent="0.2">
      <c r="A82" s="13" t="s">
        <v>1302</v>
      </c>
      <c r="B82" s="13" t="s">
        <v>1303</v>
      </c>
      <c r="C82" s="13">
        <v>1959</v>
      </c>
      <c r="D82" s="13" t="s">
        <v>15</v>
      </c>
      <c r="E82" s="13" t="s">
        <v>1304</v>
      </c>
      <c r="F82" s="13">
        <v>7.218</v>
      </c>
      <c r="G82" s="13" t="s">
        <v>18</v>
      </c>
      <c r="H82" s="13" t="s">
        <v>1305</v>
      </c>
      <c r="I82" s="13" t="s">
        <v>1306</v>
      </c>
      <c r="J82" s="9" t="s">
        <v>1307</v>
      </c>
      <c r="K82" s="13">
        <v>396</v>
      </c>
    </row>
    <row r="83" spans="1:11" ht="15" customHeight="1" x14ac:dyDescent="0.2">
      <c r="A83" s="13" t="s">
        <v>1308</v>
      </c>
      <c r="B83" s="13" t="s">
        <v>1309</v>
      </c>
      <c r="C83" s="13">
        <v>1941</v>
      </c>
      <c r="D83" s="13" t="s">
        <v>939</v>
      </c>
      <c r="E83" s="13" t="s">
        <v>399</v>
      </c>
      <c r="F83" s="13">
        <v>1.667</v>
      </c>
      <c r="G83" s="13" t="s">
        <v>1310</v>
      </c>
      <c r="H83" s="13" t="s">
        <v>1311</v>
      </c>
      <c r="I83" s="13" t="s">
        <v>1312</v>
      </c>
      <c r="J83" s="9" t="s">
        <v>1313</v>
      </c>
      <c r="K83" s="13">
        <v>3</v>
      </c>
    </row>
    <row r="84" spans="1:11" ht="15" customHeight="1" x14ac:dyDescent="0.2">
      <c r="A84" s="13" t="s">
        <v>1314</v>
      </c>
      <c r="B84" s="13" t="s">
        <v>1315</v>
      </c>
      <c r="C84" s="13">
        <v>1960</v>
      </c>
      <c r="D84" s="13" t="s">
        <v>1316</v>
      </c>
      <c r="E84" s="13" t="s">
        <v>1052</v>
      </c>
      <c r="F84" s="13">
        <v>6.3</v>
      </c>
      <c r="G84" s="13" t="s">
        <v>46</v>
      </c>
      <c r="H84" s="13" t="s">
        <v>1317</v>
      </c>
      <c r="I84" s="13" t="s">
        <v>1318</v>
      </c>
      <c r="J84" s="9" t="s">
        <v>1319</v>
      </c>
      <c r="K84" s="13">
        <v>134</v>
      </c>
    </row>
    <row r="85" spans="1:11" ht="15" customHeight="1" x14ac:dyDescent="0.2">
      <c r="A85" s="13" t="s">
        <v>1320</v>
      </c>
      <c r="B85" s="13" t="s">
        <v>1320</v>
      </c>
      <c r="C85" s="13">
        <v>1952</v>
      </c>
      <c r="D85" s="13" t="s">
        <v>519</v>
      </c>
      <c r="E85" s="13" t="s">
        <v>1321</v>
      </c>
      <c r="F85" s="13"/>
      <c r="G85" s="13"/>
      <c r="H85" s="13" t="s">
        <v>1322</v>
      </c>
      <c r="I85" s="13" t="s">
        <v>1320</v>
      </c>
      <c r="J85" s="9"/>
      <c r="K85" s="13"/>
    </row>
    <row r="86" spans="1:11" ht="15" customHeight="1" x14ac:dyDescent="0.2">
      <c r="A86" s="13" t="s">
        <v>1323</v>
      </c>
      <c r="B86" s="13" t="s">
        <v>1324</v>
      </c>
      <c r="C86" s="13">
        <v>1949</v>
      </c>
      <c r="D86" s="13" t="s">
        <v>15</v>
      </c>
      <c r="E86" s="13" t="s">
        <v>1227</v>
      </c>
      <c r="F86" s="13">
        <v>6.1520000000000001</v>
      </c>
      <c r="G86" s="13" t="s">
        <v>46</v>
      </c>
      <c r="H86" s="13" t="s">
        <v>1325</v>
      </c>
      <c r="I86" s="13" t="s">
        <v>1326</v>
      </c>
      <c r="J86" s="9" t="s">
        <v>1327</v>
      </c>
      <c r="K86" s="13">
        <v>33</v>
      </c>
    </row>
    <row r="87" spans="1:11" ht="15" customHeight="1" x14ac:dyDescent="0.2">
      <c r="A87" s="13" t="s">
        <v>1328</v>
      </c>
      <c r="B87" s="13" t="s">
        <v>1328</v>
      </c>
      <c r="C87" s="13">
        <v>1932</v>
      </c>
      <c r="D87" s="13" t="s">
        <v>413</v>
      </c>
      <c r="E87" s="13" t="s">
        <v>310</v>
      </c>
      <c r="F87" s="13">
        <v>6.734</v>
      </c>
      <c r="G87" s="13" t="s">
        <v>18</v>
      </c>
      <c r="H87" s="13" t="s">
        <v>1329</v>
      </c>
      <c r="I87" s="13" t="s">
        <v>1330</v>
      </c>
      <c r="J87" s="9" t="s">
        <v>1331</v>
      </c>
      <c r="K87" s="13">
        <v>289</v>
      </c>
    </row>
    <row r="88" spans="1:11" ht="15" customHeight="1" x14ac:dyDescent="0.2">
      <c r="A88" s="13" t="s">
        <v>1332</v>
      </c>
      <c r="B88" s="13" t="s">
        <v>1333</v>
      </c>
      <c r="C88" s="13">
        <v>1944</v>
      </c>
      <c r="D88" s="13" t="s">
        <v>530</v>
      </c>
      <c r="E88" s="13" t="s">
        <v>885</v>
      </c>
      <c r="F88" s="13">
        <v>4.5999999999999996</v>
      </c>
      <c r="G88" s="13" t="s">
        <v>28</v>
      </c>
      <c r="H88" s="13" t="s">
        <v>1334</v>
      </c>
      <c r="I88" s="13" t="s">
        <v>1335</v>
      </c>
      <c r="J88" s="9" t="s">
        <v>1336</v>
      </c>
      <c r="K88" s="13">
        <v>5</v>
      </c>
    </row>
    <row r="89" spans="1:11" ht="15" customHeight="1" x14ac:dyDescent="0.2">
      <c r="A89" s="13" t="s">
        <v>1337</v>
      </c>
      <c r="B89" s="13" t="s">
        <v>1338</v>
      </c>
      <c r="C89" s="13">
        <v>1957</v>
      </c>
      <c r="D89" s="13" t="s">
        <v>15</v>
      </c>
      <c r="E89" s="13" t="s">
        <v>1339</v>
      </c>
      <c r="F89" s="13">
        <v>8.2159999999999993</v>
      </c>
      <c r="G89" s="13" t="s">
        <v>77</v>
      </c>
      <c r="H89" s="13" t="s">
        <v>1340</v>
      </c>
      <c r="I89" s="13" t="s">
        <v>1341</v>
      </c>
      <c r="J89" s="9" t="s">
        <v>1342</v>
      </c>
      <c r="K89" s="13">
        <v>1582</v>
      </c>
    </row>
    <row r="90" spans="1:11" ht="15" customHeight="1" x14ac:dyDescent="0.2">
      <c r="A90" s="13" t="s">
        <v>1343</v>
      </c>
      <c r="B90" s="13" t="s">
        <v>1343</v>
      </c>
      <c r="C90" s="13">
        <v>1977</v>
      </c>
      <c r="D90" s="13" t="s">
        <v>1163</v>
      </c>
      <c r="E90" s="13" t="s">
        <v>881</v>
      </c>
      <c r="F90" s="13">
        <v>6</v>
      </c>
      <c r="G90" s="13" t="s">
        <v>46</v>
      </c>
      <c r="H90" s="13" t="s">
        <v>1344</v>
      </c>
      <c r="I90" s="13" t="s">
        <v>1345</v>
      </c>
      <c r="J90" s="9" t="s">
        <v>1346</v>
      </c>
      <c r="K90" s="13">
        <v>1</v>
      </c>
    </row>
    <row r="91" spans="1:11" ht="15" customHeight="1" x14ac:dyDescent="0.2">
      <c r="A91" s="15" t="s">
        <v>1347</v>
      </c>
      <c r="B91" s="15" t="s">
        <v>1347</v>
      </c>
      <c r="C91" s="15">
        <v>1953</v>
      </c>
      <c r="D91" s="15" t="s">
        <v>1163</v>
      </c>
      <c r="E91" s="15" t="s">
        <v>399</v>
      </c>
      <c r="F91" s="15">
        <v>0</v>
      </c>
      <c r="G91" s="15"/>
      <c r="H91" s="15" t="s">
        <v>1348</v>
      </c>
      <c r="I91" s="15" t="s">
        <v>1349</v>
      </c>
      <c r="J91" s="10" t="s">
        <v>1350</v>
      </c>
      <c r="K91" s="15">
        <v>0</v>
      </c>
    </row>
    <row r="92" spans="1:11" ht="15" customHeight="1" x14ac:dyDescent="0.2">
      <c r="A92" s="13" t="s">
        <v>1351</v>
      </c>
      <c r="B92" s="13" t="s">
        <v>1352</v>
      </c>
      <c r="C92" s="13">
        <v>1962</v>
      </c>
      <c r="D92" s="13" t="s">
        <v>15</v>
      </c>
      <c r="E92" s="13" t="s">
        <v>1353</v>
      </c>
      <c r="F92" s="13">
        <v>7.6020000000000003</v>
      </c>
      <c r="G92" s="13" t="s">
        <v>77</v>
      </c>
      <c r="H92" s="13" t="s">
        <v>1354</v>
      </c>
      <c r="I92" s="13" t="s">
        <v>1355</v>
      </c>
      <c r="J92" s="9" t="s">
        <v>1356</v>
      </c>
      <c r="K92" s="13">
        <v>989</v>
      </c>
    </row>
    <row r="93" spans="1:11" ht="15" customHeight="1" x14ac:dyDescent="0.2">
      <c r="A93" s="13" t="s">
        <v>1357</v>
      </c>
      <c r="B93" s="13" t="s">
        <v>1357</v>
      </c>
      <c r="C93" s="13">
        <v>1953</v>
      </c>
      <c r="D93" s="13" t="s">
        <v>530</v>
      </c>
      <c r="E93" s="13" t="s">
        <v>1358</v>
      </c>
      <c r="F93" s="13">
        <v>0</v>
      </c>
      <c r="G93" s="13"/>
      <c r="H93" s="13" t="s">
        <v>1359</v>
      </c>
      <c r="I93" s="13" t="s">
        <v>1360</v>
      </c>
      <c r="J93" s="9" t="s">
        <v>1361</v>
      </c>
      <c r="K93" s="13">
        <v>0</v>
      </c>
    </row>
    <row r="94" spans="1:11" ht="15" customHeight="1" x14ac:dyDescent="0.2">
      <c r="A94" s="13" t="s">
        <v>1362</v>
      </c>
      <c r="B94" s="13" t="s">
        <v>1362</v>
      </c>
      <c r="C94" s="13">
        <v>1966</v>
      </c>
      <c r="D94" s="13" t="s">
        <v>1163</v>
      </c>
      <c r="E94" s="13" t="s">
        <v>1363</v>
      </c>
      <c r="F94" s="13">
        <v>6</v>
      </c>
      <c r="G94" s="13" t="s">
        <v>46</v>
      </c>
      <c r="H94" s="13" t="s">
        <v>1364</v>
      </c>
      <c r="I94" s="13" t="s">
        <v>1365</v>
      </c>
      <c r="J94" s="9" t="s">
        <v>1366</v>
      </c>
      <c r="K94" s="13">
        <v>2</v>
      </c>
    </row>
    <row r="95" spans="1:11" ht="15" customHeight="1" x14ac:dyDescent="0.2">
      <c r="A95" s="13" t="s">
        <v>1367</v>
      </c>
      <c r="B95" s="13" t="s">
        <v>1368</v>
      </c>
      <c r="C95" s="13">
        <v>1958</v>
      </c>
      <c r="D95" s="13" t="s">
        <v>969</v>
      </c>
      <c r="E95" s="13" t="s">
        <v>1369</v>
      </c>
      <c r="F95" s="13">
        <v>6.7</v>
      </c>
      <c r="G95" s="13" t="s">
        <v>18</v>
      </c>
      <c r="H95" s="13" t="s">
        <v>1370</v>
      </c>
      <c r="I95" s="13" t="s">
        <v>1371</v>
      </c>
      <c r="J95" s="9" t="s">
        <v>1372</v>
      </c>
      <c r="K95" s="13">
        <v>81</v>
      </c>
    </row>
    <row r="96" spans="1:11" ht="15" customHeight="1" x14ac:dyDescent="0.2">
      <c r="A96" s="13" t="s">
        <v>1373</v>
      </c>
      <c r="B96" s="13" t="s">
        <v>1373</v>
      </c>
      <c r="C96" s="13">
        <v>1960</v>
      </c>
      <c r="D96" s="13" t="s">
        <v>1374</v>
      </c>
      <c r="E96" s="13" t="s">
        <v>1375</v>
      </c>
      <c r="F96" s="13">
        <v>5.3</v>
      </c>
      <c r="G96" s="13" t="s">
        <v>28</v>
      </c>
      <c r="H96" s="13" t="s">
        <v>1376</v>
      </c>
      <c r="I96" s="13" t="s">
        <v>1377</v>
      </c>
      <c r="J96" s="9" t="s">
        <v>1378</v>
      </c>
      <c r="K96" s="13">
        <v>3</v>
      </c>
    </row>
    <row r="97" spans="1:11" ht="15" customHeight="1" x14ac:dyDescent="0.2">
      <c r="A97" s="13" t="s">
        <v>1379</v>
      </c>
      <c r="B97" s="13" t="s">
        <v>1380</v>
      </c>
      <c r="C97" s="13">
        <v>1971</v>
      </c>
      <c r="D97" s="13" t="s">
        <v>1381</v>
      </c>
      <c r="E97" s="13" t="s">
        <v>1382</v>
      </c>
      <c r="F97" s="13">
        <v>5.694</v>
      </c>
      <c r="G97" s="13" t="s">
        <v>46</v>
      </c>
      <c r="H97" s="13" t="s">
        <v>1383</v>
      </c>
      <c r="I97" s="13" t="s">
        <v>1384</v>
      </c>
      <c r="J97" s="9" t="s">
        <v>1385</v>
      </c>
      <c r="K97" s="13">
        <v>18</v>
      </c>
    </row>
    <row r="98" spans="1:11" ht="15" customHeight="1" x14ac:dyDescent="0.2">
      <c r="A98" s="13" t="s">
        <v>1386</v>
      </c>
      <c r="B98" s="13" t="s">
        <v>1386</v>
      </c>
      <c r="C98" s="13">
        <v>1965</v>
      </c>
      <c r="D98" s="13" t="s">
        <v>781</v>
      </c>
      <c r="E98" s="13" t="s">
        <v>385</v>
      </c>
      <c r="F98" s="13">
        <v>6.8</v>
      </c>
      <c r="G98" s="13" t="s">
        <v>18</v>
      </c>
      <c r="H98" s="13" t="s">
        <v>1387</v>
      </c>
      <c r="I98" s="13" t="s">
        <v>1388</v>
      </c>
      <c r="J98" s="9" t="s">
        <v>1389</v>
      </c>
      <c r="K98" s="13">
        <v>81</v>
      </c>
    </row>
    <row r="99" spans="1:11" ht="15" customHeight="1" x14ac:dyDescent="0.2">
      <c r="A99" s="13" t="s">
        <v>1390</v>
      </c>
      <c r="B99" s="13"/>
      <c r="C99" s="13">
        <v>1970</v>
      </c>
      <c r="D99" s="13"/>
      <c r="E99" s="13"/>
      <c r="F99" s="13"/>
      <c r="G99" s="13"/>
      <c r="H99" s="13"/>
      <c r="I99" s="13"/>
      <c r="J99" s="9"/>
      <c r="K99" s="13"/>
    </row>
    <row r="100" spans="1:11" ht="15" customHeight="1" x14ac:dyDescent="0.2">
      <c r="A100" s="13" t="s">
        <v>1391</v>
      </c>
      <c r="B100" s="13" t="s">
        <v>1392</v>
      </c>
      <c r="C100" s="13">
        <v>1969</v>
      </c>
      <c r="D100" s="13" t="s">
        <v>1316</v>
      </c>
      <c r="E100" s="13" t="s">
        <v>1393</v>
      </c>
      <c r="F100" s="13">
        <v>6.6390000000000002</v>
      </c>
      <c r="G100" s="13" t="s">
        <v>18</v>
      </c>
      <c r="H100" s="13" t="s">
        <v>1394</v>
      </c>
      <c r="I100" s="13" t="s">
        <v>1395</v>
      </c>
      <c r="J100" s="9" t="s">
        <v>1396</v>
      </c>
      <c r="K100" s="13">
        <v>79</v>
      </c>
    </row>
    <row r="101" spans="1:11" ht="15" customHeight="1" x14ac:dyDescent="0.2">
      <c r="A101" s="15" t="s">
        <v>1397</v>
      </c>
      <c r="B101" s="15" t="s">
        <v>1398</v>
      </c>
      <c r="C101" s="15">
        <v>1957</v>
      </c>
      <c r="D101" s="15" t="s">
        <v>922</v>
      </c>
      <c r="E101" s="15" t="s">
        <v>1169</v>
      </c>
      <c r="F101" s="15">
        <v>6.5</v>
      </c>
      <c r="G101" s="15" t="s">
        <v>46</v>
      </c>
      <c r="H101" s="15" t="s">
        <v>1399</v>
      </c>
      <c r="I101" s="15" t="s">
        <v>1400</v>
      </c>
      <c r="J101" s="10" t="s">
        <v>1401</v>
      </c>
      <c r="K101" s="15">
        <v>34</v>
      </c>
    </row>
    <row r="102" spans="1:11" ht="15" customHeight="1" x14ac:dyDescent="0.2">
      <c r="A102" s="13" t="s">
        <v>1402</v>
      </c>
      <c r="B102" s="13" t="s">
        <v>1402</v>
      </c>
      <c r="C102" s="13">
        <v>1956</v>
      </c>
      <c r="D102" s="13" t="s">
        <v>1163</v>
      </c>
      <c r="E102" s="13" t="s">
        <v>566</v>
      </c>
      <c r="F102" s="13">
        <v>5.5</v>
      </c>
      <c r="G102" s="13" t="s">
        <v>46</v>
      </c>
      <c r="H102" s="13" t="s">
        <v>1403</v>
      </c>
      <c r="I102" s="13" t="s">
        <v>1404</v>
      </c>
      <c r="J102" s="9" t="s">
        <v>1405</v>
      </c>
      <c r="K102" s="13">
        <v>4</v>
      </c>
    </row>
    <row r="103" spans="1:11" ht="15" customHeight="1" x14ac:dyDescent="0.2">
      <c r="A103" s="13" t="s">
        <v>1406</v>
      </c>
      <c r="B103" s="13" t="s">
        <v>1407</v>
      </c>
      <c r="C103" s="13">
        <v>1972</v>
      </c>
      <c r="D103" s="13" t="s">
        <v>1408</v>
      </c>
      <c r="E103" s="13" t="s">
        <v>1270</v>
      </c>
      <c r="F103" s="13">
        <v>0</v>
      </c>
      <c r="G103" s="13"/>
      <c r="H103" s="13" t="s">
        <v>1409</v>
      </c>
      <c r="I103" s="13" t="s">
        <v>1410</v>
      </c>
      <c r="J103" s="9" t="s">
        <v>1411</v>
      </c>
      <c r="K103" s="13">
        <v>0</v>
      </c>
    </row>
    <row r="104" spans="1:11" ht="15" customHeight="1" x14ac:dyDescent="0.2">
      <c r="A104" s="13" t="s">
        <v>1412</v>
      </c>
      <c r="B104" s="13"/>
      <c r="C104" s="13" t="s">
        <v>1413</v>
      </c>
      <c r="D104" s="13"/>
      <c r="E104" s="13"/>
      <c r="F104" s="13"/>
      <c r="G104" s="13"/>
      <c r="H104" s="13"/>
      <c r="I104" s="13"/>
      <c r="J104" s="9"/>
      <c r="K104" s="13"/>
    </row>
    <row r="105" spans="1:11" ht="15" customHeight="1" x14ac:dyDescent="0.2">
      <c r="A105" s="13" t="s">
        <v>1414</v>
      </c>
      <c r="B105" s="13"/>
      <c r="C105" s="13">
        <v>2021</v>
      </c>
      <c r="D105" s="13"/>
      <c r="E105" s="13"/>
      <c r="F105" s="13"/>
      <c r="G105" s="13"/>
      <c r="H105" s="13"/>
      <c r="I105" s="13"/>
      <c r="J105" s="9"/>
      <c r="K105" s="13"/>
    </row>
    <row r="106" spans="1:11" ht="15" customHeight="1" x14ac:dyDescent="0.2">
      <c r="A106" s="13" t="s">
        <v>1415</v>
      </c>
      <c r="B106" s="13" t="s">
        <v>1415</v>
      </c>
      <c r="C106" s="13">
        <v>2021</v>
      </c>
      <c r="D106" s="13" t="s">
        <v>413</v>
      </c>
      <c r="E106" s="13" t="s">
        <v>1416</v>
      </c>
      <c r="F106" s="13">
        <v>6.9930000000000003</v>
      </c>
      <c r="G106" s="13" t="s">
        <v>18</v>
      </c>
      <c r="H106" s="13" t="s">
        <v>1417</v>
      </c>
      <c r="I106" s="13" t="s">
        <v>1418</v>
      </c>
      <c r="J106" s="9" t="s">
        <v>1419</v>
      </c>
      <c r="K106" s="13">
        <v>134</v>
      </c>
    </row>
    <row r="107" spans="1:11" ht="15" customHeight="1" x14ac:dyDescent="0.2">
      <c r="A107" s="13" t="s">
        <v>1420</v>
      </c>
      <c r="B107" s="13" t="s">
        <v>1421</v>
      </c>
      <c r="C107" s="13">
        <v>1990</v>
      </c>
      <c r="D107" s="13" t="s">
        <v>15</v>
      </c>
      <c r="E107" s="13" t="s">
        <v>1013</v>
      </c>
      <c r="F107" s="13">
        <v>6.6390000000000002</v>
      </c>
      <c r="G107" s="13" t="s">
        <v>18</v>
      </c>
      <c r="H107" s="13" t="s">
        <v>1422</v>
      </c>
      <c r="I107" s="13" t="s">
        <v>1423</v>
      </c>
      <c r="J107" s="9" t="s">
        <v>1424</v>
      </c>
      <c r="K107" s="13">
        <v>281</v>
      </c>
    </row>
    <row r="108" spans="1:11" ht="15" customHeight="1" x14ac:dyDescent="0.2">
      <c r="A108" s="13" t="s">
        <v>1425</v>
      </c>
      <c r="B108" s="13" t="s">
        <v>1426</v>
      </c>
      <c r="C108" s="13">
        <v>1987</v>
      </c>
      <c r="D108" s="13" t="s">
        <v>15</v>
      </c>
      <c r="E108" s="13" t="s">
        <v>1227</v>
      </c>
      <c r="F108" s="13">
        <v>6.6</v>
      </c>
      <c r="G108" s="13" t="s">
        <v>18</v>
      </c>
      <c r="H108" s="13" t="s">
        <v>1427</v>
      </c>
      <c r="I108" s="13" t="s">
        <v>1428</v>
      </c>
      <c r="J108" s="9" t="s">
        <v>1429</v>
      </c>
      <c r="K108" s="13">
        <v>238</v>
      </c>
    </row>
    <row r="109" spans="1:11" ht="15" customHeight="1" x14ac:dyDescent="0.2">
      <c r="A109" s="13" t="s">
        <v>1430</v>
      </c>
      <c r="B109" s="13" t="s">
        <v>1431</v>
      </c>
      <c r="C109" s="13">
        <v>1997</v>
      </c>
      <c r="D109" s="13" t="s">
        <v>15</v>
      </c>
      <c r="E109" s="13" t="s">
        <v>1169</v>
      </c>
      <c r="F109" s="13">
        <v>6</v>
      </c>
      <c r="G109" s="13" t="s">
        <v>46</v>
      </c>
      <c r="H109" s="13" t="s">
        <v>1432</v>
      </c>
      <c r="I109" s="13" t="s">
        <v>1433</v>
      </c>
      <c r="J109" s="9" t="s">
        <v>1434</v>
      </c>
      <c r="K109" s="13">
        <v>244</v>
      </c>
    </row>
    <row r="110" spans="1:11" ht="15" customHeight="1" x14ac:dyDescent="0.2">
      <c r="A110" s="13" t="s">
        <v>1435</v>
      </c>
      <c r="B110" s="13" t="s">
        <v>1436</v>
      </c>
      <c r="C110" s="13">
        <v>1993</v>
      </c>
      <c r="D110" s="13" t="s">
        <v>15</v>
      </c>
      <c r="E110" s="13" t="s">
        <v>928</v>
      </c>
      <c r="F110" s="13">
        <v>6.0540000000000003</v>
      </c>
      <c r="G110" s="13" t="s">
        <v>46</v>
      </c>
      <c r="H110" s="13" t="s">
        <v>1437</v>
      </c>
      <c r="I110" s="13" t="s">
        <v>1438</v>
      </c>
      <c r="J110" s="9" t="s">
        <v>1439</v>
      </c>
      <c r="K110" s="13">
        <v>166</v>
      </c>
    </row>
    <row r="111" spans="1:11" ht="15" customHeight="1" x14ac:dyDescent="0.2">
      <c r="A111" s="15" t="s">
        <v>1440</v>
      </c>
      <c r="B111" s="15" t="s">
        <v>1441</v>
      </c>
      <c r="C111" s="15">
        <v>1979</v>
      </c>
      <c r="D111" s="15" t="s">
        <v>15</v>
      </c>
      <c r="E111" s="15" t="s">
        <v>1134</v>
      </c>
      <c r="F111" s="15">
        <v>7.1189999999999998</v>
      </c>
      <c r="G111" s="15" t="s">
        <v>18</v>
      </c>
      <c r="H111" s="15" t="s">
        <v>1442</v>
      </c>
      <c r="I111" s="15" t="s">
        <v>1443</v>
      </c>
      <c r="J111" s="10" t="s">
        <v>1444</v>
      </c>
      <c r="K111" s="15">
        <v>282</v>
      </c>
    </row>
    <row r="112" spans="1:11" ht="15" customHeight="1" x14ac:dyDescent="0.2">
      <c r="A112" s="13" t="s">
        <v>1445</v>
      </c>
      <c r="B112" s="13" t="s">
        <v>1446</v>
      </c>
      <c r="C112" s="13">
        <v>2022</v>
      </c>
      <c r="D112" s="13" t="s">
        <v>1447</v>
      </c>
      <c r="E112" s="13" t="s">
        <v>1180</v>
      </c>
      <c r="F112" s="13">
        <v>7.15</v>
      </c>
      <c r="G112" s="13" t="s">
        <v>18</v>
      </c>
      <c r="H112" s="13" t="s">
        <v>1448</v>
      </c>
      <c r="I112" s="13" t="s">
        <v>1449</v>
      </c>
      <c r="J112" s="9" t="s">
        <v>1450</v>
      </c>
      <c r="K112" s="13">
        <v>10</v>
      </c>
    </row>
    <row r="113" spans="1:11" ht="15" customHeight="1" x14ac:dyDescent="0.2">
      <c r="A113" s="13" t="s">
        <v>0</v>
      </c>
      <c r="B113" s="13"/>
      <c r="C113" s="13" t="s">
        <v>2</v>
      </c>
      <c r="D113" s="13"/>
      <c r="E113" s="13"/>
      <c r="F113" s="13"/>
      <c r="G113" s="13"/>
      <c r="H113" s="13"/>
      <c r="I113" s="13"/>
      <c r="J113" s="9"/>
      <c r="K113" s="13"/>
    </row>
    <row r="114" spans="1:11" ht="15" customHeight="1" x14ac:dyDescent="0.2">
      <c r="A114" s="13" t="s">
        <v>1451</v>
      </c>
      <c r="B114" s="13" t="s">
        <v>1451</v>
      </c>
      <c r="C114" s="13">
        <v>1993</v>
      </c>
      <c r="D114" s="13" t="s">
        <v>413</v>
      </c>
      <c r="E114" s="13" t="s">
        <v>566</v>
      </c>
      <c r="F114" s="13">
        <v>7.7140000000000004</v>
      </c>
      <c r="G114" s="13" t="s">
        <v>77</v>
      </c>
      <c r="H114" s="13" t="s">
        <v>1452</v>
      </c>
      <c r="I114" s="13" t="s">
        <v>1453</v>
      </c>
      <c r="J114" s="9" t="s">
        <v>1454</v>
      </c>
      <c r="K114" s="13">
        <v>4479</v>
      </c>
    </row>
    <row r="115" spans="1:11" ht="15" customHeight="1" x14ac:dyDescent="0.2">
      <c r="A115" s="13" t="s">
        <v>1455</v>
      </c>
      <c r="B115" s="13" t="s">
        <v>1455</v>
      </c>
      <c r="C115" s="13">
        <v>2014</v>
      </c>
      <c r="D115" s="13" t="s">
        <v>413</v>
      </c>
      <c r="E115" s="13" t="s">
        <v>507</v>
      </c>
      <c r="F115" s="13">
        <v>7.3</v>
      </c>
      <c r="G115" s="13" t="s">
        <v>18</v>
      </c>
      <c r="H115" s="13" t="s">
        <v>1456</v>
      </c>
      <c r="I115" s="13" t="s">
        <v>1457</v>
      </c>
      <c r="J115" s="9" t="s">
        <v>1458</v>
      </c>
      <c r="K115" s="13">
        <v>9615</v>
      </c>
    </row>
    <row r="116" spans="1:11" ht="15" customHeight="1" x14ac:dyDescent="0.2">
      <c r="A116" s="13" t="s">
        <v>1459</v>
      </c>
      <c r="B116" s="13" t="s">
        <v>1459</v>
      </c>
      <c r="C116" s="13">
        <v>2018</v>
      </c>
      <c r="D116" s="13" t="s">
        <v>413</v>
      </c>
      <c r="E116" s="13" t="s">
        <v>1460</v>
      </c>
      <c r="F116" s="13">
        <v>6.7789999999999999</v>
      </c>
      <c r="G116" s="13" t="s">
        <v>18</v>
      </c>
      <c r="H116" s="13" t="s">
        <v>1461</v>
      </c>
      <c r="I116" s="13" t="s">
        <v>1462</v>
      </c>
      <c r="J116" s="9" t="s">
        <v>1463</v>
      </c>
      <c r="K116" s="13">
        <v>5739</v>
      </c>
    </row>
    <row r="117" spans="1:11" ht="15" customHeight="1" x14ac:dyDescent="0.2">
      <c r="A117" s="13" t="s">
        <v>1464</v>
      </c>
      <c r="B117" s="13"/>
      <c r="C117" s="13"/>
      <c r="D117" s="13"/>
      <c r="E117" s="13"/>
      <c r="F117" s="13"/>
      <c r="G117" s="13"/>
      <c r="H117" s="13"/>
      <c r="I117" s="13"/>
      <c r="J117" s="9"/>
      <c r="K117" s="13"/>
    </row>
    <row r="118" spans="1:11" ht="15" customHeight="1" x14ac:dyDescent="0.2">
      <c r="A118" s="13" t="s">
        <v>1465</v>
      </c>
      <c r="B118" s="13" t="s">
        <v>1465</v>
      </c>
      <c r="C118" s="13">
        <v>1952</v>
      </c>
      <c r="D118" s="13" t="s">
        <v>413</v>
      </c>
      <c r="E118" s="13" t="s">
        <v>1466</v>
      </c>
      <c r="F118" s="13">
        <v>4.4000000000000004</v>
      </c>
      <c r="G118" s="13" t="s">
        <v>86</v>
      </c>
      <c r="H118" s="13" t="s">
        <v>1467</v>
      </c>
      <c r="I118" s="13" t="s">
        <v>1468</v>
      </c>
      <c r="J118" s="9" t="s">
        <v>1469</v>
      </c>
      <c r="K118" s="13">
        <v>9</v>
      </c>
    </row>
    <row r="119" spans="1:11" ht="15" customHeight="1" x14ac:dyDescent="0.2">
      <c r="A119" s="13" t="s">
        <v>1470</v>
      </c>
      <c r="B119" s="13"/>
      <c r="C119" s="13">
        <v>1950</v>
      </c>
      <c r="D119" s="13"/>
      <c r="E119" s="13"/>
      <c r="F119" s="13"/>
      <c r="G119" s="13"/>
      <c r="H119" s="13"/>
      <c r="I119" s="13"/>
      <c r="J119" s="9" t="s">
        <v>1471</v>
      </c>
      <c r="K119" s="13"/>
    </row>
    <row r="120" spans="1:11" ht="15" customHeight="1" x14ac:dyDescent="0.2">
      <c r="A120" s="13" t="s">
        <v>1472</v>
      </c>
      <c r="B120" s="13" t="s">
        <v>1473</v>
      </c>
      <c r="C120" s="13">
        <v>1959</v>
      </c>
      <c r="D120" s="13" t="s">
        <v>530</v>
      </c>
      <c r="E120" s="13" t="s">
        <v>1474</v>
      </c>
      <c r="F120" s="13">
        <v>7.1239999999999997</v>
      </c>
      <c r="G120" s="13" t="s">
        <v>18</v>
      </c>
      <c r="H120" s="13" t="s">
        <v>1475</v>
      </c>
      <c r="I120" s="13" t="s">
        <v>1476</v>
      </c>
      <c r="J120" s="9" t="s">
        <v>1477</v>
      </c>
      <c r="K120" s="13">
        <v>306</v>
      </c>
    </row>
    <row r="121" spans="1:11" ht="15" customHeight="1" x14ac:dyDescent="0.2">
      <c r="A121" s="15" t="s">
        <v>1478</v>
      </c>
      <c r="B121" s="15" t="s">
        <v>1479</v>
      </c>
      <c r="C121" s="15">
        <v>1950</v>
      </c>
      <c r="D121" s="15" t="s">
        <v>15</v>
      </c>
      <c r="E121" s="15" t="s">
        <v>1480</v>
      </c>
      <c r="F121" s="15">
        <v>6</v>
      </c>
      <c r="G121" s="15" t="s">
        <v>46</v>
      </c>
      <c r="H121" s="15" t="s">
        <v>1481</v>
      </c>
      <c r="I121" s="15" t="s">
        <v>1482</v>
      </c>
      <c r="J121" s="10" t="s">
        <v>1483</v>
      </c>
      <c r="K121" s="15">
        <v>30</v>
      </c>
    </row>
    <row r="122" spans="1:11" ht="15" customHeight="1" x14ac:dyDescent="0.2">
      <c r="A122" s="13" t="s">
        <v>1484</v>
      </c>
      <c r="B122" s="13" t="s">
        <v>1485</v>
      </c>
      <c r="C122" s="13">
        <v>1965</v>
      </c>
      <c r="D122" s="13" t="s">
        <v>1163</v>
      </c>
      <c r="E122" s="13" t="s">
        <v>934</v>
      </c>
      <c r="F122" s="13">
        <v>5.5</v>
      </c>
      <c r="G122" s="13" t="s">
        <v>46</v>
      </c>
      <c r="H122" s="13" t="s">
        <v>1486</v>
      </c>
      <c r="I122" s="13" t="s">
        <v>1487</v>
      </c>
      <c r="J122" s="9" t="s">
        <v>1488</v>
      </c>
      <c r="K122" s="13">
        <v>27</v>
      </c>
    </row>
    <row r="123" spans="1:11" ht="15" customHeight="1" x14ac:dyDescent="0.2">
      <c r="A123" s="13" t="s">
        <v>1489</v>
      </c>
      <c r="B123" s="13" t="s">
        <v>1489</v>
      </c>
      <c r="C123" s="13">
        <v>1967</v>
      </c>
      <c r="D123" s="13" t="s">
        <v>413</v>
      </c>
      <c r="E123" s="13" t="s">
        <v>1490</v>
      </c>
      <c r="F123" s="13">
        <v>5.7789999999999999</v>
      </c>
      <c r="G123" s="13" t="s">
        <v>46</v>
      </c>
      <c r="H123" s="13" t="s">
        <v>1491</v>
      </c>
      <c r="I123" s="13" t="s">
        <v>1492</v>
      </c>
      <c r="J123" s="9" t="s">
        <v>1493</v>
      </c>
      <c r="K123" s="13">
        <v>34</v>
      </c>
    </row>
    <row r="124" spans="1:11" ht="15" customHeight="1" x14ac:dyDescent="0.2">
      <c r="A124" s="13" t="s">
        <v>1494</v>
      </c>
      <c r="B124" s="13" t="s">
        <v>1495</v>
      </c>
      <c r="C124" s="13">
        <v>1954</v>
      </c>
      <c r="D124" s="13" t="s">
        <v>15</v>
      </c>
      <c r="E124" s="13" t="s">
        <v>1480</v>
      </c>
      <c r="F124" s="13">
        <v>6.7</v>
      </c>
      <c r="G124" s="13" t="s">
        <v>18</v>
      </c>
      <c r="H124" s="13" t="s">
        <v>1496</v>
      </c>
      <c r="I124" s="13" t="s">
        <v>1497</v>
      </c>
      <c r="J124" s="9" t="s">
        <v>1498</v>
      </c>
      <c r="K124" s="13">
        <v>9</v>
      </c>
    </row>
    <row r="125" spans="1:11" ht="15" customHeight="1" x14ac:dyDescent="0.2">
      <c r="A125" s="13" t="s">
        <v>1499</v>
      </c>
      <c r="B125" s="13"/>
      <c r="C125" s="13">
        <v>1967</v>
      </c>
      <c r="D125" s="13"/>
      <c r="E125" s="13"/>
      <c r="F125" s="13"/>
      <c r="G125" s="13"/>
      <c r="H125" s="13"/>
      <c r="I125" s="13"/>
      <c r="J125" s="9" t="s">
        <v>1500</v>
      </c>
      <c r="K125" s="13"/>
    </row>
    <row r="126" spans="1:11" ht="15" customHeight="1" x14ac:dyDescent="0.2">
      <c r="A126" s="13" t="s">
        <v>1501</v>
      </c>
      <c r="B126" s="13" t="s">
        <v>1502</v>
      </c>
      <c r="C126" s="13">
        <v>1968</v>
      </c>
      <c r="D126" s="13" t="s">
        <v>15</v>
      </c>
      <c r="E126" s="13" t="s">
        <v>1503</v>
      </c>
      <c r="F126" s="13">
        <v>6.3</v>
      </c>
      <c r="G126" s="13" t="s">
        <v>46</v>
      </c>
      <c r="H126" s="13" t="s">
        <v>1504</v>
      </c>
      <c r="I126" s="13" t="s">
        <v>1505</v>
      </c>
      <c r="J126" s="9" t="s">
        <v>1506</v>
      </c>
      <c r="K126" s="13">
        <v>40</v>
      </c>
    </row>
    <row r="127" spans="1:11" ht="15" customHeight="1" x14ac:dyDescent="0.2">
      <c r="A127" s="13" t="s">
        <v>1507</v>
      </c>
      <c r="B127" s="13"/>
      <c r="C127" s="13"/>
      <c r="D127" s="13"/>
      <c r="E127" s="13"/>
      <c r="F127" s="13"/>
      <c r="G127" s="13"/>
      <c r="H127" s="13"/>
      <c r="I127" s="13"/>
      <c r="J127" s="9"/>
      <c r="K127" s="13"/>
    </row>
    <row r="128" spans="1:11" ht="15" customHeight="1" x14ac:dyDescent="0.2">
      <c r="A128" s="13" t="s">
        <v>1508</v>
      </c>
      <c r="B128" s="13" t="s">
        <v>1509</v>
      </c>
      <c r="C128" s="13">
        <v>1941</v>
      </c>
      <c r="D128" s="13" t="s">
        <v>15</v>
      </c>
      <c r="E128" s="13" t="s">
        <v>1510</v>
      </c>
      <c r="F128" s="13">
        <v>6.8</v>
      </c>
      <c r="G128" s="13" t="s">
        <v>18</v>
      </c>
      <c r="H128" s="13" t="s">
        <v>1511</v>
      </c>
      <c r="I128" s="13" t="s">
        <v>1512</v>
      </c>
      <c r="J128" s="9" t="s">
        <v>1513</v>
      </c>
      <c r="K128" s="13">
        <v>70</v>
      </c>
    </row>
    <row r="129" spans="1:11" ht="15" customHeight="1" x14ac:dyDescent="0.2">
      <c r="A129" s="13" t="s">
        <v>1514</v>
      </c>
      <c r="B129" s="13" t="s">
        <v>1515</v>
      </c>
      <c r="C129" s="13">
        <v>1964</v>
      </c>
      <c r="D129" s="13" t="s">
        <v>15</v>
      </c>
      <c r="E129" s="13" t="s">
        <v>1052</v>
      </c>
      <c r="F129" s="13">
        <v>6.9</v>
      </c>
      <c r="G129" s="13" t="s">
        <v>18</v>
      </c>
      <c r="H129" s="13" t="s">
        <v>1516</v>
      </c>
      <c r="I129" s="13" t="s">
        <v>1517</v>
      </c>
      <c r="J129" s="9" t="s">
        <v>1518</v>
      </c>
      <c r="K129" s="13">
        <v>138</v>
      </c>
    </row>
    <row r="130" spans="1:11" ht="15" customHeight="1" x14ac:dyDescent="0.2">
      <c r="A130" s="13" t="s">
        <v>1519</v>
      </c>
      <c r="B130" s="13" t="s">
        <v>1520</v>
      </c>
      <c r="C130" s="13">
        <v>1962</v>
      </c>
      <c r="D130" s="13" t="s">
        <v>15</v>
      </c>
      <c r="E130" s="13" t="s">
        <v>1052</v>
      </c>
      <c r="F130" s="13">
        <v>6.4279999999999999</v>
      </c>
      <c r="G130" s="13" t="s">
        <v>46</v>
      </c>
      <c r="H130" s="13" t="s">
        <v>1521</v>
      </c>
      <c r="I130" s="13" t="s">
        <v>1522</v>
      </c>
      <c r="J130" s="9" t="s">
        <v>1523</v>
      </c>
      <c r="K130" s="13">
        <v>180</v>
      </c>
    </row>
    <row r="131" spans="1:11" ht="15" customHeight="1" x14ac:dyDescent="0.2">
      <c r="A131" s="15" t="s">
        <v>1524</v>
      </c>
      <c r="B131" s="15"/>
      <c r="C131" s="15">
        <v>1961</v>
      </c>
      <c r="D131" s="15"/>
      <c r="E131" s="15"/>
      <c r="F131" s="15"/>
      <c r="G131" s="15"/>
      <c r="H131" s="15"/>
      <c r="I131" s="15"/>
      <c r="J131" s="10"/>
      <c r="K131" s="15"/>
    </row>
    <row r="132" spans="1:11" ht="15" customHeight="1" x14ac:dyDescent="0.2">
      <c r="A132" s="13" t="s">
        <v>1525</v>
      </c>
      <c r="B132" s="13" t="s">
        <v>1526</v>
      </c>
      <c r="C132" s="13">
        <v>1949</v>
      </c>
      <c r="D132" s="13" t="s">
        <v>15</v>
      </c>
      <c r="E132" s="13" t="s">
        <v>1527</v>
      </c>
      <c r="F132" s="13">
        <v>5.8170000000000002</v>
      </c>
      <c r="G132" s="13" t="s">
        <v>46</v>
      </c>
      <c r="H132" s="13" t="s">
        <v>1528</v>
      </c>
      <c r="I132" s="13" t="s">
        <v>1529</v>
      </c>
      <c r="J132" s="9" t="s">
        <v>1530</v>
      </c>
      <c r="K132" s="13">
        <v>30</v>
      </c>
    </row>
    <row r="133" spans="1:11" ht="15" customHeight="1" x14ac:dyDescent="0.2">
      <c r="A133" s="13" t="s">
        <v>1531</v>
      </c>
      <c r="B133" s="13" t="s">
        <v>1532</v>
      </c>
      <c r="C133" s="13">
        <v>1963</v>
      </c>
      <c r="D133" s="13" t="s">
        <v>15</v>
      </c>
      <c r="E133" s="13" t="s">
        <v>1052</v>
      </c>
      <c r="F133" s="13">
        <v>6.7</v>
      </c>
      <c r="G133" s="13" t="s">
        <v>18</v>
      </c>
      <c r="H133" s="13" t="s">
        <v>1533</v>
      </c>
      <c r="I133" s="13" t="s">
        <v>1534</v>
      </c>
      <c r="J133" s="9" t="s">
        <v>1535</v>
      </c>
      <c r="K133" s="13">
        <v>97</v>
      </c>
    </row>
    <row r="134" spans="1:11" ht="15" customHeight="1" x14ac:dyDescent="0.2">
      <c r="A134" s="13" t="s">
        <v>1536</v>
      </c>
      <c r="B134" s="13" t="s">
        <v>1537</v>
      </c>
      <c r="C134" s="13">
        <v>1957</v>
      </c>
      <c r="D134" s="13" t="s">
        <v>15</v>
      </c>
      <c r="E134" s="13" t="s">
        <v>1538</v>
      </c>
      <c r="F134" s="13">
        <v>5.4290000000000003</v>
      </c>
      <c r="G134" s="13" t="s">
        <v>28</v>
      </c>
      <c r="H134" s="13" t="s">
        <v>1539</v>
      </c>
      <c r="I134" s="13" t="s">
        <v>1540</v>
      </c>
      <c r="J134" s="9" t="s">
        <v>1541</v>
      </c>
      <c r="K134" s="13">
        <v>21</v>
      </c>
    </row>
    <row r="135" spans="1:11" ht="15" customHeight="1" x14ac:dyDescent="0.2">
      <c r="A135" s="13" t="s">
        <v>1542</v>
      </c>
      <c r="B135" s="13" t="s">
        <v>1543</v>
      </c>
      <c r="C135" s="13">
        <v>1965</v>
      </c>
      <c r="D135" s="13" t="s">
        <v>15</v>
      </c>
      <c r="E135" s="13" t="s">
        <v>1052</v>
      </c>
      <c r="F135" s="13">
        <v>5.9</v>
      </c>
      <c r="G135" s="13" t="s">
        <v>46</v>
      </c>
      <c r="H135" s="13" t="s">
        <v>1544</v>
      </c>
      <c r="I135" s="13" t="s">
        <v>1545</v>
      </c>
      <c r="J135" s="9" t="s">
        <v>1546</v>
      </c>
      <c r="K135" s="13">
        <v>22</v>
      </c>
    </row>
    <row r="136" spans="1:11" ht="15" customHeight="1" x14ac:dyDescent="0.2">
      <c r="A136" s="13" t="s">
        <v>1547</v>
      </c>
      <c r="B136" s="13" t="s">
        <v>1548</v>
      </c>
      <c r="C136" s="13">
        <v>1952</v>
      </c>
      <c r="D136" s="13" t="s">
        <v>15</v>
      </c>
      <c r="E136" s="13" t="s">
        <v>1270</v>
      </c>
      <c r="F136" s="13">
        <v>6.7</v>
      </c>
      <c r="G136" s="13" t="s">
        <v>18</v>
      </c>
      <c r="H136" s="13" t="s">
        <v>1549</v>
      </c>
      <c r="I136" s="13" t="s">
        <v>1550</v>
      </c>
      <c r="J136" s="9" t="s">
        <v>1551</v>
      </c>
      <c r="K136" s="13">
        <v>21</v>
      </c>
    </row>
    <row r="137" spans="1:11" ht="15" customHeight="1" x14ac:dyDescent="0.2">
      <c r="A137" s="13" t="s">
        <v>1552</v>
      </c>
      <c r="B137" s="13" t="s">
        <v>1553</v>
      </c>
      <c r="C137" s="13">
        <v>1953</v>
      </c>
      <c r="D137" s="13" t="s">
        <v>15</v>
      </c>
      <c r="E137" s="13" t="s">
        <v>1554</v>
      </c>
      <c r="F137" s="13">
        <v>5.9</v>
      </c>
      <c r="G137" s="13" t="s">
        <v>46</v>
      </c>
      <c r="H137" s="13" t="s">
        <v>1555</v>
      </c>
      <c r="I137" s="13" t="s">
        <v>1556</v>
      </c>
      <c r="J137" s="9"/>
      <c r="K137" s="13">
        <v>18</v>
      </c>
    </row>
    <row r="138" spans="1:11" ht="15" customHeight="1" x14ac:dyDescent="0.2">
      <c r="A138" s="13" t="s">
        <v>1557</v>
      </c>
      <c r="B138" s="13"/>
      <c r="C138" s="13">
        <v>1952</v>
      </c>
      <c r="D138" s="13"/>
      <c r="E138" s="13"/>
      <c r="F138" s="13"/>
      <c r="G138" s="13"/>
      <c r="H138" s="13"/>
      <c r="I138" s="13"/>
      <c r="J138" s="9" t="s">
        <v>1558</v>
      </c>
      <c r="K138" s="13"/>
    </row>
    <row r="139" spans="1:11" ht="15" customHeight="1" x14ac:dyDescent="0.2">
      <c r="A139" s="13" t="s">
        <v>1559</v>
      </c>
      <c r="B139" s="13" t="s">
        <v>1560</v>
      </c>
      <c r="C139" s="13">
        <v>1949</v>
      </c>
      <c r="D139" s="13" t="s">
        <v>15</v>
      </c>
      <c r="E139" s="13" t="s">
        <v>1480</v>
      </c>
      <c r="F139" s="13">
        <v>6.4</v>
      </c>
      <c r="G139" s="13" t="s">
        <v>46</v>
      </c>
      <c r="H139" s="13" t="s">
        <v>1561</v>
      </c>
      <c r="I139" s="13" t="s">
        <v>1562</v>
      </c>
      <c r="J139" s="9" t="s">
        <v>1563</v>
      </c>
      <c r="K139" s="13">
        <v>22</v>
      </c>
    </row>
    <row r="140" spans="1:11" ht="15" customHeight="1" x14ac:dyDescent="0.2">
      <c r="A140" s="13" t="s">
        <v>1564</v>
      </c>
      <c r="B140" s="13" t="s">
        <v>1565</v>
      </c>
      <c r="C140" s="13">
        <v>1960</v>
      </c>
      <c r="D140" s="13" t="s">
        <v>15</v>
      </c>
      <c r="E140" s="13" t="s">
        <v>1566</v>
      </c>
      <c r="F140" s="13">
        <v>6.1189999999999998</v>
      </c>
      <c r="G140" s="13" t="s">
        <v>46</v>
      </c>
      <c r="H140" s="13" t="s">
        <v>1567</v>
      </c>
      <c r="I140" s="13" t="s">
        <v>1568</v>
      </c>
      <c r="J140" s="9" t="s">
        <v>1569</v>
      </c>
      <c r="K140" s="13">
        <v>80</v>
      </c>
    </row>
    <row r="141" spans="1:11" ht="15" customHeight="1" x14ac:dyDescent="0.2">
      <c r="A141" s="15" t="s">
        <v>1570</v>
      </c>
      <c r="B141" s="15" t="s">
        <v>1571</v>
      </c>
      <c r="C141" s="15">
        <v>1959</v>
      </c>
      <c r="D141" s="15" t="s">
        <v>1572</v>
      </c>
      <c r="E141" s="15" t="s">
        <v>1196</v>
      </c>
      <c r="F141" s="15">
        <v>8</v>
      </c>
      <c r="G141" s="15" t="s">
        <v>77</v>
      </c>
      <c r="H141" s="15" t="s">
        <v>1573</v>
      </c>
      <c r="I141" s="15" t="s">
        <v>1574</v>
      </c>
      <c r="J141" s="10" t="s">
        <v>1575</v>
      </c>
      <c r="K141" s="15">
        <v>2</v>
      </c>
    </row>
    <row r="142" spans="1:11" ht="15" customHeight="1" x14ac:dyDescent="0.2">
      <c r="A142" s="13" t="s">
        <v>1576</v>
      </c>
      <c r="B142" s="13" t="s">
        <v>1577</v>
      </c>
      <c r="C142" s="13">
        <v>1960</v>
      </c>
      <c r="D142" s="13" t="s">
        <v>15</v>
      </c>
      <c r="E142" s="13" t="s">
        <v>1578</v>
      </c>
      <c r="F142" s="13">
        <v>6.6</v>
      </c>
      <c r="G142" s="13" t="s">
        <v>18</v>
      </c>
      <c r="H142" s="13" t="s">
        <v>1579</v>
      </c>
      <c r="I142" s="13" t="s">
        <v>1580</v>
      </c>
      <c r="J142" s="9" t="s">
        <v>1581</v>
      </c>
      <c r="K142" s="13">
        <v>125</v>
      </c>
    </row>
    <row r="143" spans="1:11" ht="15" customHeight="1" x14ac:dyDescent="0.2">
      <c r="A143" s="13" t="s">
        <v>1582</v>
      </c>
      <c r="B143" s="13" t="s">
        <v>1583</v>
      </c>
      <c r="C143" s="13">
        <v>1956</v>
      </c>
      <c r="D143" s="13" t="s">
        <v>15</v>
      </c>
      <c r="E143" s="13" t="s">
        <v>1169</v>
      </c>
      <c r="F143" s="13">
        <v>5.8</v>
      </c>
      <c r="G143" s="13" t="s">
        <v>46</v>
      </c>
      <c r="H143" s="13" t="s">
        <v>1584</v>
      </c>
      <c r="I143" s="13" t="s">
        <v>1585</v>
      </c>
      <c r="J143" s="9" t="s">
        <v>1586</v>
      </c>
      <c r="K143" s="13">
        <v>34</v>
      </c>
    </row>
    <row r="144" spans="1:11" ht="15" customHeight="1" x14ac:dyDescent="0.2">
      <c r="A144" s="13" t="s">
        <v>1587</v>
      </c>
      <c r="B144" s="13" t="s">
        <v>1588</v>
      </c>
      <c r="C144" s="13">
        <v>1956</v>
      </c>
      <c r="D144" s="13" t="s">
        <v>939</v>
      </c>
      <c r="E144" s="13" t="s">
        <v>1589</v>
      </c>
      <c r="F144" s="13">
        <v>6.4710000000000001</v>
      </c>
      <c r="G144" s="13" t="s">
        <v>46</v>
      </c>
      <c r="H144" s="13" t="s">
        <v>1590</v>
      </c>
      <c r="I144" s="13" t="s">
        <v>1591</v>
      </c>
      <c r="J144" s="9" t="s">
        <v>1592</v>
      </c>
      <c r="K144" s="13">
        <v>18</v>
      </c>
    </row>
    <row r="145" spans="1:11" ht="15" customHeight="1" x14ac:dyDescent="0.2">
      <c r="A145" s="13" t="s">
        <v>1593</v>
      </c>
      <c r="B145" s="13" t="s">
        <v>1594</v>
      </c>
      <c r="C145" s="13">
        <v>1957</v>
      </c>
      <c r="D145" s="13" t="s">
        <v>15</v>
      </c>
      <c r="E145" s="13" t="s">
        <v>1595</v>
      </c>
      <c r="F145" s="13">
        <v>6.3</v>
      </c>
      <c r="G145" s="13" t="s">
        <v>46</v>
      </c>
      <c r="H145" s="13" t="s">
        <v>1596</v>
      </c>
      <c r="I145" s="13" t="s">
        <v>1597</v>
      </c>
      <c r="J145" s="9" t="s">
        <v>1598</v>
      </c>
      <c r="K145" s="13">
        <v>65</v>
      </c>
    </row>
    <row r="146" spans="1:11" ht="15" customHeight="1" x14ac:dyDescent="0.2">
      <c r="A146" s="13" t="s">
        <v>1599</v>
      </c>
      <c r="B146" s="13" t="s">
        <v>1600</v>
      </c>
      <c r="C146" s="13">
        <v>1958</v>
      </c>
      <c r="D146" s="13" t="s">
        <v>15</v>
      </c>
      <c r="E146" s="13" t="s">
        <v>1052</v>
      </c>
      <c r="F146" s="13">
        <v>6.7779999999999996</v>
      </c>
      <c r="G146" s="13" t="s">
        <v>18</v>
      </c>
      <c r="H146" s="13" t="s">
        <v>1601</v>
      </c>
      <c r="I146" s="13" t="s">
        <v>1602</v>
      </c>
      <c r="J146" s="9" t="s">
        <v>1603</v>
      </c>
      <c r="K146" s="13">
        <v>97</v>
      </c>
    </row>
    <row r="147" spans="1:11" ht="15" customHeight="1" x14ac:dyDescent="0.2">
      <c r="A147" s="13" t="s">
        <v>1604</v>
      </c>
      <c r="B147" s="13" t="s">
        <v>1605</v>
      </c>
      <c r="C147" s="13">
        <v>1951</v>
      </c>
      <c r="D147" s="13" t="s">
        <v>15</v>
      </c>
      <c r="E147" s="13" t="s">
        <v>1595</v>
      </c>
      <c r="F147" s="13">
        <v>6.3</v>
      </c>
      <c r="G147" s="13" t="s">
        <v>46</v>
      </c>
      <c r="H147" s="13" t="s">
        <v>1606</v>
      </c>
      <c r="I147" s="13" t="s">
        <v>1607</v>
      </c>
      <c r="J147" s="9" t="s">
        <v>1608</v>
      </c>
      <c r="K147" s="13">
        <v>29</v>
      </c>
    </row>
    <row r="148" spans="1:11" ht="15" customHeight="1" x14ac:dyDescent="0.2">
      <c r="A148" s="13" t="s">
        <v>1609</v>
      </c>
      <c r="B148" s="13" t="s">
        <v>1610</v>
      </c>
      <c r="C148" s="13">
        <v>1964</v>
      </c>
      <c r="D148" s="13" t="s">
        <v>15</v>
      </c>
      <c r="E148" s="13" t="s">
        <v>1052</v>
      </c>
      <c r="F148" s="13">
        <v>6.8</v>
      </c>
      <c r="G148" s="13" t="s">
        <v>18</v>
      </c>
      <c r="H148" s="13" t="s">
        <v>1611</v>
      </c>
      <c r="I148" s="13" t="s">
        <v>1612</v>
      </c>
      <c r="J148" s="9" t="s">
        <v>1613</v>
      </c>
      <c r="K148" s="13">
        <v>140</v>
      </c>
    </row>
    <row r="149" spans="1:11" ht="15" customHeight="1" x14ac:dyDescent="0.2">
      <c r="A149" s="13" t="s">
        <v>1614</v>
      </c>
      <c r="B149" s="13" t="s">
        <v>1615</v>
      </c>
      <c r="C149" s="13">
        <v>1953</v>
      </c>
      <c r="D149" s="13" t="s">
        <v>15</v>
      </c>
      <c r="E149" s="13" t="s">
        <v>1616</v>
      </c>
      <c r="F149" s="13">
        <v>7.0140000000000002</v>
      </c>
      <c r="G149" s="13" t="s">
        <v>18</v>
      </c>
      <c r="H149" s="13" t="s">
        <v>1617</v>
      </c>
      <c r="I149" s="13" t="s">
        <v>1618</v>
      </c>
      <c r="J149" s="9" t="s">
        <v>1619</v>
      </c>
      <c r="K149" s="13">
        <v>182</v>
      </c>
    </row>
    <row r="150" spans="1:11" ht="15" customHeight="1" x14ac:dyDescent="0.2">
      <c r="A150" s="13" t="s">
        <v>1620</v>
      </c>
      <c r="B150" s="13" t="s">
        <v>1621</v>
      </c>
      <c r="C150" s="13">
        <v>1962</v>
      </c>
      <c r="D150" s="13" t="s">
        <v>939</v>
      </c>
      <c r="E150" s="13" t="s">
        <v>1622</v>
      </c>
      <c r="F150" s="13">
        <v>5.5</v>
      </c>
      <c r="G150" s="13" t="s">
        <v>46</v>
      </c>
      <c r="H150" s="13" t="s">
        <v>1623</v>
      </c>
      <c r="I150" s="13" t="s">
        <v>1624</v>
      </c>
      <c r="J150" s="9" t="s">
        <v>1625</v>
      </c>
      <c r="K150" s="13">
        <v>3</v>
      </c>
    </row>
    <row r="151" spans="1:11" ht="15" customHeight="1" x14ac:dyDescent="0.2">
      <c r="A151" s="15" t="s">
        <v>1626</v>
      </c>
      <c r="B151" s="15" t="s">
        <v>1627</v>
      </c>
      <c r="C151" s="15">
        <v>1966</v>
      </c>
      <c r="D151" s="15" t="s">
        <v>15</v>
      </c>
      <c r="E151" s="15" t="s">
        <v>1052</v>
      </c>
      <c r="F151" s="15">
        <v>6.25</v>
      </c>
      <c r="G151" s="15" t="s">
        <v>46</v>
      </c>
      <c r="H151" s="15" t="s">
        <v>1628</v>
      </c>
      <c r="I151" s="15" t="s">
        <v>1629</v>
      </c>
      <c r="J151" s="10" t="s">
        <v>1630</v>
      </c>
      <c r="K151" s="15">
        <v>64</v>
      </c>
    </row>
    <row r="152" spans="1:11" ht="15" customHeight="1" x14ac:dyDescent="0.2">
      <c r="A152" s="13" t="s">
        <v>1631</v>
      </c>
      <c r="B152" s="13" t="s">
        <v>1632</v>
      </c>
      <c r="C152" s="13">
        <v>1955</v>
      </c>
      <c r="D152" s="13" t="s">
        <v>15</v>
      </c>
      <c r="E152" s="13" t="s">
        <v>1633</v>
      </c>
      <c r="F152" s="13">
        <v>6.7450000000000001</v>
      </c>
      <c r="G152" s="13" t="s">
        <v>18</v>
      </c>
      <c r="H152" s="13" t="s">
        <v>1634</v>
      </c>
      <c r="I152" s="13" t="s">
        <v>1635</v>
      </c>
      <c r="J152" s="9" t="s">
        <v>1636</v>
      </c>
      <c r="K152" s="13">
        <v>51</v>
      </c>
    </row>
    <row r="153" spans="1:11" ht="15" customHeight="1" x14ac:dyDescent="0.2">
      <c r="A153" s="13" t="s">
        <v>1637</v>
      </c>
      <c r="B153" s="13" t="s">
        <v>1638</v>
      </c>
      <c r="C153" s="13">
        <v>1955</v>
      </c>
      <c r="D153" s="13" t="s">
        <v>15</v>
      </c>
      <c r="E153" s="13" t="s">
        <v>1024</v>
      </c>
      <c r="F153" s="13">
        <v>5.9</v>
      </c>
      <c r="G153" s="13" t="s">
        <v>46</v>
      </c>
      <c r="H153" s="13" t="s">
        <v>1639</v>
      </c>
      <c r="I153" s="13" t="s">
        <v>1640</v>
      </c>
      <c r="J153" s="9" t="s">
        <v>1641</v>
      </c>
      <c r="K153" s="13">
        <v>12</v>
      </c>
    </row>
    <row r="154" spans="1:11" ht="15" customHeight="1" x14ac:dyDescent="0.2">
      <c r="A154" s="13" t="s">
        <v>1642</v>
      </c>
      <c r="B154" s="13" t="s">
        <v>1643</v>
      </c>
      <c r="C154" s="13">
        <v>1963</v>
      </c>
      <c r="D154" s="13" t="s">
        <v>15</v>
      </c>
      <c r="E154" s="13" t="s">
        <v>1052</v>
      </c>
      <c r="F154" s="13">
        <v>7.05</v>
      </c>
      <c r="G154" s="13" t="s">
        <v>18</v>
      </c>
      <c r="H154" s="13" t="s">
        <v>1644</v>
      </c>
      <c r="I154" s="13" t="s">
        <v>1645</v>
      </c>
      <c r="J154" s="9" t="s">
        <v>1646</v>
      </c>
      <c r="K154" s="13">
        <v>80</v>
      </c>
    </row>
    <row r="155" spans="1:11" ht="15" customHeight="1" x14ac:dyDescent="0.2">
      <c r="A155" s="13" t="s">
        <v>1647</v>
      </c>
      <c r="B155" s="13" t="s">
        <v>1648</v>
      </c>
      <c r="C155" s="13">
        <v>1968</v>
      </c>
      <c r="D155" s="13" t="s">
        <v>15</v>
      </c>
      <c r="E155" s="13" t="s">
        <v>1270</v>
      </c>
      <c r="F155" s="13">
        <v>4.875</v>
      </c>
      <c r="G155" s="13" t="s">
        <v>28</v>
      </c>
      <c r="H155" s="13" t="s">
        <v>1649</v>
      </c>
      <c r="I155" s="13" t="s">
        <v>1650</v>
      </c>
      <c r="J155" s="9" t="s">
        <v>1651</v>
      </c>
      <c r="K155" s="13">
        <v>12</v>
      </c>
    </row>
    <row r="156" spans="1:11" ht="15" customHeight="1" x14ac:dyDescent="0.2">
      <c r="A156" s="13" t="s">
        <v>1652</v>
      </c>
      <c r="B156" s="13" t="s">
        <v>1653</v>
      </c>
      <c r="C156" s="13">
        <v>1948</v>
      </c>
      <c r="D156" s="13" t="s">
        <v>15</v>
      </c>
      <c r="E156" s="13" t="s">
        <v>1052</v>
      </c>
      <c r="F156" s="13">
        <v>6.7030000000000003</v>
      </c>
      <c r="G156" s="13" t="s">
        <v>18</v>
      </c>
      <c r="H156" s="13" t="s">
        <v>1654</v>
      </c>
      <c r="I156" s="13" t="s">
        <v>1655</v>
      </c>
      <c r="J156" s="9" t="s">
        <v>1656</v>
      </c>
      <c r="K156" s="13">
        <v>32</v>
      </c>
    </row>
    <row r="157" spans="1:11" ht="15" customHeight="1" x14ac:dyDescent="0.2">
      <c r="A157" s="13" t="s">
        <v>1657</v>
      </c>
      <c r="B157" s="13" t="s">
        <v>1657</v>
      </c>
      <c r="C157" s="13">
        <v>1996</v>
      </c>
      <c r="D157" s="13" t="s">
        <v>519</v>
      </c>
      <c r="E157" s="13" t="s">
        <v>1180</v>
      </c>
      <c r="F157" s="13"/>
      <c r="G157" s="13"/>
      <c r="H157" s="13" t="s">
        <v>1658</v>
      </c>
      <c r="I157" s="13" t="s">
        <v>1657</v>
      </c>
      <c r="J157" s="9" t="s">
        <v>1659</v>
      </c>
      <c r="K157" s="13"/>
    </row>
    <row r="158" spans="1:11" ht="15" customHeight="1" x14ac:dyDescent="0.2">
      <c r="A158" s="13" t="s">
        <v>1660</v>
      </c>
      <c r="B158" s="13" t="s">
        <v>1661</v>
      </c>
      <c r="C158" s="13">
        <v>1957</v>
      </c>
      <c r="D158" s="13" t="s">
        <v>15</v>
      </c>
      <c r="E158" s="13" t="s">
        <v>1662</v>
      </c>
      <c r="F158" s="13">
        <v>6.43</v>
      </c>
      <c r="G158" s="13" t="s">
        <v>46</v>
      </c>
      <c r="H158" s="13" t="s">
        <v>1663</v>
      </c>
      <c r="I158" s="13" t="s">
        <v>1664</v>
      </c>
      <c r="J158" s="9" t="s">
        <v>1665</v>
      </c>
      <c r="K158" s="13">
        <v>57</v>
      </c>
    </row>
    <row r="159" spans="1:11" ht="15" customHeight="1" x14ac:dyDescent="0.2">
      <c r="A159" s="13" t="s">
        <v>1666</v>
      </c>
      <c r="B159" s="13" t="s">
        <v>1667</v>
      </c>
      <c r="C159" s="13">
        <v>1952</v>
      </c>
      <c r="D159" s="13" t="s">
        <v>15</v>
      </c>
      <c r="E159" s="13" t="s">
        <v>1096</v>
      </c>
      <c r="F159" s="13">
        <v>6.1</v>
      </c>
      <c r="G159" s="13" t="s">
        <v>46</v>
      </c>
      <c r="H159" s="13" t="s">
        <v>1668</v>
      </c>
      <c r="I159" s="13" t="s">
        <v>1669</v>
      </c>
      <c r="J159" s="9"/>
      <c r="K159" s="13">
        <v>7</v>
      </c>
    </row>
    <row r="160" spans="1:11" ht="15" customHeight="1" x14ac:dyDescent="0.2">
      <c r="A160" s="13" t="s">
        <v>1670</v>
      </c>
      <c r="B160" s="13" t="s">
        <v>1671</v>
      </c>
      <c r="C160" s="13">
        <v>1951</v>
      </c>
      <c r="D160" s="13" t="s">
        <v>1163</v>
      </c>
      <c r="E160" s="13" t="s">
        <v>1672</v>
      </c>
      <c r="F160" s="13">
        <v>7.3</v>
      </c>
      <c r="G160" s="13" t="s">
        <v>18</v>
      </c>
      <c r="H160" s="13" t="s">
        <v>1673</v>
      </c>
      <c r="I160" s="13" t="s">
        <v>1674</v>
      </c>
      <c r="J160" s="9" t="s">
        <v>1675</v>
      </c>
      <c r="K160" s="13">
        <v>407</v>
      </c>
    </row>
    <row r="161" spans="1:11" ht="15" customHeight="1" x14ac:dyDescent="0.2">
      <c r="A161" s="15" t="s">
        <v>1676</v>
      </c>
      <c r="B161" s="15" t="s">
        <v>1677</v>
      </c>
      <c r="C161" s="15">
        <v>1953</v>
      </c>
      <c r="D161" s="15" t="s">
        <v>15</v>
      </c>
      <c r="E161" s="15" t="s">
        <v>1678</v>
      </c>
      <c r="F161" s="15">
        <v>5.8</v>
      </c>
      <c r="G161" s="15" t="s">
        <v>46</v>
      </c>
      <c r="H161" s="15" t="s">
        <v>1679</v>
      </c>
      <c r="I161" s="15" t="s">
        <v>1680</v>
      </c>
      <c r="J161" s="10" t="s">
        <v>1681</v>
      </c>
      <c r="K161" s="15">
        <v>9</v>
      </c>
    </row>
    <row r="162" spans="1:11" ht="15" customHeight="1" x14ac:dyDescent="0.2">
      <c r="A162" s="13" t="s">
        <v>1682</v>
      </c>
      <c r="B162" s="13" t="s">
        <v>1683</v>
      </c>
      <c r="C162" s="13">
        <v>1963</v>
      </c>
      <c r="D162" s="13" t="s">
        <v>1316</v>
      </c>
      <c r="E162" s="13" t="s">
        <v>566</v>
      </c>
      <c r="F162" s="13">
        <v>6.1070000000000002</v>
      </c>
      <c r="G162" s="13" t="s">
        <v>46</v>
      </c>
      <c r="H162" s="13" t="s">
        <v>1684</v>
      </c>
      <c r="I162" s="13" t="s">
        <v>1685</v>
      </c>
      <c r="J162" s="9" t="s">
        <v>1686</v>
      </c>
      <c r="K162" s="13">
        <v>61</v>
      </c>
    </row>
    <row r="163" spans="1:11" ht="15" customHeight="1" x14ac:dyDescent="0.2">
      <c r="A163" s="13" t="s">
        <v>1687</v>
      </c>
      <c r="B163" s="13" t="s">
        <v>1688</v>
      </c>
      <c r="C163" s="13">
        <v>1954</v>
      </c>
      <c r="D163" s="13" t="s">
        <v>15</v>
      </c>
      <c r="E163" s="13" t="s">
        <v>1689</v>
      </c>
      <c r="F163" s="13">
        <v>6.5</v>
      </c>
      <c r="G163" s="13" t="s">
        <v>46</v>
      </c>
      <c r="H163" s="13" t="s">
        <v>1690</v>
      </c>
      <c r="I163" s="13" t="s">
        <v>1691</v>
      </c>
      <c r="J163" s="9" t="s">
        <v>1692</v>
      </c>
      <c r="K163" s="13">
        <v>27</v>
      </c>
    </row>
    <row r="164" spans="1:11" ht="15" customHeight="1" x14ac:dyDescent="0.2">
      <c r="A164" s="13" t="s">
        <v>1693</v>
      </c>
      <c r="B164" s="13" t="s">
        <v>1694</v>
      </c>
      <c r="C164" s="13">
        <v>1948</v>
      </c>
      <c r="D164" s="13" t="s">
        <v>15</v>
      </c>
      <c r="E164" s="13" t="s">
        <v>1595</v>
      </c>
      <c r="F164" s="13">
        <v>5.9</v>
      </c>
      <c r="G164" s="13" t="s">
        <v>46</v>
      </c>
      <c r="H164" s="13" t="s">
        <v>1695</v>
      </c>
      <c r="I164" s="13" t="s">
        <v>1696</v>
      </c>
      <c r="J164" s="9" t="s">
        <v>1697</v>
      </c>
      <c r="K164" s="13">
        <v>18</v>
      </c>
    </row>
    <row r="165" spans="1:11" ht="15" customHeight="1" x14ac:dyDescent="0.2">
      <c r="A165" s="13" t="s">
        <v>1698</v>
      </c>
      <c r="B165" s="13" t="s">
        <v>1699</v>
      </c>
      <c r="C165" s="13">
        <v>1996</v>
      </c>
      <c r="D165" s="13" t="s">
        <v>413</v>
      </c>
      <c r="E165" s="13" t="s">
        <v>351</v>
      </c>
      <c r="F165" s="13">
        <v>0</v>
      </c>
      <c r="G165" s="13"/>
      <c r="H165" s="13" t="s">
        <v>1700</v>
      </c>
      <c r="I165" s="13" t="s">
        <v>1701</v>
      </c>
      <c r="J165" s="9"/>
      <c r="K165" s="13">
        <v>0</v>
      </c>
    </row>
    <row r="166" spans="1:11" ht="15" customHeight="1" x14ac:dyDescent="0.2">
      <c r="A166" s="13" t="s">
        <v>1702</v>
      </c>
      <c r="B166" s="13" t="s">
        <v>1703</v>
      </c>
      <c r="C166" s="13">
        <v>1962</v>
      </c>
      <c r="D166" s="13" t="s">
        <v>530</v>
      </c>
      <c r="E166" s="13" t="s">
        <v>1704</v>
      </c>
      <c r="F166" s="13">
        <v>0</v>
      </c>
      <c r="G166" s="13"/>
      <c r="H166" s="13" t="s">
        <v>1705</v>
      </c>
      <c r="I166" s="13" t="s">
        <v>49</v>
      </c>
      <c r="J166" s="9" t="s">
        <v>1706</v>
      </c>
      <c r="K166" s="13">
        <v>0</v>
      </c>
    </row>
    <row r="167" spans="1:11" ht="15" customHeight="1" x14ac:dyDescent="0.2">
      <c r="A167" s="13" t="s">
        <v>1707</v>
      </c>
      <c r="B167" s="13" t="s">
        <v>1708</v>
      </c>
      <c r="C167" s="13">
        <v>1961</v>
      </c>
      <c r="D167" s="13" t="s">
        <v>15</v>
      </c>
      <c r="E167" s="13" t="s">
        <v>1709</v>
      </c>
      <c r="F167" s="13">
        <v>6.4790000000000001</v>
      </c>
      <c r="G167" s="13" t="s">
        <v>46</v>
      </c>
      <c r="H167" s="13" t="s">
        <v>1710</v>
      </c>
      <c r="I167" s="13" t="s">
        <v>1711</v>
      </c>
      <c r="J167" s="9" t="s">
        <v>1712</v>
      </c>
      <c r="K167" s="13">
        <v>190</v>
      </c>
    </row>
    <row r="168" spans="1:11" ht="15" customHeight="1" x14ac:dyDescent="0.2">
      <c r="A168" s="13" t="s">
        <v>1713</v>
      </c>
      <c r="B168" s="13"/>
      <c r="C168" s="13">
        <v>1960</v>
      </c>
      <c r="D168" s="13"/>
      <c r="E168" s="13"/>
      <c r="F168" s="13"/>
      <c r="G168" s="13"/>
      <c r="H168" s="13"/>
      <c r="I168" s="13"/>
      <c r="J168" s="9" t="s">
        <v>1714</v>
      </c>
      <c r="K168" s="13"/>
    </row>
    <row r="169" spans="1:11" ht="15" customHeight="1" x14ac:dyDescent="0.2">
      <c r="A169" s="13" t="s">
        <v>1715</v>
      </c>
      <c r="B169" s="13" t="s">
        <v>1716</v>
      </c>
      <c r="C169" s="13">
        <v>1955</v>
      </c>
      <c r="D169" s="13" t="s">
        <v>15</v>
      </c>
      <c r="E169" s="13" t="s">
        <v>1717</v>
      </c>
      <c r="F169" s="13">
        <v>5</v>
      </c>
      <c r="G169" s="13" t="s">
        <v>28</v>
      </c>
      <c r="H169" s="13" t="s">
        <v>1718</v>
      </c>
      <c r="I169" s="13" t="s">
        <v>1719</v>
      </c>
      <c r="J169" s="9" t="s">
        <v>1720</v>
      </c>
      <c r="K169" s="13">
        <v>14</v>
      </c>
    </row>
    <row r="170" spans="1:11" ht="15" customHeight="1" x14ac:dyDescent="0.2">
      <c r="A170" s="13" t="s">
        <v>1721</v>
      </c>
      <c r="B170" s="13" t="s">
        <v>1722</v>
      </c>
      <c r="C170" s="13">
        <v>1959</v>
      </c>
      <c r="D170" s="13" t="s">
        <v>15</v>
      </c>
      <c r="E170" s="13" t="s">
        <v>1723</v>
      </c>
      <c r="F170" s="13">
        <v>6.2</v>
      </c>
      <c r="G170" s="13" t="s">
        <v>46</v>
      </c>
      <c r="H170" s="13" t="s">
        <v>1724</v>
      </c>
      <c r="I170" s="13" t="s">
        <v>1725</v>
      </c>
      <c r="J170" s="9" t="s">
        <v>1726</v>
      </c>
      <c r="K170" s="13">
        <v>94</v>
      </c>
    </row>
    <row r="171" spans="1:11" ht="15" customHeight="1" x14ac:dyDescent="0.2">
      <c r="A171" s="15" t="s">
        <v>1727</v>
      </c>
      <c r="B171" s="15" t="s">
        <v>1728</v>
      </c>
      <c r="C171" s="15">
        <v>1954</v>
      </c>
      <c r="D171" s="15" t="s">
        <v>1163</v>
      </c>
      <c r="E171" s="15" t="s">
        <v>1589</v>
      </c>
      <c r="F171" s="15">
        <v>7.1</v>
      </c>
      <c r="G171" s="15" t="s">
        <v>18</v>
      </c>
      <c r="H171" s="15" t="s">
        <v>1729</v>
      </c>
      <c r="I171" s="15" t="s">
        <v>1730</v>
      </c>
      <c r="J171" s="10" t="s">
        <v>1731</v>
      </c>
      <c r="K171" s="15">
        <v>18</v>
      </c>
    </row>
    <row r="172" spans="1:11" ht="15" customHeight="1" x14ac:dyDescent="0.2">
      <c r="A172" s="13" t="s">
        <v>1732</v>
      </c>
      <c r="B172" s="13" t="s">
        <v>1733</v>
      </c>
      <c r="C172" s="13">
        <v>1940</v>
      </c>
      <c r="D172" s="13" t="s">
        <v>15</v>
      </c>
      <c r="E172" s="13" t="s">
        <v>1052</v>
      </c>
      <c r="F172" s="13">
        <v>6.3</v>
      </c>
      <c r="G172" s="13" t="s">
        <v>46</v>
      </c>
      <c r="H172" s="13" t="s">
        <v>1734</v>
      </c>
      <c r="I172" s="13" t="s">
        <v>1735</v>
      </c>
      <c r="J172" s="9"/>
      <c r="K172" s="13">
        <v>18</v>
      </c>
    </row>
    <row r="173" spans="1:11" ht="15" customHeight="1" x14ac:dyDescent="0.2">
      <c r="A173" s="13" t="s">
        <v>1736</v>
      </c>
      <c r="B173" s="13" t="s">
        <v>1737</v>
      </c>
      <c r="C173" s="13">
        <v>1956</v>
      </c>
      <c r="D173" s="13" t="s">
        <v>15</v>
      </c>
      <c r="E173" s="13" t="s">
        <v>1024</v>
      </c>
      <c r="F173" s="13">
        <v>7.1</v>
      </c>
      <c r="G173" s="13" t="s">
        <v>18</v>
      </c>
      <c r="H173" s="13" t="s">
        <v>1738</v>
      </c>
      <c r="I173" s="13" t="s">
        <v>1739</v>
      </c>
      <c r="J173" s="9" t="s">
        <v>1740</v>
      </c>
      <c r="K173" s="13">
        <v>65</v>
      </c>
    </row>
    <row r="174" spans="1:11" ht="15" customHeight="1" x14ac:dyDescent="0.2">
      <c r="A174" s="13" t="s">
        <v>1741</v>
      </c>
      <c r="B174" s="13" t="s">
        <v>1742</v>
      </c>
      <c r="C174" s="13">
        <v>1944</v>
      </c>
      <c r="D174" s="13" t="s">
        <v>530</v>
      </c>
      <c r="E174" s="13" t="s">
        <v>566</v>
      </c>
      <c r="F174" s="13">
        <v>0</v>
      </c>
      <c r="G174" s="13"/>
      <c r="H174" s="13" t="s">
        <v>1743</v>
      </c>
      <c r="I174" s="13" t="s">
        <v>1744</v>
      </c>
      <c r="J174" s="9" t="s">
        <v>1745</v>
      </c>
      <c r="K174" s="13">
        <v>0</v>
      </c>
    </row>
    <row r="175" spans="1:11" ht="15" customHeight="1" x14ac:dyDescent="0.2">
      <c r="A175" s="13" t="s">
        <v>1746</v>
      </c>
      <c r="B175" s="13" t="s">
        <v>1747</v>
      </c>
      <c r="C175" s="13">
        <v>1943</v>
      </c>
      <c r="D175" s="13" t="s">
        <v>15</v>
      </c>
      <c r="E175" s="13" t="s">
        <v>531</v>
      </c>
      <c r="F175" s="13">
        <v>6.0949999999999998</v>
      </c>
      <c r="G175" s="13" t="s">
        <v>46</v>
      </c>
      <c r="H175" s="13" t="s">
        <v>1748</v>
      </c>
      <c r="I175" s="13" t="s">
        <v>1749</v>
      </c>
      <c r="J175" s="9" t="s">
        <v>1750</v>
      </c>
      <c r="K175" s="13">
        <v>37</v>
      </c>
    </row>
    <row r="176" spans="1:11" ht="15" customHeight="1" x14ac:dyDescent="0.2">
      <c r="A176" s="13" t="s">
        <v>1751</v>
      </c>
      <c r="B176" s="13" t="s">
        <v>1752</v>
      </c>
      <c r="C176" s="13">
        <v>1943</v>
      </c>
      <c r="D176" s="13" t="s">
        <v>15</v>
      </c>
      <c r="E176" s="13" t="s">
        <v>1052</v>
      </c>
      <c r="F176" s="13">
        <v>6.8330000000000002</v>
      </c>
      <c r="G176" s="13" t="s">
        <v>18</v>
      </c>
      <c r="H176" s="13" t="s">
        <v>1753</v>
      </c>
      <c r="I176" s="13" t="s">
        <v>1754</v>
      </c>
      <c r="J176" s="9" t="s">
        <v>1755</v>
      </c>
      <c r="K176" s="13">
        <v>18</v>
      </c>
    </row>
    <row r="177" spans="1:11" ht="15" customHeight="1" x14ac:dyDescent="0.2">
      <c r="A177" s="13" t="s">
        <v>1756</v>
      </c>
      <c r="B177" s="13" t="s">
        <v>1757</v>
      </c>
      <c r="C177" s="13">
        <v>1935</v>
      </c>
      <c r="D177" s="13" t="s">
        <v>15</v>
      </c>
      <c r="E177" s="13" t="s">
        <v>1096</v>
      </c>
      <c r="F177" s="13">
        <v>6.8819999999999997</v>
      </c>
      <c r="G177" s="13" t="s">
        <v>18</v>
      </c>
      <c r="H177" s="13" t="s">
        <v>1758</v>
      </c>
      <c r="I177" s="13" t="s">
        <v>1759</v>
      </c>
      <c r="J177" s="9" t="s">
        <v>1760</v>
      </c>
      <c r="K177" s="13">
        <v>17</v>
      </c>
    </row>
    <row r="178" spans="1:11" ht="15" customHeight="1" x14ac:dyDescent="0.2">
      <c r="A178" s="13" t="s">
        <v>1761</v>
      </c>
      <c r="B178" s="13"/>
      <c r="C178" s="13"/>
      <c r="D178" s="13"/>
      <c r="E178" s="13"/>
      <c r="F178" s="13"/>
      <c r="G178" s="13"/>
      <c r="H178" s="13"/>
      <c r="I178" s="13"/>
      <c r="J178" s="9"/>
      <c r="K178" s="13"/>
    </row>
    <row r="179" spans="1:11" ht="15" customHeight="1" x14ac:dyDescent="0.2">
      <c r="A179" s="13" t="s">
        <v>1762</v>
      </c>
      <c r="B179" s="13" t="s">
        <v>1763</v>
      </c>
      <c r="C179" s="13">
        <v>1959</v>
      </c>
      <c r="D179" s="13" t="s">
        <v>15</v>
      </c>
      <c r="E179" s="13" t="s">
        <v>1764</v>
      </c>
      <c r="F179" s="13">
        <v>7.8470000000000004</v>
      </c>
      <c r="G179" s="13" t="s">
        <v>77</v>
      </c>
      <c r="H179" s="13" t="s">
        <v>1765</v>
      </c>
      <c r="I179" s="13" t="s">
        <v>1766</v>
      </c>
      <c r="J179" s="9" t="s">
        <v>1767</v>
      </c>
      <c r="K179" s="13">
        <v>1103</v>
      </c>
    </row>
    <row r="180" spans="1:11" ht="15" customHeight="1" x14ac:dyDescent="0.2">
      <c r="A180" s="13" t="s">
        <v>1768</v>
      </c>
      <c r="B180" s="13" t="s">
        <v>1769</v>
      </c>
      <c r="C180" s="13">
        <v>1980</v>
      </c>
      <c r="D180" s="13" t="s">
        <v>49</v>
      </c>
      <c r="E180" s="13" t="s">
        <v>49</v>
      </c>
      <c r="F180" s="13">
        <v>6.984</v>
      </c>
      <c r="G180" s="13" t="s">
        <v>18</v>
      </c>
      <c r="H180" s="13" t="s">
        <v>1770</v>
      </c>
      <c r="I180" s="13" t="s">
        <v>1771</v>
      </c>
      <c r="J180" s="9" t="s">
        <v>1772</v>
      </c>
      <c r="K180" s="13">
        <v>693</v>
      </c>
    </row>
    <row r="181" spans="1:11" ht="15" customHeight="1" x14ac:dyDescent="0.2">
      <c r="A181" s="15" t="s">
        <v>1773</v>
      </c>
      <c r="B181" s="15" t="s">
        <v>1774</v>
      </c>
      <c r="C181" s="15">
        <v>1964</v>
      </c>
      <c r="D181" s="15" t="s">
        <v>1316</v>
      </c>
      <c r="E181" s="15" t="s">
        <v>1775</v>
      </c>
      <c r="F181" s="15">
        <v>6.0389999999999997</v>
      </c>
      <c r="G181" s="15" t="s">
        <v>46</v>
      </c>
      <c r="H181" s="15" t="s">
        <v>1776</v>
      </c>
      <c r="I181" s="15" t="s">
        <v>1777</v>
      </c>
      <c r="J181" s="10" t="s">
        <v>1778</v>
      </c>
      <c r="K181" s="15">
        <v>51</v>
      </c>
    </row>
    <row r="182" spans="1:11" ht="15" customHeight="1" x14ac:dyDescent="0.2">
      <c r="A182" s="13" t="s">
        <v>1779</v>
      </c>
      <c r="B182" s="13" t="s">
        <v>1780</v>
      </c>
      <c r="C182" s="13">
        <v>1994</v>
      </c>
      <c r="D182" s="13" t="s">
        <v>1781</v>
      </c>
      <c r="E182" s="13" t="s">
        <v>1782</v>
      </c>
      <c r="F182" s="13">
        <v>6.5</v>
      </c>
      <c r="G182" s="13" t="s">
        <v>46</v>
      </c>
      <c r="H182" s="13" t="s">
        <v>1783</v>
      </c>
      <c r="I182" s="13" t="s">
        <v>1784</v>
      </c>
      <c r="J182" s="9" t="s">
        <v>1785</v>
      </c>
      <c r="K182" s="13">
        <v>13</v>
      </c>
    </row>
    <row r="183" spans="1:11" ht="15" customHeight="1" x14ac:dyDescent="0.2">
      <c r="A183" s="13" t="s">
        <v>1786</v>
      </c>
      <c r="B183" s="13" t="s">
        <v>1787</v>
      </c>
      <c r="C183" s="13">
        <v>1971</v>
      </c>
      <c r="D183" s="13" t="s">
        <v>15</v>
      </c>
      <c r="E183" s="13" t="s">
        <v>1788</v>
      </c>
      <c r="F183" s="13">
        <v>7</v>
      </c>
      <c r="G183" s="13" t="s">
        <v>18</v>
      </c>
      <c r="H183" s="13" t="s">
        <v>1789</v>
      </c>
      <c r="I183" s="13" t="s">
        <v>1790</v>
      </c>
      <c r="J183" s="9" t="s">
        <v>1791</v>
      </c>
      <c r="K183" s="13">
        <v>55</v>
      </c>
    </row>
    <row r="184" spans="1:11" ht="15" customHeight="1" x14ac:dyDescent="0.2">
      <c r="A184" s="13" t="s">
        <v>1792</v>
      </c>
      <c r="B184" s="13" t="s">
        <v>1793</v>
      </c>
      <c r="C184" s="13">
        <v>1997</v>
      </c>
      <c r="D184" s="13" t="s">
        <v>15</v>
      </c>
      <c r="E184" s="13" t="s">
        <v>963</v>
      </c>
      <c r="F184" s="13">
        <v>7.6769999999999996</v>
      </c>
      <c r="G184" s="13" t="s">
        <v>77</v>
      </c>
      <c r="H184" s="13" t="s">
        <v>1794</v>
      </c>
      <c r="I184" s="13" t="s">
        <v>1795</v>
      </c>
      <c r="J184" s="9" t="s">
        <v>1796</v>
      </c>
      <c r="K184" s="13">
        <v>413</v>
      </c>
    </row>
    <row r="185" spans="1:11" ht="15" customHeight="1" x14ac:dyDescent="0.2">
      <c r="A185" s="13" t="s">
        <v>1797</v>
      </c>
      <c r="B185" s="13" t="s">
        <v>1797</v>
      </c>
      <c r="C185" s="13">
        <v>1980</v>
      </c>
      <c r="D185" s="13" t="s">
        <v>1798</v>
      </c>
      <c r="E185" s="13" t="s">
        <v>1799</v>
      </c>
      <c r="F185" s="13">
        <v>5.5</v>
      </c>
      <c r="G185" s="13" t="s">
        <v>46</v>
      </c>
      <c r="H185" s="13" t="s">
        <v>1800</v>
      </c>
      <c r="I185" s="13" t="s">
        <v>1801</v>
      </c>
      <c r="J185" s="9" t="s">
        <v>1802</v>
      </c>
      <c r="K185" s="13">
        <v>45</v>
      </c>
    </row>
    <row r="186" spans="1:11" ht="15" customHeight="1" x14ac:dyDescent="0.2">
      <c r="A186" s="13" t="s">
        <v>1803</v>
      </c>
      <c r="B186" s="13" t="s">
        <v>1803</v>
      </c>
      <c r="C186" s="13">
        <v>1972</v>
      </c>
      <c r="D186" s="13" t="s">
        <v>939</v>
      </c>
      <c r="E186" s="13" t="s">
        <v>934</v>
      </c>
      <c r="F186" s="13">
        <v>6.548</v>
      </c>
      <c r="G186" s="13" t="s">
        <v>18</v>
      </c>
      <c r="H186" s="13" t="s">
        <v>1804</v>
      </c>
      <c r="I186" s="13" t="s">
        <v>1805</v>
      </c>
      <c r="J186" s="9" t="s">
        <v>1806</v>
      </c>
      <c r="K186" s="13">
        <v>21</v>
      </c>
    </row>
    <row r="187" spans="1:11" ht="15" customHeight="1" x14ac:dyDescent="0.2">
      <c r="A187" s="13" t="s">
        <v>1807</v>
      </c>
      <c r="B187" s="13" t="s">
        <v>1808</v>
      </c>
      <c r="C187" s="13">
        <v>1963</v>
      </c>
      <c r="D187" s="13" t="s">
        <v>15</v>
      </c>
      <c r="E187" s="13" t="s">
        <v>1578</v>
      </c>
      <c r="F187" s="13">
        <v>6.6</v>
      </c>
      <c r="G187" s="13" t="s">
        <v>18</v>
      </c>
      <c r="H187" s="13" t="s">
        <v>1809</v>
      </c>
      <c r="I187" s="13" t="s">
        <v>1810</v>
      </c>
      <c r="J187" s="9" t="s">
        <v>1811</v>
      </c>
      <c r="K187" s="13">
        <v>88</v>
      </c>
    </row>
    <row r="188" spans="1:11" ht="15" customHeight="1" x14ac:dyDescent="0.2">
      <c r="A188" s="13" t="s">
        <v>1812</v>
      </c>
      <c r="B188" s="13" t="s">
        <v>1793</v>
      </c>
      <c r="C188" s="13">
        <v>1957</v>
      </c>
      <c r="D188" s="13" t="s">
        <v>15</v>
      </c>
      <c r="E188" s="13" t="s">
        <v>566</v>
      </c>
      <c r="F188" s="13">
        <v>8.548</v>
      </c>
      <c r="G188" s="13" t="s">
        <v>1813</v>
      </c>
      <c r="H188" s="13" t="s">
        <v>1814</v>
      </c>
      <c r="I188" s="13" t="s">
        <v>1815</v>
      </c>
      <c r="J188" s="9" t="s">
        <v>1816</v>
      </c>
      <c r="K188" s="13">
        <v>9584</v>
      </c>
    </row>
    <row r="189" spans="1:11" ht="15" customHeight="1" x14ac:dyDescent="0.2">
      <c r="A189" s="13" t="s">
        <v>1817</v>
      </c>
      <c r="B189" s="13" t="s">
        <v>1818</v>
      </c>
      <c r="C189" s="13">
        <v>1966</v>
      </c>
      <c r="D189" s="13" t="s">
        <v>15</v>
      </c>
      <c r="E189" s="13" t="s">
        <v>1052</v>
      </c>
      <c r="F189" s="13">
        <v>5.5</v>
      </c>
      <c r="G189" s="13" t="s">
        <v>46</v>
      </c>
      <c r="H189" s="13" t="s">
        <v>1819</v>
      </c>
      <c r="I189" s="13" t="s">
        <v>1820</v>
      </c>
      <c r="J189" s="9" t="s">
        <v>1821</v>
      </c>
      <c r="K189" s="13">
        <v>10</v>
      </c>
    </row>
    <row r="190" spans="1:11" ht="15" customHeight="1" x14ac:dyDescent="0.2">
      <c r="A190" s="13" t="s">
        <v>1822</v>
      </c>
      <c r="B190" s="13" t="s">
        <v>1823</v>
      </c>
      <c r="C190" s="13">
        <v>1961</v>
      </c>
      <c r="D190" s="13" t="s">
        <v>15</v>
      </c>
      <c r="E190" s="13" t="s">
        <v>1024</v>
      </c>
      <c r="F190" s="13">
        <v>7.6790000000000003</v>
      </c>
      <c r="G190" s="13" t="s">
        <v>77</v>
      </c>
      <c r="H190" s="13" t="s">
        <v>1824</v>
      </c>
      <c r="I190" s="13" t="s">
        <v>1825</v>
      </c>
      <c r="J190" s="9" t="s">
        <v>1826</v>
      </c>
      <c r="K190" s="13">
        <v>1033</v>
      </c>
    </row>
    <row r="191" spans="1:11" ht="15" customHeight="1" x14ac:dyDescent="0.2">
      <c r="A191" s="15" t="s">
        <v>1827</v>
      </c>
      <c r="B191" s="15" t="s">
        <v>1828</v>
      </c>
      <c r="C191" s="15">
        <v>1979</v>
      </c>
      <c r="D191" s="15" t="s">
        <v>15</v>
      </c>
      <c r="E191" s="15" t="s">
        <v>1829</v>
      </c>
      <c r="F191" s="15">
        <v>6.7030000000000003</v>
      </c>
      <c r="G191" s="15" t="s">
        <v>18</v>
      </c>
      <c r="H191" s="15" t="s">
        <v>1830</v>
      </c>
      <c r="I191" s="15" t="s">
        <v>1831</v>
      </c>
      <c r="J191" s="10" t="s">
        <v>1832</v>
      </c>
      <c r="K191" s="15">
        <v>298</v>
      </c>
    </row>
    <row r="192" spans="1:11" ht="15" customHeight="1" x14ac:dyDescent="0.2">
      <c r="A192" s="13" t="s">
        <v>1833</v>
      </c>
      <c r="B192" s="13" t="s">
        <v>1834</v>
      </c>
      <c r="C192" s="13">
        <v>1971</v>
      </c>
      <c r="D192" s="13" t="s">
        <v>413</v>
      </c>
      <c r="E192" s="13" t="s">
        <v>1835</v>
      </c>
      <c r="F192" s="13">
        <v>6.5590000000000002</v>
      </c>
      <c r="G192" s="13" t="s">
        <v>18</v>
      </c>
      <c r="H192" s="13" t="s">
        <v>1836</v>
      </c>
      <c r="I192" s="13" t="s">
        <v>1837</v>
      </c>
      <c r="J192" s="9" t="s">
        <v>1838</v>
      </c>
      <c r="K192" s="13">
        <v>101</v>
      </c>
    </row>
    <row r="193" spans="1:11" ht="15" customHeight="1" x14ac:dyDescent="0.2">
      <c r="A193" s="13" t="s">
        <v>1839</v>
      </c>
      <c r="B193" s="13" t="s">
        <v>1840</v>
      </c>
      <c r="C193" s="13">
        <v>1977</v>
      </c>
      <c r="D193" s="13" t="s">
        <v>15</v>
      </c>
      <c r="E193" s="13" t="s">
        <v>566</v>
      </c>
      <c r="F193" s="13">
        <v>6.4</v>
      </c>
      <c r="G193" s="13" t="s">
        <v>46</v>
      </c>
      <c r="H193" s="13" t="s">
        <v>1841</v>
      </c>
      <c r="I193" s="13" t="s">
        <v>1842</v>
      </c>
      <c r="J193" s="9" t="s">
        <v>1843</v>
      </c>
      <c r="K193" s="13">
        <v>22</v>
      </c>
    </row>
    <row r="194" spans="1:11" ht="15" customHeight="1" x14ac:dyDescent="0.2">
      <c r="A194" s="13" t="s">
        <v>1844</v>
      </c>
      <c r="B194" s="13" t="s">
        <v>1845</v>
      </c>
      <c r="C194" s="13">
        <v>1974</v>
      </c>
      <c r="D194" s="13" t="s">
        <v>15</v>
      </c>
      <c r="E194" s="13" t="s">
        <v>928</v>
      </c>
      <c r="F194" s="13">
        <v>5.4</v>
      </c>
      <c r="G194" s="13" t="s">
        <v>28</v>
      </c>
      <c r="H194" s="13" t="s">
        <v>1846</v>
      </c>
      <c r="I194" s="13" t="s">
        <v>1847</v>
      </c>
      <c r="J194" s="9" t="s">
        <v>1848</v>
      </c>
      <c r="K194" s="13">
        <v>31</v>
      </c>
    </row>
    <row r="195" spans="1:11" ht="15" customHeight="1" x14ac:dyDescent="0.2">
      <c r="A195" s="13" t="s">
        <v>1849</v>
      </c>
      <c r="B195" s="13" t="s">
        <v>1850</v>
      </c>
      <c r="C195" s="13">
        <v>1970</v>
      </c>
      <c r="D195" s="13" t="s">
        <v>15</v>
      </c>
      <c r="E195" s="13" t="s">
        <v>1851</v>
      </c>
      <c r="F195" s="13">
        <v>7.4790000000000001</v>
      </c>
      <c r="G195" s="13" t="s">
        <v>18</v>
      </c>
      <c r="H195" s="13" t="s">
        <v>1852</v>
      </c>
      <c r="I195" s="13" t="s">
        <v>1853</v>
      </c>
      <c r="J195" s="9" t="s">
        <v>1854</v>
      </c>
      <c r="K195" s="13">
        <v>1169</v>
      </c>
    </row>
    <row r="196" spans="1:11" ht="15" customHeight="1" x14ac:dyDescent="0.2">
      <c r="A196" s="13" t="s">
        <v>1855</v>
      </c>
      <c r="B196" s="13" t="s">
        <v>1856</v>
      </c>
      <c r="C196" s="13">
        <v>1972</v>
      </c>
      <c r="D196" s="13" t="s">
        <v>15</v>
      </c>
      <c r="E196" s="13" t="s">
        <v>1857</v>
      </c>
      <c r="F196" s="13">
        <v>6.6</v>
      </c>
      <c r="G196" s="13" t="s">
        <v>18</v>
      </c>
      <c r="H196" s="13" t="s">
        <v>1858</v>
      </c>
      <c r="I196" s="13" t="s">
        <v>1859</v>
      </c>
      <c r="J196" s="9" t="s">
        <v>1860</v>
      </c>
      <c r="K196" s="13">
        <v>72</v>
      </c>
    </row>
    <row r="197" spans="1:11" ht="15" customHeight="1" x14ac:dyDescent="0.2">
      <c r="A197" s="13" t="s">
        <v>1834</v>
      </c>
      <c r="B197" s="13" t="s">
        <v>1834</v>
      </c>
      <c r="C197" s="13">
        <v>1971</v>
      </c>
      <c r="D197" s="13" t="s">
        <v>413</v>
      </c>
      <c r="E197" s="13" t="s">
        <v>1835</v>
      </c>
      <c r="F197" s="13">
        <v>6.5590000000000002</v>
      </c>
      <c r="G197" s="13" t="s">
        <v>18</v>
      </c>
      <c r="H197" s="13" t="s">
        <v>1836</v>
      </c>
      <c r="I197" s="13" t="s">
        <v>1837</v>
      </c>
      <c r="J197" s="9" t="s">
        <v>1838</v>
      </c>
      <c r="K197" s="13">
        <v>101</v>
      </c>
    </row>
    <row r="198" spans="1:11" ht="15" customHeight="1" x14ac:dyDescent="0.2">
      <c r="A198" s="13" t="s">
        <v>1861</v>
      </c>
      <c r="B198" s="13" t="s">
        <v>1862</v>
      </c>
      <c r="C198" s="13">
        <v>1971</v>
      </c>
      <c r="D198" s="13" t="s">
        <v>15</v>
      </c>
      <c r="E198" s="13" t="s">
        <v>1863</v>
      </c>
      <c r="F198" s="13">
        <v>6.3529999999999998</v>
      </c>
      <c r="G198" s="13" t="s">
        <v>46</v>
      </c>
      <c r="H198" s="13" t="s">
        <v>1864</v>
      </c>
      <c r="I198" s="13" t="s">
        <v>1865</v>
      </c>
      <c r="J198" s="9" t="s">
        <v>1866</v>
      </c>
      <c r="K198" s="13">
        <v>34</v>
      </c>
    </row>
    <row r="199" spans="1:11" ht="15" customHeight="1" x14ac:dyDescent="0.2">
      <c r="A199" s="13" t="s">
        <v>1867</v>
      </c>
      <c r="B199" s="13" t="s">
        <v>1868</v>
      </c>
      <c r="C199" s="13">
        <v>1999</v>
      </c>
      <c r="D199" s="13" t="s">
        <v>530</v>
      </c>
      <c r="E199" s="13" t="s">
        <v>885</v>
      </c>
      <c r="F199" s="13">
        <v>6.1349999999999998</v>
      </c>
      <c r="G199" s="13" t="s">
        <v>46</v>
      </c>
      <c r="H199" s="13" t="s">
        <v>1869</v>
      </c>
      <c r="I199" s="13" t="s">
        <v>1870</v>
      </c>
      <c r="J199" s="9" t="s">
        <v>1871</v>
      </c>
      <c r="K199" s="13">
        <v>37</v>
      </c>
    </row>
    <row r="200" spans="1:11" ht="15" customHeight="1" x14ac:dyDescent="0.2">
      <c r="A200" s="13" t="s">
        <v>1872</v>
      </c>
      <c r="B200" s="13" t="s">
        <v>1872</v>
      </c>
      <c r="C200" s="13">
        <v>2017</v>
      </c>
      <c r="D200" s="13" t="s">
        <v>1873</v>
      </c>
      <c r="E200" s="13" t="s">
        <v>934</v>
      </c>
      <c r="F200" s="13"/>
      <c r="G200" s="13"/>
      <c r="H200" s="13" t="s">
        <v>1874</v>
      </c>
      <c r="I200" s="13" t="s">
        <v>1875</v>
      </c>
      <c r="J200" s="9"/>
      <c r="K200" s="13"/>
    </row>
    <row r="201" spans="1:11" ht="15" customHeight="1" x14ac:dyDescent="0.2">
      <c r="A201" s="15" t="s">
        <v>1876</v>
      </c>
      <c r="B201" s="15" t="s">
        <v>1877</v>
      </c>
      <c r="C201" s="15">
        <v>1986</v>
      </c>
      <c r="D201" s="15" t="s">
        <v>15</v>
      </c>
      <c r="E201" s="15" t="s">
        <v>1270</v>
      </c>
      <c r="F201" s="15">
        <v>6.3</v>
      </c>
      <c r="G201" s="15" t="s">
        <v>46</v>
      </c>
      <c r="H201" s="15" t="s">
        <v>1878</v>
      </c>
      <c r="I201" s="15" t="s">
        <v>1879</v>
      </c>
      <c r="J201" s="10" t="s">
        <v>1880</v>
      </c>
      <c r="K201" s="15">
        <v>201</v>
      </c>
    </row>
    <row r="202" spans="1:11" ht="15" customHeight="1" x14ac:dyDescent="0.2">
      <c r="A202" s="13" t="s">
        <v>1881</v>
      </c>
      <c r="B202" s="13"/>
      <c r="C202" s="13"/>
      <c r="D202" s="13"/>
      <c r="E202" s="13"/>
      <c r="F202" s="13"/>
      <c r="G202" s="13"/>
      <c r="H202" s="13"/>
      <c r="I202" s="13"/>
      <c r="J202" s="9"/>
      <c r="K202" s="13"/>
    </row>
    <row r="203" spans="1:11" ht="15" customHeight="1" x14ac:dyDescent="0.2">
      <c r="A203" s="13" t="s">
        <v>1882</v>
      </c>
      <c r="B203" s="13" t="s">
        <v>1883</v>
      </c>
      <c r="C203" s="13">
        <v>1990</v>
      </c>
      <c r="D203" s="13" t="s">
        <v>15</v>
      </c>
      <c r="E203" s="13" t="s">
        <v>1884</v>
      </c>
      <c r="F203" s="13">
        <v>6.2220000000000004</v>
      </c>
      <c r="G203" s="13" t="s">
        <v>46</v>
      </c>
      <c r="H203" s="13" t="s">
        <v>1885</v>
      </c>
      <c r="I203" s="13" t="s">
        <v>1886</v>
      </c>
      <c r="J203" s="9" t="s">
        <v>1887</v>
      </c>
      <c r="K203" s="13">
        <v>999</v>
      </c>
    </row>
    <row r="204" spans="1:11" ht="15" customHeight="1" x14ac:dyDescent="0.2">
      <c r="A204" s="13" t="s">
        <v>1888</v>
      </c>
      <c r="B204" s="13" t="s">
        <v>1889</v>
      </c>
      <c r="C204" s="13">
        <v>1987</v>
      </c>
      <c r="D204" s="13" t="s">
        <v>15</v>
      </c>
      <c r="E204" s="13" t="s">
        <v>1052</v>
      </c>
      <c r="F204" s="13">
        <v>6.8339999999999996</v>
      </c>
      <c r="G204" s="13" t="s">
        <v>18</v>
      </c>
      <c r="H204" s="13" t="s">
        <v>1890</v>
      </c>
      <c r="I204" s="13" t="s">
        <v>1891</v>
      </c>
      <c r="J204" s="9" t="s">
        <v>1892</v>
      </c>
      <c r="K204" s="13">
        <v>923</v>
      </c>
    </row>
    <row r="205" spans="1:11" ht="15" customHeight="1" x14ac:dyDescent="0.2">
      <c r="A205" s="13" t="s">
        <v>1893</v>
      </c>
      <c r="B205" s="13" t="s">
        <v>1894</v>
      </c>
      <c r="C205" s="13">
        <v>1972</v>
      </c>
      <c r="D205" s="13" t="s">
        <v>15</v>
      </c>
      <c r="E205" s="13" t="s">
        <v>1052</v>
      </c>
      <c r="F205" s="13">
        <v>6.7350000000000003</v>
      </c>
      <c r="G205" s="13" t="s">
        <v>18</v>
      </c>
      <c r="H205" s="13" t="s">
        <v>1895</v>
      </c>
      <c r="I205" s="13" t="s">
        <v>1896</v>
      </c>
      <c r="J205" s="9" t="s">
        <v>1897</v>
      </c>
      <c r="K205" s="13">
        <v>85</v>
      </c>
    </row>
    <row r="206" spans="1:11" ht="15" customHeight="1" x14ac:dyDescent="0.2">
      <c r="A206" s="13" t="s">
        <v>1898</v>
      </c>
      <c r="B206" s="13" t="s">
        <v>1899</v>
      </c>
      <c r="C206" s="13">
        <v>1974</v>
      </c>
      <c r="D206" s="13" t="s">
        <v>413</v>
      </c>
      <c r="E206" s="13" t="s">
        <v>1900</v>
      </c>
      <c r="F206" s="13">
        <v>6.6</v>
      </c>
      <c r="G206" s="13" t="s">
        <v>18</v>
      </c>
      <c r="H206" s="13" t="s">
        <v>1901</v>
      </c>
      <c r="I206" s="13" t="s">
        <v>1902</v>
      </c>
      <c r="J206" s="9" t="s">
        <v>1903</v>
      </c>
      <c r="K206" s="13">
        <v>436</v>
      </c>
    </row>
    <row r="207" spans="1:11" ht="15" customHeight="1" x14ac:dyDescent="0.2">
      <c r="A207" s="13" t="s">
        <v>1904</v>
      </c>
      <c r="B207" s="13" t="s">
        <v>1904</v>
      </c>
      <c r="C207" s="13">
        <v>1983</v>
      </c>
      <c r="D207" s="13" t="s">
        <v>413</v>
      </c>
      <c r="E207" s="13" t="s">
        <v>1036</v>
      </c>
      <c r="F207" s="13">
        <v>6.2</v>
      </c>
      <c r="G207" s="13" t="s">
        <v>46</v>
      </c>
      <c r="H207" s="13" t="s">
        <v>1905</v>
      </c>
      <c r="I207" s="13" t="s">
        <v>1906</v>
      </c>
      <c r="J207" s="9"/>
      <c r="K207" s="13">
        <v>8</v>
      </c>
    </row>
    <row r="208" spans="1:11" ht="15" customHeight="1" x14ac:dyDescent="0.2">
      <c r="A208" s="13" t="s">
        <v>1907</v>
      </c>
      <c r="B208" s="13"/>
      <c r="C208" s="13"/>
      <c r="D208" s="13"/>
      <c r="E208" s="13"/>
      <c r="F208" s="13"/>
      <c r="G208" s="13"/>
      <c r="H208" s="13"/>
      <c r="I208" s="13"/>
      <c r="J208" s="9"/>
      <c r="K208" s="13"/>
    </row>
    <row r="209" spans="1:11" ht="15" customHeight="1" x14ac:dyDescent="0.2">
      <c r="A209" s="13" t="s">
        <v>1908</v>
      </c>
      <c r="B209" s="13" t="s">
        <v>1908</v>
      </c>
      <c r="C209" s="13">
        <v>1954</v>
      </c>
      <c r="D209" s="13" t="s">
        <v>1163</v>
      </c>
      <c r="E209" s="13" t="s">
        <v>566</v>
      </c>
      <c r="F209" s="13">
        <v>6.9</v>
      </c>
      <c r="G209" s="13" t="s">
        <v>18</v>
      </c>
      <c r="H209" s="13" t="s">
        <v>1909</v>
      </c>
      <c r="I209" s="13" t="s">
        <v>1910</v>
      </c>
      <c r="J209" s="9" t="s">
        <v>1911</v>
      </c>
      <c r="K209" s="13">
        <v>86</v>
      </c>
    </row>
    <row r="210" spans="1:11" ht="15" customHeight="1" x14ac:dyDescent="0.2">
      <c r="A210" s="13" t="s">
        <v>1912</v>
      </c>
      <c r="B210" s="13" t="s">
        <v>1913</v>
      </c>
      <c r="C210" s="13">
        <v>1954</v>
      </c>
      <c r="D210" s="13" t="s">
        <v>15</v>
      </c>
      <c r="E210" s="13" t="s">
        <v>1717</v>
      </c>
      <c r="F210" s="13">
        <v>6.2</v>
      </c>
      <c r="G210" s="13" t="s">
        <v>46</v>
      </c>
      <c r="H210" s="13" t="s">
        <v>1914</v>
      </c>
      <c r="I210" s="13" t="s">
        <v>1915</v>
      </c>
      <c r="J210" s="9" t="s">
        <v>1916</v>
      </c>
      <c r="K210" s="13">
        <v>25</v>
      </c>
    </row>
    <row r="211" spans="1:11" ht="15" customHeight="1" x14ac:dyDescent="0.2">
      <c r="A211" s="15" t="s">
        <v>1917</v>
      </c>
      <c r="B211" s="15" t="s">
        <v>1917</v>
      </c>
      <c r="C211" s="15">
        <v>1953</v>
      </c>
      <c r="D211" s="15" t="s">
        <v>413</v>
      </c>
      <c r="E211" s="15" t="s">
        <v>385</v>
      </c>
      <c r="F211" s="15">
        <v>6.423</v>
      </c>
      <c r="G211" s="15" t="s">
        <v>46</v>
      </c>
      <c r="H211" s="15" t="s">
        <v>1918</v>
      </c>
      <c r="I211" s="15" t="s">
        <v>1919</v>
      </c>
      <c r="J211" s="10" t="s">
        <v>1920</v>
      </c>
      <c r="K211" s="15">
        <v>168</v>
      </c>
    </row>
    <row r="212" spans="1:11" ht="15" customHeight="1" x14ac:dyDescent="0.2">
      <c r="A212" s="13" t="s">
        <v>1921</v>
      </c>
      <c r="B212" s="13" t="s">
        <v>1922</v>
      </c>
      <c r="C212" s="13">
        <v>1951</v>
      </c>
      <c r="D212" s="13" t="s">
        <v>15</v>
      </c>
      <c r="E212" s="13" t="s">
        <v>1510</v>
      </c>
      <c r="F212" s="13">
        <v>7.2</v>
      </c>
      <c r="G212" s="13" t="s">
        <v>18</v>
      </c>
      <c r="H212" s="13" t="s">
        <v>1923</v>
      </c>
      <c r="I212" s="13" t="s">
        <v>1924</v>
      </c>
      <c r="J212" s="9" t="s">
        <v>1925</v>
      </c>
      <c r="K212" s="13">
        <v>47</v>
      </c>
    </row>
    <row r="213" spans="1:11" ht="15" customHeight="1" x14ac:dyDescent="0.2">
      <c r="A213" s="13" t="s">
        <v>1926</v>
      </c>
      <c r="B213" s="13" t="s">
        <v>1927</v>
      </c>
      <c r="C213" s="13">
        <v>2000</v>
      </c>
      <c r="D213" s="13" t="s">
        <v>413</v>
      </c>
      <c r="E213" s="13" t="s">
        <v>1180</v>
      </c>
      <c r="F213" s="13"/>
      <c r="G213" s="13"/>
      <c r="H213" s="13" t="s">
        <v>1928</v>
      </c>
      <c r="I213" s="13" t="s">
        <v>1929</v>
      </c>
      <c r="J213" s="9"/>
      <c r="K213" s="13"/>
    </row>
    <row r="214" spans="1:11" ht="15" customHeight="1" x14ac:dyDescent="0.2">
      <c r="A214" s="13" t="s">
        <v>1930</v>
      </c>
      <c r="B214" s="13" t="s">
        <v>1931</v>
      </c>
      <c r="C214" s="13">
        <v>1947</v>
      </c>
      <c r="D214" s="13" t="s">
        <v>15</v>
      </c>
      <c r="E214" s="13" t="s">
        <v>1932</v>
      </c>
      <c r="F214" s="13">
        <v>6.2</v>
      </c>
      <c r="G214" s="13" t="s">
        <v>46</v>
      </c>
      <c r="H214" s="13" t="s">
        <v>1933</v>
      </c>
      <c r="I214" s="13" t="s">
        <v>1934</v>
      </c>
      <c r="J214" s="9" t="s">
        <v>1935</v>
      </c>
      <c r="K214" s="13">
        <v>255</v>
      </c>
    </row>
    <row r="215" spans="1:11" ht="15" customHeight="1" x14ac:dyDescent="0.2">
      <c r="A215" s="13" t="s">
        <v>1936</v>
      </c>
      <c r="B215" s="13" t="s">
        <v>1937</v>
      </c>
      <c r="C215" s="13">
        <v>1952</v>
      </c>
      <c r="D215" s="13" t="s">
        <v>1316</v>
      </c>
      <c r="E215" s="13" t="s">
        <v>1938</v>
      </c>
      <c r="F215" s="13">
        <v>6.9</v>
      </c>
      <c r="G215" s="13" t="s">
        <v>18</v>
      </c>
      <c r="H215" s="13" t="s">
        <v>1939</v>
      </c>
      <c r="I215" s="13" t="s">
        <v>1940</v>
      </c>
      <c r="J215" s="9" t="s">
        <v>1941</v>
      </c>
      <c r="K215" s="13">
        <v>135</v>
      </c>
    </row>
    <row r="216" spans="1:11" ht="15" customHeight="1" x14ac:dyDescent="0.2">
      <c r="A216" s="13" t="s">
        <v>1942</v>
      </c>
      <c r="B216" s="13" t="s">
        <v>1943</v>
      </c>
      <c r="C216" s="13">
        <v>1965</v>
      </c>
      <c r="D216" s="13" t="s">
        <v>15</v>
      </c>
      <c r="E216" s="13" t="s">
        <v>1578</v>
      </c>
      <c r="F216" s="13">
        <v>7</v>
      </c>
      <c r="G216" s="13" t="s">
        <v>18</v>
      </c>
      <c r="H216" s="13" t="s">
        <v>1944</v>
      </c>
      <c r="I216" s="13" t="s">
        <v>1945</v>
      </c>
      <c r="J216" s="9" t="s">
        <v>1946</v>
      </c>
      <c r="K216" s="13">
        <v>113</v>
      </c>
    </row>
    <row r="217" spans="1:11" ht="15" customHeight="1" x14ac:dyDescent="0.2">
      <c r="A217" s="13" t="s">
        <v>1947</v>
      </c>
      <c r="B217" s="13" t="s">
        <v>1948</v>
      </c>
      <c r="C217" s="13">
        <v>1945</v>
      </c>
      <c r="D217" s="13" t="s">
        <v>1949</v>
      </c>
      <c r="E217" s="13" t="s">
        <v>566</v>
      </c>
      <c r="F217" s="13">
        <v>0</v>
      </c>
      <c r="G217" s="13"/>
      <c r="H217" s="13" t="s">
        <v>1950</v>
      </c>
      <c r="I217" s="13" t="s">
        <v>1951</v>
      </c>
      <c r="J217" s="9" t="s">
        <v>1952</v>
      </c>
      <c r="K217" s="13">
        <v>0</v>
      </c>
    </row>
    <row r="218" spans="1:11" ht="15" customHeight="1" x14ac:dyDescent="0.2">
      <c r="A218" s="13" t="s">
        <v>1953</v>
      </c>
      <c r="B218" s="13" t="s">
        <v>1954</v>
      </c>
      <c r="C218" s="13">
        <v>1946</v>
      </c>
      <c r="D218" s="13" t="s">
        <v>15</v>
      </c>
      <c r="E218" s="13" t="s">
        <v>1955</v>
      </c>
      <c r="F218" s="13">
        <v>6.6</v>
      </c>
      <c r="G218" s="13" t="s">
        <v>18</v>
      </c>
      <c r="H218" s="13" t="s">
        <v>1956</v>
      </c>
      <c r="I218" s="13" t="s">
        <v>1957</v>
      </c>
      <c r="J218" s="9" t="s">
        <v>1958</v>
      </c>
      <c r="K218" s="13">
        <v>99</v>
      </c>
    </row>
    <row r="219" spans="1:11" ht="15" customHeight="1" x14ac:dyDescent="0.2">
      <c r="A219" s="13" t="s">
        <v>1959</v>
      </c>
      <c r="B219" s="13" t="s">
        <v>1960</v>
      </c>
      <c r="C219" s="13">
        <v>1985</v>
      </c>
      <c r="D219" s="13" t="s">
        <v>15</v>
      </c>
      <c r="E219" s="13" t="s">
        <v>1961</v>
      </c>
      <c r="F219" s="13">
        <v>6.1</v>
      </c>
      <c r="G219" s="13" t="s">
        <v>46</v>
      </c>
      <c r="H219" s="13" t="s">
        <v>1962</v>
      </c>
      <c r="I219" s="13" t="s">
        <v>1963</v>
      </c>
      <c r="J219" s="9" t="s">
        <v>1964</v>
      </c>
      <c r="K219" s="13">
        <v>71</v>
      </c>
    </row>
    <row r="220" spans="1:11" ht="15" customHeight="1" x14ac:dyDescent="0.2">
      <c r="A220" s="13" t="s">
        <v>1965</v>
      </c>
      <c r="B220" s="13" t="s">
        <v>1966</v>
      </c>
      <c r="C220" s="13">
        <v>1944</v>
      </c>
      <c r="D220" s="13" t="s">
        <v>15</v>
      </c>
      <c r="E220" s="13" t="s">
        <v>566</v>
      </c>
      <c r="F220" s="13">
        <v>7</v>
      </c>
      <c r="G220" s="13" t="s">
        <v>18</v>
      </c>
      <c r="H220" s="13" t="s">
        <v>1967</v>
      </c>
      <c r="I220" s="13" t="s">
        <v>1968</v>
      </c>
      <c r="J220" s="9" t="s">
        <v>1969</v>
      </c>
      <c r="K220" s="13">
        <v>50</v>
      </c>
    </row>
    <row r="221" spans="1:11" ht="15" customHeight="1" x14ac:dyDescent="0.2">
      <c r="A221" s="15" t="s">
        <v>1970</v>
      </c>
      <c r="B221" s="15" t="s">
        <v>1971</v>
      </c>
      <c r="C221" s="15">
        <v>1952</v>
      </c>
      <c r="D221" s="15" t="s">
        <v>15</v>
      </c>
      <c r="E221" s="15" t="s">
        <v>1064</v>
      </c>
      <c r="F221" s="15">
        <v>6.4740000000000002</v>
      </c>
      <c r="G221" s="15" t="s">
        <v>46</v>
      </c>
      <c r="H221" s="15" t="s">
        <v>1972</v>
      </c>
      <c r="I221" s="15" t="s">
        <v>1973</v>
      </c>
      <c r="J221" s="10" t="s">
        <v>1974</v>
      </c>
      <c r="K221" s="15">
        <v>38</v>
      </c>
    </row>
    <row r="222" spans="1:11" ht="15" customHeight="1" x14ac:dyDescent="0.2">
      <c r="A222" s="13" t="s">
        <v>1975</v>
      </c>
      <c r="B222" s="13" t="s">
        <v>1976</v>
      </c>
      <c r="C222" s="13">
        <v>1947</v>
      </c>
      <c r="D222" s="13" t="s">
        <v>15</v>
      </c>
      <c r="E222" s="13" t="s">
        <v>566</v>
      </c>
      <c r="F222" s="13">
        <v>6.9770000000000003</v>
      </c>
      <c r="G222" s="13" t="s">
        <v>18</v>
      </c>
      <c r="H222" s="13" t="s">
        <v>1977</v>
      </c>
      <c r="I222" s="13" t="s">
        <v>1978</v>
      </c>
      <c r="J222" s="9" t="s">
        <v>1979</v>
      </c>
      <c r="K222" s="13">
        <v>264</v>
      </c>
    </row>
    <row r="223" spans="1:11" ht="15" customHeight="1" x14ac:dyDescent="0.2">
      <c r="A223" s="13" t="s">
        <v>1980</v>
      </c>
      <c r="B223" s="13" t="s">
        <v>1981</v>
      </c>
      <c r="C223" s="13">
        <v>1957</v>
      </c>
      <c r="D223" s="13" t="s">
        <v>530</v>
      </c>
      <c r="E223" s="13" t="s">
        <v>566</v>
      </c>
      <c r="F223" s="13">
        <v>6.2</v>
      </c>
      <c r="G223" s="13" t="s">
        <v>46</v>
      </c>
      <c r="H223" s="13" t="s">
        <v>1982</v>
      </c>
      <c r="I223" s="13" t="s">
        <v>1983</v>
      </c>
      <c r="J223" s="9" t="s">
        <v>1984</v>
      </c>
      <c r="K223" s="13">
        <v>3</v>
      </c>
    </row>
    <row r="224" spans="1:11" ht="15" customHeight="1" x14ac:dyDescent="0.2">
      <c r="A224" s="13" t="s">
        <v>1985</v>
      </c>
      <c r="B224" s="13" t="s">
        <v>1986</v>
      </c>
      <c r="C224" s="13">
        <v>1962</v>
      </c>
      <c r="D224" s="13" t="s">
        <v>15</v>
      </c>
      <c r="E224" s="13" t="s">
        <v>566</v>
      </c>
      <c r="F224" s="13">
        <v>7.9950000000000001</v>
      </c>
      <c r="G224" s="13" t="s">
        <v>77</v>
      </c>
      <c r="H224" s="13" t="s">
        <v>1987</v>
      </c>
      <c r="I224" s="13" t="s">
        <v>1988</v>
      </c>
      <c r="J224" s="9" t="s">
        <v>1989</v>
      </c>
      <c r="K224" s="13">
        <v>2759</v>
      </c>
    </row>
    <row r="225" spans="1:11" ht="15" customHeight="1" x14ac:dyDescent="0.2">
      <c r="A225" s="13" t="s">
        <v>1990</v>
      </c>
      <c r="B225" s="13" t="s">
        <v>1991</v>
      </c>
      <c r="C225" s="13">
        <v>2023</v>
      </c>
      <c r="D225" s="13" t="s">
        <v>413</v>
      </c>
      <c r="E225" s="13" t="s">
        <v>881</v>
      </c>
      <c r="F225" s="13">
        <v>7.7</v>
      </c>
      <c r="G225" s="13" t="s">
        <v>77</v>
      </c>
      <c r="H225" s="13" t="s">
        <v>1992</v>
      </c>
      <c r="I225" s="13" t="s">
        <v>1993</v>
      </c>
      <c r="J225" s="9" t="s">
        <v>1994</v>
      </c>
      <c r="K225" s="13">
        <v>23</v>
      </c>
    </row>
    <row r="226" spans="1:11" ht="15" customHeight="1" x14ac:dyDescent="0.2">
      <c r="A226" s="13" t="s">
        <v>1995</v>
      </c>
      <c r="B226" s="13"/>
      <c r="C226" s="13"/>
      <c r="D226" s="13"/>
      <c r="E226" s="13"/>
      <c r="F226" s="13"/>
      <c r="G226" s="13"/>
      <c r="H226" s="13"/>
      <c r="I226" s="13"/>
      <c r="J226" s="9"/>
      <c r="K226" s="13"/>
    </row>
    <row r="227" spans="1:11" ht="15" customHeight="1" x14ac:dyDescent="0.2">
      <c r="A227" s="13" t="s">
        <v>1996</v>
      </c>
      <c r="B227" s="13"/>
      <c r="C227" s="13"/>
      <c r="D227" s="13"/>
      <c r="E227" s="13"/>
      <c r="F227" s="13"/>
      <c r="G227" s="13"/>
      <c r="H227" s="13"/>
      <c r="I227" s="13"/>
      <c r="J227" s="9"/>
      <c r="K227" s="13"/>
    </row>
    <row r="228" spans="1:11" ht="15" customHeight="1" x14ac:dyDescent="0.2">
      <c r="A228" s="13" t="s">
        <v>1997</v>
      </c>
      <c r="B228" s="13" t="s">
        <v>1998</v>
      </c>
      <c r="C228" s="13">
        <v>2010</v>
      </c>
      <c r="D228" s="13" t="s">
        <v>15</v>
      </c>
      <c r="E228" s="13" t="s">
        <v>566</v>
      </c>
      <c r="F228" s="13">
        <v>6.2919999999999998</v>
      </c>
      <c r="G228" s="13" t="s">
        <v>46</v>
      </c>
      <c r="H228" s="13" t="s">
        <v>1999</v>
      </c>
      <c r="I228" s="13" t="s">
        <v>2000</v>
      </c>
      <c r="J228" s="9" t="s">
        <v>2001</v>
      </c>
      <c r="K228" s="13">
        <v>324</v>
      </c>
    </row>
    <row r="229" spans="1:11" ht="15" customHeight="1" x14ac:dyDescent="0.2">
      <c r="A229" s="13" t="s">
        <v>2002</v>
      </c>
      <c r="B229" s="13" t="s">
        <v>2003</v>
      </c>
      <c r="C229" s="13">
        <v>1985</v>
      </c>
      <c r="D229" s="13" t="s">
        <v>15</v>
      </c>
      <c r="E229" s="13" t="s">
        <v>2004</v>
      </c>
      <c r="F229" s="13">
        <v>7.0960000000000001</v>
      </c>
      <c r="G229" s="13" t="s">
        <v>18</v>
      </c>
      <c r="H229" s="13" t="s">
        <v>2005</v>
      </c>
      <c r="I229" s="13" t="s">
        <v>2006</v>
      </c>
      <c r="J229" s="9" t="s">
        <v>2007</v>
      </c>
      <c r="K229" s="13">
        <v>1806</v>
      </c>
    </row>
    <row r="230" spans="1:11" ht="15" customHeight="1" x14ac:dyDescent="0.2">
      <c r="A230" s="13" t="s">
        <v>2008</v>
      </c>
      <c r="B230" s="13" t="s">
        <v>2008</v>
      </c>
      <c r="C230" s="13">
        <v>1988</v>
      </c>
      <c r="D230" s="13" t="s">
        <v>2009</v>
      </c>
      <c r="E230" s="13" t="s">
        <v>890</v>
      </c>
      <c r="F230" s="13">
        <v>6.7130000000000001</v>
      </c>
      <c r="G230" s="13" t="s">
        <v>18</v>
      </c>
      <c r="H230" s="13" t="s">
        <v>2010</v>
      </c>
      <c r="I230" s="13" t="s">
        <v>2011</v>
      </c>
      <c r="J230" s="9" t="s">
        <v>2012</v>
      </c>
      <c r="K230" s="13">
        <v>1086</v>
      </c>
    </row>
    <row r="231" spans="1:11" ht="15" customHeight="1" x14ac:dyDescent="0.2">
      <c r="A231" s="15" t="s">
        <v>2013</v>
      </c>
      <c r="B231" s="15" t="s">
        <v>2014</v>
      </c>
      <c r="C231" s="15">
        <v>1981</v>
      </c>
      <c r="D231" s="15" t="s">
        <v>15</v>
      </c>
      <c r="E231" s="15" t="s">
        <v>2015</v>
      </c>
      <c r="F231" s="15">
        <v>7.923</v>
      </c>
      <c r="G231" s="15" t="s">
        <v>77</v>
      </c>
      <c r="H231" s="15" t="s">
        <v>2016</v>
      </c>
      <c r="I231" s="15" t="s">
        <v>2017</v>
      </c>
      <c r="J231" s="10" t="s">
        <v>2018</v>
      </c>
      <c r="K231" s="15">
        <v>13224</v>
      </c>
    </row>
    <row r="232" spans="1:11" ht="15" customHeight="1" x14ac:dyDescent="0.2">
      <c r="A232" s="13" t="s">
        <v>2019</v>
      </c>
      <c r="B232" s="13" t="s">
        <v>2020</v>
      </c>
      <c r="C232" s="13">
        <v>1989</v>
      </c>
      <c r="D232" s="13" t="s">
        <v>15</v>
      </c>
      <c r="E232" s="13" t="s">
        <v>2015</v>
      </c>
      <c r="F232" s="13">
        <v>7.8490000000000002</v>
      </c>
      <c r="G232" s="13" t="s">
        <v>77</v>
      </c>
      <c r="H232" s="13" t="s">
        <v>2021</v>
      </c>
      <c r="I232" s="13" t="s">
        <v>2022</v>
      </c>
      <c r="J232" s="9" t="s">
        <v>2023</v>
      </c>
      <c r="K232" s="13">
        <v>10728</v>
      </c>
    </row>
    <row r="233" spans="1:11" ht="15" customHeight="1" x14ac:dyDescent="0.2">
      <c r="A233" s="13" t="s">
        <v>2024</v>
      </c>
      <c r="B233" s="13" t="s">
        <v>2025</v>
      </c>
      <c r="C233" s="13">
        <v>1984</v>
      </c>
      <c r="D233" s="13" t="s">
        <v>15</v>
      </c>
      <c r="E233" s="13" t="s">
        <v>2015</v>
      </c>
      <c r="F233" s="13">
        <v>7.3029999999999999</v>
      </c>
      <c r="G233" s="13" t="s">
        <v>18</v>
      </c>
      <c r="H233" s="13" t="s">
        <v>2026</v>
      </c>
      <c r="I233" s="13" t="s">
        <v>2027</v>
      </c>
      <c r="J233" s="9" t="s">
        <v>2028</v>
      </c>
      <c r="K233" s="13">
        <v>9809</v>
      </c>
    </row>
    <row r="234" spans="1:11" ht="15" customHeight="1" x14ac:dyDescent="0.2">
      <c r="A234" s="13" t="s">
        <v>2029</v>
      </c>
      <c r="B234" s="13" t="s">
        <v>2030</v>
      </c>
      <c r="C234" s="13">
        <v>1986</v>
      </c>
      <c r="D234" s="13" t="s">
        <v>413</v>
      </c>
      <c r="E234" s="13" t="s">
        <v>2031</v>
      </c>
      <c r="F234" s="13">
        <v>6.359</v>
      </c>
      <c r="G234" s="13" t="s">
        <v>46</v>
      </c>
      <c r="H234" s="13" t="s">
        <v>2032</v>
      </c>
      <c r="I234" s="13" t="s">
        <v>2033</v>
      </c>
      <c r="J234" s="9" t="s">
        <v>2034</v>
      </c>
      <c r="K234" s="13">
        <v>497</v>
      </c>
    </row>
    <row r="235" spans="1:11" ht="15" customHeight="1" x14ac:dyDescent="0.2">
      <c r="A235" s="13" t="s">
        <v>2035</v>
      </c>
      <c r="B235" s="13" t="s">
        <v>2036</v>
      </c>
      <c r="C235" s="13">
        <v>2020</v>
      </c>
      <c r="D235" s="13" t="s">
        <v>530</v>
      </c>
      <c r="E235" s="13" t="s">
        <v>881</v>
      </c>
      <c r="F235" s="13">
        <v>10</v>
      </c>
      <c r="G235" s="13" t="s">
        <v>2037</v>
      </c>
      <c r="H235" s="13" t="s">
        <v>2038</v>
      </c>
      <c r="I235" s="13"/>
      <c r="J235" s="9" t="s">
        <v>2039</v>
      </c>
      <c r="K235" s="13">
        <v>1</v>
      </c>
    </row>
    <row r="236" spans="1:11" ht="15" customHeight="1" x14ac:dyDescent="0.2">
      <c r="A236" s="13" t="s">
        <v>2040</v>
      </c>
      <c r="B236" s="13" t="s">
        <v>2041</v>
      </c>
      <c r="C236" s="13">
        <v>1998</v>
      </c>
      <c r="D236" s="13" t="s">
        <v>15</v>
      </c>
      <c r="E236" s="13" t="s">
        <v>2042</v>
      </c>
      <c r="F236" s="13">
        <v>6.0970000000000004</v>
      </c>
      <c r="G236" s="13" t="s">
        <v>46</v>
      </c>
      <c r="H236" s="13">
        <v>6068</v>
      </c>
      <c r="I236" s="13" t="s">
        <v>2043</v>
      </c>
      <c r="J236" s="9" t="s">
        <v>2044</v>
      </c>
      <c r="K236" s="13">
        <v>1556</v>
      </c>
    </row>
    <row r="237" spans="1:11" ht="15" customHeight="1" x14ac:dyDescent="0.2">
      <c r="A237" s="13" t="s">
        <v>2045</v>
      </c>
      <c r="B237" s="13" t="s">
        <v>2046</v>
      </c>
      <c r="C237" s="13">
        <v>2024</v>
      </c>
      <c r="D237" s="13" t="s">
        <v>2047</v>
      </c>
      <c r="E237" s="13" t="s">
        <v>1196</v>
      </c>
      <c r="F237" s="13">
        <v>0</v>
      </c>
      <c r="G237" s="13"/>
      <c r="H237" s="13" t="s">
        <v>2048</v>
      </c>
      <c r="I237" s="13" t="s">
        <v>2049</v>
      </c>
      <c r="J237" s="9" t="s">
        <v>2050</v>
      </c>
      <c r="K237" s="13">
        <v>0</v>
      </c>
    </row>
    <row r="238" spans="1:11" ht="15" customHeight="1" x14ac:dyDescent="0.2">
      <c r="A238" s="13" t="s">
        <v>2051</v>
      </c>
      <c r="B238" s="13" t="s">
        <v>2052</v>
      </c>
      <c r="C238" s="13">
        <v>2000</v>
      </c>
      <c r="D238" s="13" t="s">
        <v>15</v>
      </c>
      <c r="E238" s="13" t="s">
        <v>566</v>
      </c>
      <c r="F238" s="13">
        <v>7.3550000000000004</v>
      </c>
      <c r="G238" s="13" t="s">
        <v>18</v>
      </c>
      <c r="H238" s="13" t="s">
        <v>2053</v>
      </c>
      <c r="I238" s="13" t="s">
        <v>2054</v>
      </c>
      <c r="J238" s="9" t="s">
        <v>2055</v>
      </c>
      <c r="K238" s="13">
        <v>1926</v>
      </c>
    </row>
    <row r="239" spans="1:11" ht="15" customHeight="1" x14ac:dyDescent="0.2">
      <c r="A239" s="13" t="s">
        <v>2056</v>
      </c>
      <c r="B239" s="13" t="s">
        <v>2057</v>
      </c>
      <c r="C239" s="13">
        <v>1986</v>
      </c>
      <c r="D239" s="13" t="s">
        <v>15</v>
      </c>
      <c r="E239" s="13" t="s">
        <v>2058</v>
      </c>
      <c r="F239" s="13">
        <v>6.12</v>
      </c>
      <c r="G239" s="13" t="s">
        <v>46</v>
      </c>
      <c r="H239" s="13" t="s">
        <v>2059</v>
      </c>
      <c r="I239" s="13" t="s">
        <v>2060</v>
      </c>
      <c r="J239" s="9" t="s">
        <v>2061</v>
      </c>
      <c r="K239" s="13">
        <v>630</v>
      </c>
    </row>
    <row r="240" spans="1:11" ht="15" customHeight="1" x14ac:dyDescent="0.2">
      <c r="A240" s="13" t="s">
        <v>2062</v>
      </c>
      <c r="B240" s="13" t="s">
        <v>2062</v>
      </c>
      <c r="C240" s="13">
        <v>2011</v>
      </c>
      <c r="D240" s="13" t="s">
        <v>413</v>
      </c>
      <c r="E240" s="13" t="s">
        <v>2063</v>
      </c>
      <c r="F240" s="13">
        <v>7</v>
      </c>
      <c r="G240" s="13" t="s">
        <v>18</v>
      </c>
      <c r="H240" s="13" t="s">
        <v>2064</v>
      </c>
      <c r="I240" s="13" t="s">
        <v>2065</v>
      </c>
      <c r="J240" s="9" t="s">
        <v>2066</v>
      </c>
      <c r="K240" s="13">
        <v>1217</v>
      </c>
    </row>
    <row r="241" spans="1:11" ht="15" customHeight="1" x14ac:dyDescent="0.2">
      <c r="A241" s="15" t="s">
        <v>864</v>
      </c>
      <c r="B241" s="15" t="s">
        <v>864</v>
      </c>
      <c r="C241" s="15">
        <v>1996</v>
      </c>
      <c r="D241" s="15" t="s">
        <v>413</v>
      </c>
      <c r="E241" s="15" t="s">
        <v>648</v>
      </c>
      <c r="F241" s="15">
        <v>6.5460000000000003</v>
      </c>
      <c r="G241" s="15" t="s">
        <v>18</v>
      </c>
      <c r="H241" s="15" t="s">
        <v>865</v>
      </c>
      <c r="I241" s="15" t="s">
        <v>2067</v>
      </c>
      <c r="J241" s="10" t="s">
        <v>867</v>
      </c>
      <c r="K241" s="15">
        <v>3685</v>
      </c>
    </row>
    <row r="242" spans="1:11" ht="15" customHeight="1" x14ac:dyDescent="0.2">
      <c r="A242" s="13" t="s">
        <v>2068</v>
      </c>
      <c r="B242" s="13" t="s">
        <v>2069</v>
      </c>
      <c r="C242" s="13">
        <v>1997</v>
      </c>
      <c r="D242" s="13" t="s">
        <v>413</v>
      </c>
      <c r="E242" s="13" t="s">
        <v>881</v>
      </c>
      <c r="F242" s="13">
        <v>5.7</v>
      </c>
      <c r="G242" s="13" t="s">
        <v>46</v>
      </c>
      <c r="H242" s="13" t="s">
        <v>2070</v>
      </c>
      <c r="I242" s="13" t="s">
        <v>2071</v>
      </c>
      <c r="J242" s="9"/>
      <c r="K242" s="13">
        <v>6</v>
      </c>
    </row>
    <row r="243" spans="1:11" ht="15" customHeight="1" x14ac:dyDescent="0.2">
      <c r="A243" s="13" t="s">
        <v>2072</v>
      </c>
      <c r="B243" s="13" t="s">
        <v>2072</v>
      </c>
      <c r="C243" s="13">
        <v>1942</v>
      </c>
      <c r="D243" s="13" t="s">
        <v>413</v>
      </c>
      <c r="E243" s="13" t="s">
        <v>1375</v>
      </c>
      <c r="F243" s="13">
        <v>8.1449999999999996</v>
      </c>
      <c r="G243" s="13" t="s">
        <v>77</v>
      </c>
      <c r="H243" s="13" t="s">
        <v>2073</v>
      </c>
      <c r="I243" s="13" t="s">
        <v>2074</v>
      </c>
      <c r="J243" s="9" t="s">
        <v>2075</v>
      </c>
      <c r="K243" s="13">
        <v>5827</v>
      </c>
    </row>
    <row r="244" spans="1:11" ht="15" customHeight="1" x14ac:dyDescent="0.2">
      <c r="A244" s="13" t="s">
        <v>2076</v>
      </c>
      <c r="B244" s="13" t="s">
        <v>2076</v>
      </c>
      <c r="C244" s="13">
        <v>1954</v>
      </c>
      <c r="D244" s="13" t="s">
        <v>1163</v>
      </c>
      <c r="E244" s="13" t="s">
        <v>566</v>
      </c>
      <c r="F244" s="13">
        <v>0</v>
      </c>
      <c r="G244" s="13"/>
      <c r="H244" s="13" t="s">
        <v>2077</v>
      </c>
      <c r="I244" s="13" t="s">
        <v>2078</v>
      </c>
      <c r="J244" s="9" t="s">
        <v>2079</v>
      </c>
      <c r="K244" s="13">
        <v>0</v>
      </c>
    </row>
    <row r="245" spans="1:11" ht="15" customHeight="1" x14ac:dyDescent="0.2">
      <c r="A245" s="13" t="s">
        <v>2080</v>
      </c>
      <c r="B245" s="13" t="s">
        <v>2081</v>
      </c>
      <c r="C245" s="13">
        <v>1952</v>
      </c>
      <c r="D245" s="13" t="s">
        <v>15</v>
      </c>
      <c r="E245" s="13" t="s">
        <v>2082</v>
      </c>
      <c r="F245" s="13">
        <v>6.8</v>
      </c>
      <c r="G245" s="13" t="s">
        <v>18</v>
      </c>
      <c r="H245" s="13" t="s">
        <v>2083</v>
      </c>
      <c r="I245" s="13" t="s">
        <v>2084</v>
      </c>
      <c r="J245" s="9" t="s">
        <v>2085</v>
      </c>
      <c r="K245" s="13">
        <v>73</v>
      </c>
    </row>
    <row r="246" spans="1:11" ht="15" customHeight="1" x14ac:dyDescent="0.2">
      <c r="A246" s="13" t="s">
        <v>2086</v>
      </c>
      <c r="B246" s="13" t="s">
        <v>2086</v>
      </c>
      <c r="C246" s="13">
        <v>1947</v>
      </c>
      <c r="D246" s="13" t="s">
        <v>530</v>
      </c>
      <c r="E246" s="13" t="s">
        <v>934</v>
      </c>
      <c r="F246" s="13">
        <v>1</v>
      </c>
      <c r="G246" s="13" t="s">
        <v>2087</v>
      </c>
      <c r="H246" s="13" t="s">
        <v>2088</v>
      </c>
      <c r="I246" s="13" t="s">
        <v>2089</v>
      </c>
      <c r="J246" s="9" t="s">
        <v>2090</v>
      </c>
      <c r="K246" s="13">
        <v>1</v>
      </c>
    </row>
    <row r="247" spans="1:11" ht="15" customHeight="1" x14ac:dyDescent="0.2">
      <c r="A247" s="13" t="s">
        <v>2091</v>
      </c>
      <c r="B247" s="13" t="s">
        <v>2092</v>
      </c>
      <c r="C247" s="13">
        <v>1941</v>
      </c>
      <c r="D247" s="13" t="s">
        <v>15</v>
      </c>
      <c r="E247" s="13" t="s">
        <v>2093</v>
      </c>
      <c r="F247" s="13">
        <v>7.7069999999999999</v>
      </c>
      <c r="G247" s="13" t="s">
        <v>77</v>
      </c>
      <c r="H247" s="13" t="s">
        <v>2094</v>
      </c>
      <c r="I247" s="13" t="s">
        <v>2095</v>
      </c>
      <c r="J247" s="9" t="s">
        <v>2096</v>
      </c>
      <c r="K247" s="13">
        <v>1805</v>
      </c>
    </row>
    <row r="248" spans="1:11" ht="15" customHeight="1" x14ac:dyDescent="0.2">
      <c r="A248" s="13" t="s">
        <v>2097</v>
      </c>
      <c r="B248" s="13" t="s">
        <v>2098</v>
      </c>
      <c r="C248" s="13">
        <v>1944</v>
      </c>
      <c r="D248" s="13" t="s">
        <v>15</v>
      </c>
      <c r="E248" s="13" t="s">
        <v>2099</v>
      </c>
      <c r="F248" s="13">
        <v>7.4450000000000003</v>
      </c>
      <c r="G248" s="13" t="s">
        <v>18</v>
      </c>
      <c r="H248" s="13" t="s">
        <v>2100</v>
      </c>
      <c r="I248" s="13" t="s">
        <v>2101</v>
      </c>
      <c r="J248" s="9" t="s">
        <v>2102</v>
      </c>
      <c r="K248" s="13">
        <v>550</v>
      </c>
    </row>
    <row r="249" spans="1:11" ht="15" customHeight="1" x14ac:dyDescent="0.2">
      <c r="A249" s="13" t="s">
        <v>2103</v>
      </c>
      <c r="B249" s="13" t="s">
        <v>2104</v>
      </c>
      <c r="C249" s="13">
        <v>1940</v>
      </c>
      <c r="D249" s="13" t="s">
        <v>15</v>
      </c>
      <c r="E249" s="13" t="s">
        <v>2105</v>
      </c>
      <c r="F249" s="13">
        <v>6.5270000000000001</v>
      </c>
      <c r="G249" s="13" t="s">
        <v>18</v>
      </c>
      <c r="H249" s="13" t="s">
        <v>2106</v>
      </c>
      <c r="I249" s="13" t="s">
        <v>2107</v>
      </c>
      <c r="J249" s="9" t="s">
        <v>2108</v>
      </c>
      <c r="K249" s="13">
        <v>37</v>
      </c>
    </row>
    <row r="250" spans="1:11" ht="15" customHeight="1" x14ac:dyDescent="0.2">
      <c r="A250" s="13" t="s">
        <v>1068</v>
      </c>
      <c r="B250" s="13" t="s">
        <v>1068</v>
      </c>
      <c r="C250" s="13">
        <v>1954</v>
      </c>
      <c r="D250" s="13" t="s">
        <v>413</v>
      </c>
      <c r="E250" s="13" t="s">
        <v>1069</v>
      </c>
      <c r="F250" s="13">
        <v>7.5</v>
      </c>
      <c r="G250" s="13" t="s">
        <v>77</v>
      </c>
      <c r="H250" s="13" t="s">
        <v>1070</v>
      </c>
      <c r="I250" s="13" t="s">
        <v>1071</v>
      </c>
      <c r="J250" s="9" t="s">
        <v>1072</v>
      </c>
      <c r="K250" s="13">
        <v>1306</v>
      </c>
    </row>
    <row r="251" spans="1:11" ht="15" customHeight="1" x14ac:dyDescent="0.2">
      <c r="A251" s="15" t="s">
        <v>2109</v>
      </c>
      <c r="B251" s="15" t="s">
        <v>2110</v>
      </c>
      <c r="C251" s="15">
        <v>1953</v>
      </c>
      <c r="D251" s="15" t="s">
        <v>2111</v>
      </c>
      <c r="E251" s="15" t="s">
        <v>2112</v>
      </c>
      <c r="F251" s="15">
        <v>6.1</v>
      </c>
      <c r="G251" s="15" t="s">
        <v>46</v>
      </c>
      <c r="H251" s="15" t="s">
        <v>2113</v>
      </c>
      <c r="I251" s="15" t="s">
        <v>2114</v>
      </c>
      <c r="J251" s="10" t="s">
        <v>2115</v>
      </c>
      <c r="K251" s="15">
        <v>159</v>
      </c>
    </row>
    <row r="252" spans="1:11" ht="15" customHeight="1" x14ac:dyDescent="0.2">
      <c r="A252" s="13" t="s">
        <v>2116</v>
      </c>
      <c r="B252" s="13" t="s">
        <v>2117</v>
      </c>
      <c r="C252" s="13">
        <v>1949</v>
      </c>
      <c r="D252" s="13" t="s">
        <v>15</v>
      </c>
      <c r="E252" s="13" t="s">
        <v>2118</v>
      </c>
      <c r="F252" s="13">
        <v>6.1</v>
      </c>
      <c r="G252" s="13" t="s">
        <v>46</v>
      </c>
      <c r="H252" s="13" t="s">
        <v>2119</v>
      </c>
      <c r="I252" s="13" t="s">
        <v>2120</v>
      </c>
      <c r="J252" s="9" t="s">
        <v>2121</v>
      </c>
      <c r="K252" s="13">
        <v>37</v>
      </c>
    </row>
    <row r="253" spans="1:11" ht="15" customHeight="1" x14ac:dyDescent="0.2">
      <c r="A253" s="13" t="s">
        <v>2122</v>
      </c>
      <c r="B253" s="13" t="s">
        <v>2123</v>
      </c>
      <c r="C253" s="13">
        <v>1946</v>
      </c>
      <c r="D253" s="13" t="s">
        <v>15</v>
      </c>
      <c r="E253" s="13" t="s">
        <v>2093</v>
      </c>
      <c r="F253" s="13">
        <v>7.6</v>
      </c>
      <c r="G253" s="13" t="s">
        <v>77</v>
      </c>
      <c r="H253" s="13" t="s">
        <v>2124</v>
      </c>
      <c r="I253" s="13" t="s">
        <v>2125</v>
      </c>
      <c r="J253" s="9" t="s">
        <v>2126</v>
      </c>
      <c r="K253" s="13">
        <v>1112</v>
      </c>
    </row>
    <row r="254" spans="1:11" ht="15" customHeight="1" x14ac:dyDescent="0.2">
      <c r="A254" s="13" t="s">
        <v>2127</v>
      </c>
      <c r="B254" s="13" t="s">
        <v>2128</v>
      </c>
      <c r="C254" s="13">
        <v>1941</v>
      </c>
      <c r="D254" s="13" t="s">
        <v>15</v>
      </c>
      <c r="E254" s="13" t="s">
        <v>1096</v>
      </c>
      <c r="F254" s="13">
        <v>6.883</v>
      </c>
      <c r="G254" s="13" t="s">
        <v>18</v>
      </c>
      <c r="H254" s="13" t="s">
        <v>2129</v>
      </c>
      <c r="I254" s="13" t="s">
        <v>2130</v>
      </c>
      <c r="J254" s="9" t="s">
        <v>2131</v>
      </c>
      <c r="K254" s="13">
        <v>64</v>
      </c>
    </row>
    <row r="255" spans="1:11" ht="15" customHeight="1" x14ac:dyDescent="0.2">
      <c r="A255" s="13" t="s">
        <v>2132</v>
      </c>
      <c r="B255" s="13" t="s">
        <v>2133</v>
      </c>
      <c r="C255" s="13">
        <v>1955</v>
      </c>
      <c r="D255" s="13" t="s">
        <v>15</v>
      </c>
      <c r="E255" s="13" t="s">
        <v>928</v>
      </c>
      <c r="F255" s="13">
        <v>7.2210000000000001</v>
      </c>
      <c r="G255" s="13" t="s">
        <v>18</v>
      </c>
      <c r="H255" s="13" t="s">
        <v>2134</v>
      </c>
      <c r="I255" s="13" t="s">
        <v>2135</v>
      </c>
      <c r="J255" s="9" t="s">
        <v>2136</v>
      </c>
      <c r="K255" s="13">
        <v>192</v>
      </c>
    </row>
    <row r="256" spans="1:11" ht="15" customHeight="1" x14ac:dyDescent="0.2">
      <c r="A256" s="13" t="s">
        <v>2137</v>
      </c>
      <c r="B256" s="13" t="s">
        <v>2138</v>
      </c>
      <c r="C256" s="13">
        <v>2015</v>
      </c>
      <c r="D256" s="13" t="s">
        <v>2139</v>
      </c>
      <c r="E256" s="13" t="s">
        <v>1180</v>
      </c>
      <c r="F256" s="13">
        <v>7.1</v>
      </c>
      <c r="G256" s="13" t="s">
        <v>18</v>
      </c>
      <c r="H256" s="13" t="s">
        <v>2140</v>
      </c>
      <c r="I256" s="13" t="s">
        <v>2141</v>
      </c>
      <c r="J256" s="9" t="s">
        <v>2142</v>
      </c>
      <c r="K256" s="13">
        <v>67</v>
      </c>
    </row>
    <row r="257" spans="1:11" ht="15" customHeight="1" x14ac:dyDescent="0.2">
      <c r="A257" s="13" t="s">
        <v>2143</v>
      </c>
      <c r="B257" s="13" t="s">
        <v>2144</v>
      </c>
      <c r="C257" s="13">
        <v>1944</v>
      </c>
      <c r="D257" s="13" t="s">
        <v>15</v>
      </c>
      <c r="E257" s="13" t="s">
        <v>2145</v>
      </c>
      <c r="F257" s="13">
        <v>7.5030000000000001</v>
      </c>
      <c r="G257" s="13" t="s">
        <v>77</v>
      </c>
      <c r="H257" s="13" t="s">
        <v>2146</v>
      </c>
      <c r="I257" s="13" t="s">
        <v>2147</v>
      </c>
      <c r="J257" s="9" t="s">
        <v>2148</v>
      </c>
      <c r="K257" s="13">
        <v>529</v>
      </c>
    </row>
    <row r="258" spans="1:11" ht="15" customHeight="1" x14ac:dyDescent="0.2">
      <c r="A258" s="13" t="s">
        <v>1367</v>
      </c>
      <c r="B258" s="13" t="s">
        <v>1368</v>
      </c>
      <c r="C258" s="13">
        <v>1958</v>
      </c>
      <c r="D258" s="13" t="s">
        <v>969</v>
      </c>
      <c r="E258" s="13" t="s">
        <v>1369</v>
      </c>
      <c r="F258" s="13">
        <v>6.7</v>
      </c>
      <c r="G258" s="13" t="s">
        <v>18</v>
      </c>
      <c r="H258" s="13" t="s">
        <v>1370</v>
      </c>
      <c r="I258" s="13" t="s">
        <v>1371</v>
      </c>
      <c r="J258" s="9" t="s">
        <v>1372</v>
      </c>
      <c r="K258" s="13">
        <v>81</v>
      </c>
    </row>
    <row r="259" spans="1:11" ht="15" customHeight="1" x14ac:dyDescent="0.2">
      <c r="A259" s="13" t="s">
        <v>1231</v>
      </c>
      <c r="B259" s="13" t="s">
        <v>1231</v>
      </c>
      <c r="C259" s="13">
        <v>1958</v>
      </c>
      <c r="D259" s="13" t="s">
        <v>1163</v>
      </c>
      <c r="E259" s="13" t="s">
        <v>399</v>
      </c>
      <c r="F259" s="13">
        <v>0</v>
      </c>
      <c r="G259" s="13"/>
      <c r="H259" s="13" t="s">
        <v>1232</v>
      </c>
      <c r="I259" s="13" t="s">
        <v>1233</v>
      </c>
      <c r="J259" s="9" t="s">
        <v>1234</v>
      </c>
      <c r="K259" s="13">
        <v>0</v>
      </c>
    </row>
    <row r="260" spans="1:11" ht="15" customHeight="1" x14ac:dyDescent="0.2">
      <c r="A260" s="13" t="s">
        <v>2149</v>
      </c>
      <c r="B260" s="13" t="s">
        <v>2150</v>
      </c>
      <c r="C260" s="13">
        <v>1972</v>
      </c>
      <c r="D260" s="13" t="s">
        <v>2151</v>
      </c>
      <c r="E260" s="13" t="s">
        <v>566</v>
      </c>
      <c r="F260" s="13">
        <v>7.891</v>
      </c>
      <c r="G260" s="13" t="s">
        <v>77</v>
      </c>
      <c r="H260" s="13" t="s">
        <v>2152</v>
      </c>
      <c r="I260" s="13" t="s">
        <v>2153</v>
      </c>
      <c r="J260" s="9" t="s">
        <v>2154</v>
      </c>
      <c r="K260" s="13">
        <v>749</v>
      </c>
    </row>
    <row r="261" spans="1:11" ht="15" customHeight="1" x14ac:dyDescent="0.2">
      <c r="A261" s="15" t="s">
        <v>2155</v>
      </c>
      <c r="B261" s="15" t="s">
        <v>2155</v>
      </c>
      <c r="C261" s="15">
        <v>1950</v>
      </c>
      <c r="D261" s="15" t="s">
        <v>2156</v>
      </c>
      <c r="E261" s="15" t="s">
        <v>566</v>
      </c>
      <c r="F261" s="15">
        <v>7.1</v>
      </c>
      <c r="G261" s="15" t="s">
        <v>18</v>
      </c>
      <c r="H261" s="15" t="s">
        <v>2157</v>
      </c>
      <c r="I261" s="15" t="s">
        <v>2158</v>
      </c>
      <c r="J261" s="10" t="s">
        <v>2159</v>
      </c>
      <c r="K261" s="15">
        <v>211</v>
      </c>
    </row>
    <row r="262" spans="1:11" ht="15" customHeight="1" x14ac:dyDescent="0.2">
      <c r="A262" s="13" t="s">
        <v>2160</v>
      </c>
      <c r="B262" s="13" t="s">
        <v>2161</v>
      </c>
      <c r="C262" s="13">
        <v>1994</v>
      </c>
      <c r="D262" s="13" t="s">
        <v>519</v>
      </c>
      <c r="E262" s="13" t="s">
        <v>49</v>
      </c>
      <c r="F262" s="13"/>
      <c r="G262" s="13"/>
      <c r="H262" s="13" t="s">
        <v>2162</v>
      </c>
      <c r="I262" s="13" t="s">
        <v>2163</v>
      </c>
      <c r="J262" s="9" t="s">
        <v>2164</v>
      </c>
      <c r="K262" s="13"/>
    </row>
    <row r="263" spans="1:11" ht="15" customHeight="1" x14ac:dyDescent="0.2">
      <c r="A263" s="13" t="s">
        <v>2165</v>
      </c>
      <c r="B263" s="13" t="s">
        <v>2166</v>
      </c>
      <c r="C263" s="13">
        <v>1973</v>
      </c>
      <c r="D263" s="13" t="s">
        <v>15</v>
      </c>
      <c r="E263" s="13" t="s">
        <v>1134</v>
      </c>
      <c r="F263" s="13">
        <v>7</v>
      </c>
      <c r="G263" s="13" t="s">
        <v>18</v>
      </c>
      <c r="H263" s="13" t="s">
        <v>2167</v>
      </c>
      <c r="I263" s="13" t="s">
        <v>2168</v>
      </c>
      <c r="J263" s="9" t="s">
        <v>2169</v>
      </c>
      <c r="K263" s="13">
        <v>392</v>
      </c>
    </row>
    <row r="264" spans="1:11" ht="15" customHeight="1" x14ac:dyDescent="0.2">
      <c r="A264" s="13" t="s">
        <v>2170</v>
      </c>
      <c r="B264" s="13" t="s">
        <v>2171</v>
      </c>
      <c r="C264" s="13">
        <v>1975</v>
      </c>
      <c r="D264" s="13" t="s">
        <v>15</v>
      </c>
      <c r="E264" s="13" t="s">
        <v>566</v>
      </c>
      <c r="F264" s="13">
        <v>8.4120000000000008</v>
      </c>
      <c r="G264" s="13" t="s">
        <v>77</v>
      </c>
      <c r="H264" s="13" t="s">
        <v>2172</v>
      </c>
      <c r="I264" s="13" t="s">
        <v>2173</v>
      </c>
      <c r="J264" s="9" t="s">
        <v>2174</v>
      </c>
      <c r="K264" s="13">
        <v>11075</v>
      </c>
    </row>
    <row r="265" spans="1:11" ht="15" customHeight="1" x14ac:dyDescent="0.2">
      <c r="A265" s="13" t="s">
        <v>2175</v>
      </c>
      <c r="B265" s="13" t="s">
        <v>2176</v>
      </c>
      <c r="C265" s="13">
        <v>1980</v>
      </c>
      <c r="D265" s="13" t="s">
        <v>781</v>
      </c>
      <c r="E265" s="13" t="s">
        <v>2177</v>
      </c>
      <c r="F265" s="13">
        <v>8.1999999999999993</v>
      </c>
      <c r="G265" s="13" t="s">
        <v>77</v>
      </c>
      <c r="H265" s="13" t="s">
        <v>2178</v>
      </c>
      <c r="I265" s="13" t="s">
        <v>2179</v>
      </c>
      <c r="J265" s="9" t="s">
        <v>2180</v>
      </c>
      <c r="K265" s="13">
        <v>18396</v>
      </c>
    </row>
    <row r="266" spans="1:11" ht="15" customHeight="1" x14ac:dyDescent="0.2">
      <c r="A266" s="13" t="s">
        <v>2181</v>
      </c>
      <c r="B266" s="13" t="s">
        <v>2182</v>
      </c>
      <c r="C266" s="13">
        <v>1994</v>
      </c>
      <c r="D266" s="13" t="s">
        <v>15</v>
      </c>
      <c r="E266" s="13" t="s">
        <v>2183</v>
      </c>
      <c r="F266" s="13">
        <v>6.1260000000000003</v>
      </c>
      <c r="G266" s="13" t="s">
        <v>46</v>
      </c>
      <c r="H266" s="13" t="s">
        <v>2184</v>
      </c>
      <c r="I266" s="13" t="s">
        <v>2185</v>
      </c>
      <c r="J266" s="9" t="s">
        <v>2186</v>
      </c>
      <c r="K266" s="13">
        <v>976</v>
      </c>
    </row>
    <row r="267" spans="1:11" ht="15" customHeight="1" x14ac:dyDescent="0.2">
      <c r="A267" s="13" t="s">
        <v>2187</v>
      </c>
      <c r="B267" s="13" t="s">
        <v>2188</v>
      </c>
      <c r="C267" s="13">
        <v>1986</v>
      </c>
      <c r="D267" s="13" t="s">
        <v>530</v>
      </c>
      <c r="E267" s="13" t="s">
        <v>1900</v>
      </c>
      <c r="F267" s="13"/>
      <c r="G267" s="13"/>
      <c r="H267" s="13" t="s">
        <v>2189</v>
      </c>
      <c r="I267" s="13" t="s">
        <v>2190</v>
      </c>
      <c r="J267" s="9" t="s">
        <v>2191</v>
      </c>
      <c r="K267" s="13"/>
    </row>
    <row r="268" spans="1:11" ht="15" customHeight="1" x14ac:dyDescent="0.2">
      <c r="A268" s="13" t="s">
        <v>2192</v>
      </c>
      <c r="B268" s="13" t="s">
        <v>2193</v>
      </c>
      <c r="C268" s="13">
        <v>2022</v>
      </c>
      <c r="D268" s="13" t="s">
        <v>880</v>
      </c>
      <c r="E268" s="13" t="s">
        <v>1180</v>
      </c>
      <c r="F268" s="13">
        <v>7.2</v>
      </c>
      <c r="G268" s="13" t="s">
        <v>18</v>
      </c>
      <c r="H268" s="13" t="s">
        <v>2194</v>
      </c>
      <c r="I268" s="13" t="s">
        <v>2195</v>
      </c>
      <c r="J268" s="9" t="s">
        <v>2196</v>
      </c>
      <c r="K268" s="13">
        <v>6</v>
      </c>
    </row>
    <row r="269" spans="1:11" ht="15" customHeight="1" x14ac:dyDescent="0.2">
      <c r="A269" s="13" t="s">
        <v>2197</v>
      </c>
      <c r="B269" s="13" t="s">
        <v>2198</v>
      </c>
      <c r="C269" s="13">
        <v>2003</v>
      </c>
      <c r="D269" s="13" t="s">
        <v>15</v>
      </c>
      <c r="E269" s="13" t="s">
        <v>1276</v>
      </c>
      <c r="F269" s="13">
        <v>6.5670000000000002</v>
      </c>
      <c r="G269" s="13" t="s">
        <v>18</v>
      </c>
      <c r="H269" s="13" t="s">
        <v>2199</v>
      </c>
      <c r="I269" s="13" t="s">
        <v>2200</v>
      </c>
      <c r="J269" s="9" t="s">
        <v>2201</v>
      </c>
      <c r="K269" s="13">
        <v>4131</v>
      </c>
    </row>
    <row r="270" spans="1:11" ht="15" customHeight="1" x14ac:dyDescent="0.2">
      <c r="A270" s="13" t="s">
        <v>2202</v>
      </c>
      <c r="B270" s="13" t="s">
        <v>2203</v>
      </c>
      <c r="C270" s="13">
        <v>1978</v>
      </c>
      <c r="D270" s="13" t="s">
        <v>15</v>
      </c>
      <c r="E270" s="13" t="s">
        <v>2204</v>
      </c>
      <c r="F270" s="13">
        <v>7.5590000000000002</v>
      </c>
      <c r="G270" s="13" t="s">
        <v>77</v>
      </c>
      <c r="H270" s="13" t="s">
        <v>2205</v>
      </c>
      <c r="I270" s="13" t="s">
        <v>2206</v>
      </c>
      <c r="J270" s="9" t="s">
        <v>2207</v>
      </c>
      <c r="K270" s="13">
        <v>5993</v>
      </c>
    </row>
    <row r="271" spans="1:11" ht="15" customHeight="1" x14ac:dyDescent="0.2">
      <c r="A271" s="15" t="s">
        <v>2203</v>
      </c>
      <c r="B271" s="15" t="s">
        <v>2203</v>
      </c>
      <c r="C271" s="15">
        <v>2018</v>
      </c>
      <c r="D271" s="15" t="s">
        <v>413</v>
      </c>
      <c r="E271" s="15" t="s">
        <v>2208</v>
      </c>
      <c r="F271" s="15">
        <v>6.5670000000000002</v>
      </c>
      <c r="G271" s="15" t="s">
        <v>18</v>
      </c>
      <c r="H271" s="15" t="s">
        <v>2209</v>
      </c>
      <c r="I271" s="15" t="s">
        <v>2210</v>
      </c>
      <c r="J271" s="10" t="s">
        <v>2211</v>
      </c>
      <c r="K271" s="15">
        <v>4947</v>
      </c>
    </row>
    <row r="272" spans="1:11" ht="15" customHeight="1" x14ac:dyDescent="0.2">
      <c r="A272" s="13" t="s">
        <v>2212</v>
      </c>
      <c r="B272" s="13"/>
      <c r="C272" s="13">
        <v>1988</v>
      </c>
      <c r="D272" s="13"/>
      <c r="E272" s="13"/>
      <c r="F272" s="13"/>
      <c r="G272" s="13"/>
      <c r="H272" s="13"/>
      <c r="I272" s="13"/>
      <c r="J272" s="9"/>
      <c r="K272" s="13"/>
    </row>
    <row r="273" spans="1:11" ht="15" customHeight="1" x14ac:dyDescent="0.2">
      <c r="A273" s="13" t="s">
        <v>2213</v>
      </c>
      <c r="B273" s="13" t="s">
        <v>2214</v>
      </c>
      <c r="C273" s="13">
        <v>1981</v>
      </c>
      <c r="D273" s="13" t="s">
        <v>15</v>
      </c>
      <c r="E273" s="13" t="s">
        <v>2204</v>
      </c>
      <c r="F273" s="13">
        <v>6.6</v>
      </c>
      <c r="G273" s="13" t="s">
        <v>18</v>
      </c>
      <c r="H273" s="13" t="s">
        <v>2215</v>
      </c>
      <c r="I273" s="13" t="s">
        <v>2216</v>
      </c>
      <c r="J273" s="9" t="s">
        <v>2217</v>
      </c>
      <c r="K273" s="13">
        <v>2178</v>
      </c>
    </row>
    <row r="274" spans="1:11" ht="15" customHeight="1" x14ac:dyDescent="0.2">
      <c r="A274" s="13" t="s">
        <v>2218</v>
      </c>
      <c r="B274" s="13" t="s">
        <v>2219</v>
      </c>
      <c r="C274" s="13">
        <v>1994</v>
      </c>
      <c r="D274" s="13" t="s">
        <v>15</v>
      </c>
      <c r="E274" s="13" t="s">
        <v>259</v>
      </c>
      <c r="F274" s="13">
        <v>7.0810000000000004</v>
      </c>
      <c r="G274" s="13" t="s">
        <v>18</v>
      </c>
      <c r="H274" s="13" t="s">
        <v>2220</v>
      </c>
      <c r="I274" s="13" t="s">
        <v>2221</v>
      </c>
      <c r="J274" s="9" t="s">
        <v>2222</v>
      </c>
      <c r="K274" s="13">
        <v>4382</v>
      </c>
    </row>
    <row r="275" spans="1:11" ht="15" customHeight="1" x14ac:dyDescent="0.2">
      <c r="A275" s="13" t="s">
        <v>2223</v>
      </c>
      <c r="B275" s="13" t="s">
        <v>2224</v>
      </c>
      <c r="C275" s="13">
        <v>2021</v>
      </c>
      <c r="D275" s="13" t="s">
        <v>880</v>
      </c>
      <c r="E275" s="13" t="s">
        <v>1180</v>
      </c>
      <c r="F275" s="13">
        <v>7.5</v>
      </c>
      <c r="G275" s="13" t="s">
        <v>77</v>
      </c>
      <c r="H275" s="13" t="s">
        <v>2225</v>
      </c>
      <c r="I275" s="13" t="s">
        <v>2226</v>
      </c>
      <c r="J275" s="9" t="s">
        <v>2227</v>
      </c>
      <c r="K275" s="13">
        <v>19</v>
      </c>
    </row>
    <row r="276" spans="1:11" ht="15" customHeight="1" x14ac:dyDescent="0.2">
      <c r="A276" s="13" t="s">
        <v>2228</v>
      </c>
      <c r="B276" s="13" t="s">
        <v>2229</v>
      </c>
      <c r="C276" s="13">
        <v>2021</v>
      </c>
      <c r="D276" s="13" t="s">
        <v>969</v>
      </c>
      <c r="E276" s="13" t="s">
        <v>1510</v>
      </c>
      <c r="F276" s="13">
        <v>7.4059999999999997</v>
      </c>
      <c r="G276" s="13" t="s">
        <v>18</v>
      </c>
      <c r="H276" s="13" t="s">
        <v>2230</v>
      </c>
      <c r="I276" s="13" t="s">
        <v>2231</v>
      </c>
      <c r="J276" s="9" t="s">
        <v>2232</v>
      </c>
      <c r="K276" s="13">
        <v>1218</v>
      </c>
    </row>
    <row r="277" spans="1:11" ht="15" customHeight="1" x14ac:dyDescent="0.2">
      <c r="A277" s="13" t="s">
        <v>2233</v>
      </c>
      <c r="B277" s="13" t="s">
        <v>2234</v>
      </c>
      <c r="C277" s="13">
        <v>2010</v>
      </c>
      <c r="D277" s="13" t="s">
        <v>933</v>
      </c>
      <c r="E277" s="13" t="s">
        <v>934</v>
      </c>
      <c r="F277" s="13"/>
      <c r="G277" s="13"/>
      <c r="H277" s="13" t="s">
        <v>2235</v>
      </c>
      <c r="I277" s="13" t="s">
        <v>2236</v>
      </c>
      <c r="J277" s="9"/>
      <c r="K277" s="13"/>
    </row>
    <row r="278" spans="1:11" ht="15" customHeight="1" x14ac:dyDescent="0.2">
      <c r="A278" s="13" t="s">
        <v>2237</v>
      </c>
      <c r="B278" s="13" t="s">
        <v>2238</v>
      </c>
      <c r="C278" s="13">
        <v>1997</v>
      </c>
      <c r="D278" s="13" t="s">
        <v>15</v>
      </c>
      <c r="E278" s="13" t="s">
        <v>2239</v>
      </c>
      <c r="F278" s="13">
        <v>6.6210000000000004</v>
      </c>
      <c r="G278" s="13" t="s">
        <v>18</v>
      </c>
      <c r="H278" s="13" t="s">
        <v>2240</v>
      </c>
      <c r="I278" s="13" t="s">
        <v>2241</v>
      </c>
      <c r="J278" s="9" t="s">
        <v>2242</v>
      </c>
      <c r="K278" s="13">
        <v>1564</v>
      </c>
    </row>
    <row r="279" spans="1:11" ht="15" customHeight="1" x14ac:dyDescent="0.2">
      <c r="A279" s="13" t="s">
        <v>2243</v>
      </c>
      <c r="B279" s="13" t="s">
        <v>2243</v>
      </c>
      <c r="C279" s="13">
        <v>2016</v>
      </c>
      <c r="D279" s="13" t="s">
        <v>413</v>
      </c>
      <c r="E279" s="13" t="s">
        <v>456</v>
      </c>
      <c r="F279" s="13">
        <v>6.4370000000000003</v>
      </c>
      <c r="G279" s="13" t="s">
        <v>46</v>
      </c>
      <c r="H279" s="13" t="s">
        <v>2244</v>
      </c>
      <c r="I279" s="13" t="s">
        <v>2245</v>
      </c>
      <c r="J279" s="9" t="s">
        <v>2246</v>
      </c>
      <c r="K279" s="13">
        <v>3079</v>
      </c>
    </row>
    <row r="280" spans="1:11" ht="15" customHeight="1" x14ac:dyDescent="0.2">
      <c r="A280" s="13" t="s">
        <v>2247</v>
      </c>
      <c r="B280" s="13" t="s">
        <v>2247</v>
      </c>
      <c r="C280" s="13">
        <v>1999</v>
      </c>
      <c r="D280" s="13" t="s">
        <v>781</v>
      </c>
      <c r="E280" s="13" t="s">
        <v>1069</v>
      </c>
      <c r="F280" s="13">
        <v>7.2649999999999997</v>
      </c>
      <c r="G280" s="13" t="s">
        <v>18</v>
      </c>
      <c r="H280" s="13" t="s">
        <v>2248</v>
      </c>
      <c r="I280" s="13" t="s">
        <v>2249</v>
      </c>
      <c r="J280" s="9" t="s">
        <v>2250</v>
      </c>
      <c r="K280" s="13">
        <v>6497</v>
      </c>
    </row>
    <row r="281" spans="1:11" ht="15" customHeight="1" x14ac:dyDescent="0.2">
      <c r="A281" s="15" t="s">
        <v>2251</v>
      </c>
      <c r="B281" s="15" t="s">
        <v>2251</v>
      </c>
      <c r="C281" s="15">
        <v>2019</v>
      </c>
      <c r="D281" s="15" t="s">
        <v>2252</v>
      </c>
      <c r="E281" s="15" t="s">
        <v>1180</v>
      </c>
      <c r="F281" s="15"/>
      <c r="G281" s="15"/>
      <c r="H281" s="15" t="s">
        <v>2253</v>
      </c>
      <c r="I281" s="15" t="s">
        <v>2251</v>
      </c>
      <c r="J281" s="10"/>
      <c r="K281" s="15"/>
    </row>
    <row r="282" spans="1:11" ht="15" customHeight="1" x14ac:dyDescent="0.2">
      <c r="A282" s="13" t="s">
        <v>2254</v>
      </c>
      <c r="B282" s="13" t="s">
        <v>2255</v>
      </c>
      <c r="C282" s="13">
        <v>1951</v>
      </c>
      <c r="D282" s="13" t="s">
        <v>781</v>
      </c>
      <c r="E282" s="13" t="s">
        <v>385</v>
      </c>
      <c r="F282" s="13">
        <v>7.3540000000000001</v>
      </c>
      <c r="G282" s="13" t="s">
        <v>18</v>
      </c>
      <c r="H282" s="13" t="s">
        <v>2256</v>
      </c>
      <c r="I282" s="13" t="s">
        <v>2257</v>
      </c>
      <c r="J282" s="9" t="s">
        <v>2258</v>
      </c>
      <c r="K282" s="13">
        <v>1012</v>
      </c>
    </row>
    <row r="283" spans="1:11" ht="15" customHeight="1" x14ac:dyDescent="0.2">
      <c r="A283" s="13" t="s">
        <v>2259</v>
      </c>
      <c r="B283" s="13" t="s">
        <v>2259</v>
      </c>
      <c r="C283" s="13">
        <v>1956</v>
      </c>
      <c r="D283" s="13" t="s">
        <v>1163</v>
      </c>
      <c r="E283" s="13" t="s">
        <v>566</v>
      </c>
      <c r="F283" s="13">
        <v>0</v>
      </c>
      <c r="G283" s="13"/>
      <c r="H283" s="13" t="s">
        <v>2260</v>
      </c>
      <c r="I283" s="13" t="s">
        <v>2261</v>
      </c>
      <c r="J283" s="9" t="s">
        <v>2262</v>
      </c>
      <c r="K283" s="13">
        <v>0</v>
      </c>
    </row>
    <row r="284" spans="1:11" ht="15" customHeight="1" x14ac:dyDescent="0.2">
      <c r="A284" s="13" t="s">
        <v>1215</v>
      </c>
      <c r="B284" s="13" t="s">
        <v>1216</v>
      </c>
      <c r="C284" s="13">
        <v>1940</v>
      </c>
      <c r="D284" s="13" t="s">
        <v>15</v>
      </c>
      <c r="E284" s="13" t="s">
        <v>1052</v>
      </c>
      <c r="F284" s="13">
        <v>7.6</v>
      </c>
      <c r="G284" s="13" t="s">
        <v>77</v>
      </c>
      <c r="H284" s="13" t="s">
        <v>1217</v>
      </c>
      <c r="I284" s="13" t="s">
        <v>1218</v>
      </c>
      <c r="J284" s="9" t="s">
        <v>1219</v>
      </c>
      <c r="K284" s="13">
        <v>935</v>
      </c>
    </row>
    <row r="285" spans="1:11" ht="15" customHeight="1" x14ac:dyDescent="0.2">
      <c r="A285" s="13" t="s">
        <v>2263</v>
      </c>
      <c r="B285" s="13" t="s">
        <v>2264</v>
      </c>
      <c r="C285" s="13">
        <v>1938</v>
      </c>
      <c r="D285" s="13" t="s">
        <v>15</v>
      </c>
      <c r="E285" s="13" t="s">
        <v>2265</v>
      </c>
      <c r="F285" s="13">
        <v>7.3</v>
      </c>
      <c r="G285" s="13" t="s">
        <v>18</v>
      </c>
      <c r="H285" s="13" t="s">
        <v>2266</v>
      </c>
      <c r="I285" s="13" t="s">
        <v>2267</v>
      </c>
      <c r="J285" s="9" t="s">
        <v>2268</v>
      </c>
      <c r="K285" s="13">
        <v>272</v>
      </c>
    </row>
    <row r="286" spans="1:11" ht="15" customHeight="1" x14ac:dyDescent="0.2">
      <c r="A286" s="13" t="s">
        <v>1242</v>
      </c>
      <c r="B286" s="13" t="s">
        <v>1243</v>
      </c>
      <c r="C286" s="13">
        <v>1938</v>
      </c>
      <c r="D286" s="13" t="s">
        <v>15</v>
      </c>
      <c r="E286" s="13" t="s">
        <v>1052</v>
      </c>
      <c r="F286" s="13">
        <v>7.5259999999999998</v>
      </c>
      <c r="G286" s="13" t="s">
        <v>77</v>
      </c>
      <c r="H286" s="13" t="s">
        <v>1244</v>
      </c>
      <c r="I286" s="13" t="s">
        <v>1245</v>
      </c>
      <c r="J286" s="9" t="s">
        <v>1246</v>
      </c>
      <c r="K286" s="13">
        <v>1032</v>
      </c>
    </row>
    <row r="287" spans="1:11" ht="15" customHeight="1" x14ac:dyDescent="0.2">
      <c r="A287" s="13" t="s">
        <v>2269</v>
      </c>
      <c r="B287" s="13" t="s">
        <v>2270</v>
      </c>
      <c r="C287" s="13">
        <v>1959</v>
      </c>
      <c r="D287" s="13" t="s">
        <v>969</v>
      </c>
      <c r="E287" s="13" t="s">
        <v>2271</v>
      </c>
      <c r="F287" s="13">
        <v>7.2679999999999998</v>
      </c>
      <c r="G287" s="13" t="s">
        <v>18</v>
      </c>
      <c r="H287" s="13" t="s">
        <v>2272</v>
      </c>
      <c r="I287" s="13" t="s">
        <v>2273</v>
      </c>
      <c r="J287" s="9" t="s">
        <v>2274</v>
      </c>
      <c r="K287" s="13">
        <v>302</v>
      </c>
    </row>
    <row r="288" spans="1:11" ht="15" customHeight="1" x14ac:dyDescent="0.2">
      <c r="A288" s="13" t="s">
        <v>2275</v>
      </c>
      <c r="B288" s="13"/>
      <c r="C288" s="13"/>
      <c r="D288" s="13"/>
      <c r="E288" s="13"/>
      <c r="F288" s="13"/>
      <c r="G288" s="13"/>
      <c r="H288" s="13"/>
      <c r="I288" s="13"/>
      <c r="J288" s="9"/>
      <c r="K288" s="13"/>
    </row>
    <row r="289" spans="1:11" ht="15" customHeight="1" x14ac:dyDescent="0.2">
      <c r="A289" s="13" t="s">
        <v>2276</v>
      </c>
      <c r="B289" s="13" t="s">
        <v>2276</v>
      </c>
      <c r="C289" s="13">
        <v>2024</v>
      </c>
      <c r="D289" s="13" t="s">
        <v>413</v>
      </c>
      <c r="E289" s="13" t="s">
        <v>1069</v>
      </c>
      <c r="F289" s="13">
        <v>5.75</v>
      </c>
      <c r="G289" s="13" t="s">
        <v>46</v>
      </c>
      <c r="H289" s="13" t="s">
        <v>2277</v>
      </c>
      <c r="I289" s="13" t="s">
        <v>2278</v>
      </c>
      <c r="J289" s="9" t="s">
        <v>2279</v>
      </c>
      <c r="K289" s="13">
        <v>685</v>
      </c>
    </row>
    <row r="290" spans="1:11" ht="15" customHeight="1" x14ac:dyDescent="0.2">
      <c r="A290" s="13" t="s">
        <v>2280</v>
      </c>
      <c r="B290" s="13" t="s">
        <v>2281</v>
      </c>
      <c r="C290" s="13">
        <v>2023</v>
      </c>
      <c r="D290" s="13" t="s">
        <v>15</v>
      </c>
      <c r="E290" s="13" t="s">
        <v>1013</v>
      </c>
      <c r="F290" s="13">
        <v>7.1660000000000004</v>
      </c>
      <c r="G290" s="13" t="s">
        <v>18</v>
      </c>
      <c r="H290" s="13" t="s">
        <v>2282</v>
      </c>
      <c r="I290" s="13" t="s">
        <v>2283</v>
      </c>
      <c r="J290" s="9" t="s">
        <v>2284</v>
      </c>
      <c r="K290" s="13">
        <v>470</v>
      </c>
    </row>
    <row r="291" spans="1:11" ht="15" customHeight="1" x14ac:dyDescent="0.2">
      <c r="A291" s="15" t="s">
        <v>2285</v>
      </c>
      <c r="B291" s="15" t="s">
        <v>2286</v>
      </c>
      <c r="C291" s="15">
        <v>2018</v>
      </c>
      <c r="D291" s="15" t="s">
        <v>15</v>
      </c>
      <c r="E291" s="15" t="s">
        <v>2287</v>
      </c>
      <c r="F291" s="15">
        <v>7.34</v>
      </c>
      <c r="G291" s="15" t="s">
        <v>18</v>
      </c>
      <c r="H291" s="15" t="s">
        <v>2288</v>
      </c>
      <c r="I291" s="15" t="s">
        <v>2289</v>
      </c>
      <c r="J291" s="10" t="s">
        <v>2290</v>
      </c>
      <c r="K291" s="15">
        <v>1092</v>
      </c>
    </row>
    <row r="292" spans="1:11" ht="15" customHeight="1" x14ac:dyDescent="0.2">
      <c r="A292" s="13" t="s">
        <v>2291</v>
      </c>
      <c r="B292" s="13" t="s">
        <v>2292</v>
      </c>
      <c r="C292" s="13"/>
      <c r="D292" s="13" t="s">
        <v>15</v>
      </c>
      <c r="E292" s="13" t="s">
        <v>1024</v>
      </c>
      <c r="F292" s="13">
        <v>6.2960000000000003</v>
      </c>
      <c r="G292" s="13" t="s">
        <v>46</v>
      </c>
      <c r="H292" s="13">
        <v>41003</v>
      </c>
      <c r="I292" s="13" t="s">
        <v>2293</v>
      </c>
      <c r="J292" s="9" t="s">
        <v>2294</v>
      </c>
      <c r="K292" s="13">
        <v>169</v>
      </c>
    </row>
    <row r="293" spans="1:11" ht="15" customHeight="1" x14ac:dyDescent="0.2">
      <c r="A293" s="13" t="s">
        <v>2295</v>
      </c>
      <c r="B293" s="13" t="s">
        <v>2296</v>
      </c>
      <c r="C293" s="13">
        <v>2009</v>
      </c>
      <c r="D293" s="13" t="s">
        <v>2297</v>
      </c>
      <c r="E293" s="13" t="s">
        <v>566</v>
      </c>
      <c r="F293" s="13">
        <v>6</v>
      </c>
      <c r="G293" s="13" t="s">
        <v>46</v>
      </c>
      <c r="H293" s="13" t="s">
        <v>2298</v>
      </c>
      <c r="I293" s="13" t="s">
        <v>2299</v>
      </c>
      <c r="J293" s="9" t="s">
        <v>2300</v>
      </c>
      <c r="K293" s="13">
        <v>132</v>
      </c>
    </row>
    <row r="294" spans="1:11" ht="15" customHeight="1" x14ac:dyDescent="0.2">
      <c r="A294" s="13" t="s">
        <v>2301</v>
      </c>
      <c r="B294" s="13" t="s">
        <v>2302</v>
      </c>
      <c r="C294" s="13">
        <v>2015</v>
      </c>
      <c r="D294" s="13" t="s">
        <v>15</v>
      </c>
      <c r="E294" s="13" t="s">
        <v>2303</v>
      </c>
      <c r="F294" s="13">
        <v>6.5759999999999996</v>
      </c>
      <c r="G294" s="13" t="s">
        <v>18</v>
      </c>
      <c r="H294" s="13" t="s">
        <v>2304</v>
      </c>
      <c r="I294" s="13" t="s">
        <v>2305</v>
      </c>
      <c r="J294" s="9" t="s">
        <v>2306</v>
      </c>
      <c r="K294" s="13">
        <v>242</v>
      </c>
    </row>
    <row r="295" spans="1:11" ht="15" customHeight="1" x14ac:dyDescent="0.2">
      <c r="A295" s="13" t="s">
        <v>2307</v>
      </c>
      <c r="B295" s="13" t="s">
        <v>2308</v>
      </c>
      <c r="C295" s="13">
        <v>1991</v>
      </c>
      <c r="D295" s="13" t="s">
        <v>15</v>
      </c>
      <c r="E295" s="13" t="s">
        <v>1134</v>
      </c>
      <c r="F295" s="13">
        <v>7.681</v>
      </c>
      <c r="G295" s="13" t="s">
        <v>77</v>
      </c>
      <c r="H295" s="13" t="s">
        <v>2309</v>
      </c>
      <c r="I295" s="13" t="s">
        <v>2310</v>
      </c>
      <c r="J295" s="9" t="s">
        <v>2311</v>
      </c>
      <c r="K295" s="13">
        <v>1415</v>
      </c>
    </row>
    <row r="296" spans="1:11" ht="15" customHeight="1" x14ac:dyDescent="0.2">
      <c r="A296" s="13" t="s">
        <v>2312</v>
      </c>
      <c r="B296" s="13" t="s">
        <v>2313</v>
      </c>
      <c r="C296" s="13">
        <v>2005</v>
      </c>
      <c r="D296" s="13"/>
      <c r="E296" s="13" t="s">
        <v>566</v>
      </c>
      <c r="F296" s="13">
        <v>6.6040000000000001</v>
      </c>
      <c r="G296" s="13" t="s">
        <v>18</v>
      </c>
      <c r="H296" s="13">
        <v>46661</v>
      </c>
      <c r="I296" s="13" t="s">
        <v>2314</v>
      </c>
      <c r="J296" s="9" t="s">
        <v>2315</v>
      </c>
      <c r="K296" s="13">
        <v>24</v>
      </c>
    </row>
    <row r="297" spans="1:11" ht="15" customHeight="1" x14ac:dyDescent="0.2">
      <c r="A297" s="13" t="s">
        <v>2316</v>
      </c>
      <c r="B297" s="13" t="s">
        <v>2317</v>
      </c>
      <c r="C297" s="13">
        <v>2002</v>
      </c>
      <c r="D297" s="13" t="s">
        <v>952</v>
      </c>
      <c r="E297" s="13" t="s">
        <v>2318</v>
      </c>
      <c r="F297" s="13">
        <v>6.532</v>
      </c>
      <c r="G297" s="13" t="s">
        <v>18</v>
      </c>
      <c r="H297" s="13" t="s">
        <v>2319</v>
      </c>
      <c r="I297" s="13" t="s">
        <v>2320</v>
      </c>
      <c r="J297" s="9" t="s">
        <v>2321</v>
      </c>
      <c r="K297" s="13">
        <v>901</v>
      </c>
    </row>
    <row r="298" spans="1:11" ht="15" customHeight="1" x14ac:dyDescent="0.2">
      <c r="A298" s="13" t="s">
        <v>2322</v>
      </c>
      <c r="B298" s="13" t="s">
        <v>2323</v>
      </c>
      <c r="C298" s="13">
        <v>2011</v>
      </c>
      <c r="D298" s="13" t="s">
        <v>15</v>
      </c>
      <c r="E298" s="13" t="s">
        <v>1961</v>
      </c>
      <c r="F298" s="13">
        <v>6.4</v>
      </c>
      <c r="G298" s="13" t="s">
        <v>46</v>
      </c>
      <c r="H298" s="13" t="s">
        <v>2324</v>
      </c>
      <c r="I298" s="13" t="s">
        <v>2325</v>
      </c>
      <c r="J298" s="9" t="s">
        <v>2326</v>
      </c>
      <c r="K298" s="13">
        <v>574</v>
      </c>
    </row>
    <row r="299" spans="1:11" ht="15" customHeight="1" x14ac:dyDescent="0.2">
      <c r="A299" s="13" t="s">
        <v>2327</v>
      </c>
      <c r="B299" s="13" t="s">
        <v>2327</v>
      </c>
      <c r="C299" s="13">
        <v>2002</v>
      </c>
      <c r="D299" s="13" t="s">
        <v>2328</v>
      </c>
      <c r="E299" s="13" t="s">
        <v>1270</v>
      </c>
      <c r="F299" s="13">
        <v>6.37</v>
      </c>
      <c r="G299" s="13" t="s">
        <v>46</v>
      </c>
      <c r="H299" s="13">
        <v>15395</v>
      </c>
      <c r="I299" s="13" t="s">
        <v>2329</v>
      </c>
      <c r="J299" s="9" t="s">
        <v>2330</v>
      </c>
      <c r="K299" s="13">
        <v>115</v>
      </c>
    </row>
    <row r="300" spans="1:11" ht="15" customHeight="1" x14ac:dyDescent="0.2">
      <c r="A300" s="13" t="s">
        <v>2331</v>
      </c>
      <c r="B300" s="13" t="s">
        <v>2331</v>
      </c>
      <c r="C300" s="13">
        <v>2006</v>
      </c>
      <c r="D300" s="13" t="s">
        <v>952</v>
      </c>
      <c r="E300" s="13" t="s">
        <v>1270</v>
      </c>
      <c r="F300" s="13">
        <v>5.2</v>
      </c>
      <c r="G300" s="13" t="s">
        <v>28</v>
      </c>
      <c r="H300" s="13">
        <v>14930</v>
      </c>
      <c r="I300" s="13" t="s">
        <v>2332</v>
      </c>
      <c r="J300" s="9" t="s">
        <v>2333</v>
      </c>
      <c r="K300" s="13">
        <v>74</v>
      </c>
    </row>
    <row r="301" spans="1:11" ht="15" customHeight="1" x14ac:dyDescent="0.2">
      <c r="A301" s="15" t="s">
        <v>2334</v>
      </c>
      <c r="B301" s="15" t="s">
        <v>2335</v>
      </c>
      <c r="C301" s="15">
        <v>1991</v>
      </c>
      <c r="D301" s="15" t="s">
        <v>15</v>
      </c>
      <c r="E301" s="15" t="s">
        <v>1270</v>
      </c>
      <c r="F301" s="15">
        <v>6.7</v>
      </c>
      <c r="G301" s="15" t="s">
        <v>18</v>
      </c>
      <c r="H301" s="15">
        <v>19200</v>
      </c>
      <c r="I301" s="15" t="s">
        <v>2336</v>
      </c>
      <c r="J301" s="10" t="s">
        <v>2337</v>
      </c>
      <c r="K301" s="15">
        <v>383</v>
      </c>
    </row>
    <row r="302" spans="1:11" ht="15" customHeight="1" x14ac:dyDescent="0.2">
      <c r="A302" s="13" t="s">
        <v>2338</v>
      </c>
      <c r="B302" s="13" t="s">
        <v>2338</v>
      </c>
      <c r="C302" s="13">
        <v>2024</v>
      </c>
      <c r="D302" s="13" t="s">
        <v>413</v>
      </c>
      <c r="E302" s="13" t="s">
        <v>399</v>
      </c>
      <c r="F302" s="13">
        <v>5.2690000000000001</v>
      </c>
      <c r="G302" s="13" t="s">
        <v>28</v>
      </c>
      <c r="H302" s="13" t="s">
        <v>2339</v>
      </c>
      <c r="I302" s="13" t="s">
        <v>2340</v>
      </c>
      <c r="J302" s="9" t="s">
        <v>2341</v>
      </c>
      <c r="K302" s="13">
        <v>39</v>
      </c>
    </row>
    <row r="303" spans="1:11" ht="15" customHeight="1" x14ac:dyDescent="0.2">
      <c r="A303" s="13" t="s">
        <v>2342</v>
      </c>
      <c r="B303" s="13" t="s">
        <v>2343</v>
      </c>
      <c r="C303" s="13">
        <v>2021</v>
      </c>
      <c r="D303" s="13" t="s">
        <v>413</v>
      </c>
      <c r="E303" s="13" t="s">
        <v>2344</v>
      </c>
      <c r="F303" s="13"/>
      <c r="G303" s="13"/>
      <c r="H303" s="13" t="s">
        <v>2345</v>
      </c>
      <c r="I303" s="13" t="s">
        <v>2346</v>
      </c>
      <c r="J303" s="9"/>
      <c r="K303" s="13"/>
    </row>
    <row r="304" spans="1:11" ht="15" customHeight="1" x14ac:dyDescent="0.2">
      <c r="A304" s="13" t="s">
        <v>2347</v>
      </c>
      <c r="B304" s="13" t="s">
        <v>2347</v>
      </c>
      <c r="C304" s="13">
        <v>1997</v>
      </c>
      <c r="D304" s="13" t="s">
        <v>413</v>
      </c>
      <c r="E304" s="13" t="s">
        <v>456</v>
      </c>
      <c r="F304" s="13">
        <v>6.907</v>
      </c>
      <c r="G304" s="13" t="s">
        <v>18</v>
      </c>
      <c r="H304" s="13" t="s">
        <v>2348</v>
      </c>
      <c r="I304" s="13" t="s">
        <v>2349</v>
      </c>
      <c r="J304" s="9" t="s">
        <v>2350</v>
      </c>
      <c r="K304" s="13">
        <v>1033</v>
      </c>
    </row>
    <row r="305" spans="1:11" ht="15" customHeight="1" x14ac:dyDescent="0.2">
      <c r="A305" s="13" t="s">
        <v>2351</v>
      </c>
      <c r="B305" s="13" t="s">
        <v>2352</v>
      </c>
      <c r="C305" s="13">
        <v>1985</v>
      </c>
      <c r="D305" s="13" t="s">
        <v>15</v>
      </c>
      <c r="E305" s="13" t="s">
        <v>1578</v>
      </c>
      <c r="F305" s="13">
        <v>6.2190000000000003</v>
      </c>
      <c r="G305" s="13" t="s">
        <v>46</v>
      </c>
      <c r="H305" s="13" t="s">
        <v>2353</v>
      </c>
      <c r="I305" s="13" t="s">
        <v>2354</v>
      </c>
      <c r="J305" s="9" t="s">
        <v>2355</v>
      </c>
      <c r="K305" s="13">
        <v>112</v>
      </c>
    </row>
    <row r="306" spans="1:11" ht="15" customHeight="1" x14ac:dyDescent="0.2">
      <c r="A306" s="13" t="s">
        <v>2356</v>
      </c>
      <c r="B306" s="13" t="s">
        <v>2357</v>
      </c>
      <c r="C306" s="13">
        <v>1980</v>
      </c>
      <c r="D306" s="13" t="s">
        <v>15</v>
      </c>
      <c r="E306" s="13" t="s">
        <v>1270</v>
      </c>
      <c r="F306" s="13">
        <v>6.4</v>
      </c>
      <c r="G306" s="13" t="s">
        <v>46</v>
      </c>
      <c r="H306" s="13" t="s">
        <v>2358</v>
      </c>
      <c r="I306" s="13" t="s">
        <v>2359</v>
      </c>
      <c r="J306" s="9" t="s">
        <v>2360</v>
      </c>
      <c r="K306" s="13">
        <v>278</v>
      </c>
    </row>
    <row r="307" spans="1:11" ht="15" customHeight="1" x14ac:dyDescent="0.2">
      <c r="A307" s="13" t="s">
        <v>2361</v>
      </c>
      <c r="B307" s="13" t="s">
        <v>2362</v>
      </c>
      <c r="C307" s="13">
        <v>1969</v>
      </c>
      <c r="D307" s="13" t="s">
        <v>15</v>
      </c>
      <c r="E307" s="13" t="s">
        <v>2363</v>
      </c>
      <c r="F307" s="13">
        <v>6.0190000000000001</v>
      </c>
      <c r="G307" s="13" t="s">
        <v>46</v>
      </c>
      <c r="H307" s="13" t="s">
        <v>2364</v>
      </c>
      <c r="I307" s="13" t="s">
        <v>2365</v>
      </c>
      <c r="J307" s="9" t="s">
        <v>2366</v>
      </c>
      <c r="K307" s="13">
        <v>154</v>
      </c>
    </row>
    <row r="308" spans="1:11" ht="15" customHeight="1" x14ac:dyDescent="0.2">
      <c r="A308" s="13" t="s">
        <v>2367</v>
      </c>
      <c r="B308" s="13" t="s">
        <v>2368</v>
      </c>
      <c r="C308" s="13" t="s">
        <v>2369</v>
      </c>
      <c r="D308" s="13" t="s">
        <v>619</v>
      </c>
      <c r="E308" s="13" t="s">
        <v>881</v>
      </c>
      <c r="F308" s="13"/>
      <c r="G308" s="13"/>
      <c r="H308" s="13" t="s">
        <v>2370</v>
      </c>
      <c r="I308" s="13" t="s">
        <v>2371</v>
      </c>
      <c r="J308" s="9"/>
      <c r="K308" s="13"/>
    </row>
    <row r="309" spans="1:11" ht="15" customHeight="1" x14ac:dyDescent="0.2">
      <c r="A309" s="13" t="s">
        <v>2372</v>
      </c>
      <c r="B309" s="13" t="s">
        <v>2373</v>
      </c>
      <c r="C309" s="13">
        <v>2007</v>
      </c>
      <c r="D309" s="13" t="s">
        <v>969</v>
      </c>
      <c r="E309" s="13" t="s">
        <v>2374</v>
      </c>
      <c r="F309" s="13">
        <v>6.3</v>
      </c>
      <c r="G309" s="13" t="s">
        <v>46</v>
      </c>
      <c r="H309" s="13" t="s">
        <v>2375</v>
      </c>
      <c r="I309" s="13" t="s">
        <v>2376</v>
      </c>
      <c r="J309" s="9" t="s">
        <v>2377</v>
      </c>
      <c r="K309" s="13">
        <v>565</v>
      </c>
    </row>
    <row r="310" spans="1:11" ht="15" customHeight="1" x14ac:dyDescent="0.2">
      <c r="A310" s="13" t="s">
        <v>2378</v>
      </c>
      <c r="B310" s="13" t="s">
        <v>2379</v>
      </c>
      <c r="C310" s="13">
        <v>1982</v>
      </c>
      <c r="D310" s="13" t="s">
        <v>15</v>
      </c>
      <c r="E310" s="13" t="s">
        <v>2380</v>
      </c>
      <c r="F310" s="13">
        <v>6.65</v>
      </c>
      <c r="G310" s="13" t="s">
        <v>18</v>
      </c>
      <c r="H310" s="13" t="s">
        <v>2381</v>
      </c>
      <c r="I310" s="13" t="s">
        <v>2382</v>
      </c>
      <c r="J310" s="9" t="s">
        <v>2383</v>
      </c>
      <c r="K310" s="13">
        <v>290</v>
      </c>
    </row>
    <row r="311" spans="1:11" ht="15" customHeight="1" x14ac:dyDescent="0.2">
      <c r="A311" s="15" t="s">
        <v>2384</v>
      </c>
      <c r="B311" s="15" t="s">
        <v>2385</v>
      </c>
      <c r="C311" s="15">
        <v>1988</v>
      </c>
      <c r="D311" s="15" t="s">
        <v>1316</v>
      </c>
      <c r="E311" s="15" t="s">
        <v>928</v>
      </c>
      <c r="F311" s="15">
        <v>6.6609999999999996</v>
      </c>
      <c r="G311" s="15" t="s">
        <v>18</v>
      </c>
      <c r="H311" s="15" t="s">
        <v>2386</v>
      </c>
      <c r="I311" s="15" t="s">
        <v>2387</v>
      </c>
      <c r="J311" s="10" t="s">
        <v>2388</v>
      </c>
      <c r="K311" s="15">
        <v>248</v>
      </c>
    </row>
    <row r="312" spans="1:11" ht="15" customHeight="1" x14ac:dyDescent="0.2">
      <c r="A312" s="13" t="s">
        <v>2389</v>
      </c>
      <c r="B312" s="13" t="s">
        <v>2389</v>
      </c>
      <c r="C312" s="13">
        <v>2010</v>
      </c>
      <c r="D312" s="13" t="s">
        <v>478</v>
      </c>
      <c r="E312" s="13" t="s">
        <v>761</v>
      </c>
      <c r="F312" s="13">
        <v>8.3710000000000004</v>
      </c>
      <c r="G312" s="13" t="s">
        <v>77</v>
      </c>
      <c r="H312" s="13" t="s">
        <v>2390</v>
      </c>
      <c r="I312" s="13" t="s">
        <v>2391</v>
      </c>
      <c r="J312" s="9" t="s">
        <v>2392</v>
      </c>
      <c r="K312" s="13">
        <v>38350</v>
      </c>
    </row>
    <row r="313" spans="1:11" ht="15" customHeight="1" x14ac:dyDescent="0.2">
      <c r="A313" s="13" t="s">
        <v>2393</v>
      </c>
      <c r="B313" s="13" t="s">
        <v>2394</v>
      </c>
      <c r="C313" s="13">
        <v>2003</v>
      </c>
      <c r="D313" s="13" t="s">
        <v>15</v>
      </c>
      <c r="E313" s="13" t="s">
        <v>2395</v>
      </c>
      <c r="F313" s="13">
        <v>7.1849999999999996</v>
      </c>
      <c r="G313" s="13" t="s">
        <v>18</v>
      </c>
      <c r="H313" s="13" t="s">
        <v>2396</v>
      </c>
      <c r="I313" s="13" t="s">
        <v>2397</v>
      </c>
      <c r="J313" s="9" t="s">
        <v>2398</v>
      </c>
      <c r="K313" s="13">
        <v>804</v>
      </c>
    </row>
    <row r="314" spans="1:11" ht="15" customHeight="1" x14ac:dyDescent="0.2">
      <c r="A314" s="13" t="s">
        <v>2399</v>
      </c>
      <c r="B314" s="13" t="s">
        <v>2373</v>
      </c>
      <c r="C314" s="13">
        <v>1972</v>
      </c>
      <c r="D314" s="13" t="s">
        <v>1316</v>
      </c>
      <c r="E314" s="13" t="s">
        <v>2400</v>
      </c>
      <c r="F314" s="13">
        <v>7.6790000000000003</v>
      </c>
      <c r="G314" s="13" t="s">
        <v>77</v>
      </c>
      <c r="H314" s="13" t="s">
        <v>2401</v>
      </c>
      <c r="I314" s="13" t="s">
        <v>2402</v>
      </c>
      <c r="J314" s="9" t="s">
        <v>2403</v>
      </c>
      <c r="K314" s="13">
        <v>672</v>
      </c>
    </row>
    <row r="315" spans="1:11" ht="15" customHeight="1" x14ac:dyDescent="0.2">
      <c r="A315" s="13" t="s">
        <v>2404</v>
      </c>
      <c r="B315" s="13" t="s">
        <v>2405</v>
      </c>
      <c r="C315" s="13">
        <v>1967</v>
      </c>
      <c r="D315" s="13" t="s">
        <v>15</v>
      </c>
      <c r="E315" s="13" t="s">
        <v>566</v>
      </c>
      <c r="F315" s="13">
        <v>6.4</v>
      </c>
      <c r="G315" s="13" t="s">
        <v>46</v>
      </c>
      <c r="H315" s="13" t="s">
        <v>2406</v>
      </c>
      <c r="I315" s="13" t="s">
        <v>2407</v>
      </c>
      <c r="J315" s="9"/>
      <c r="K315" s="13">
        <v>36</v>
      </c>
    </row>
    <row r="316" spans="1:11" ht="15" customHeight="1" x14ac:dyDescent="0.2">
      <c r="A316" s="13" t="s">
        <v>2408</v>
      </c>
      <c r="B316" s="13" t="s">
        <v>2409</v>
      </c>
      <c r="C316" s="13">
        <v>2023</v>
      </c>
      <c r="D316" s="13" t="s">
        <v>880</v>
      </c>
      <c r="E316" s="13" t="s">
        <v>1180</v>
      </c>
      <c r="F316" s="13">
        <v>8.3000000000000007</v>
      </c>
      <c r="G316" s="13" t="s">
        <v>77</v>
      </c>
      <c r="H316" s="13" t="s">
        <v>2410</v>
      </c>
      <c r="I316" s="13" t="s">
        <v>2408</v>
      </c>
      <c r="J316" s="9" t="s">
        <v>2411</v>
      </c>
      <c r="K316" s="13">
        <v>7</v>
      </c>
    </row>
    <row r="317" spans="1:11" ht="15" customHeight="1" x14ac:dyDescent="0.2">
      <c r="A317" s="13" t="s">
        <v>2412</v>
      </c>
      <c r="B317" s="13" t="s">
        <v>2413</v>
      </c>
      <c r="C317" s="13">
        <v>1993</v>
      </c>
      <c r="D317" s="13" t="s">
        <v>2414</v>
      </c>
      <c r="E317" s="13" t="s">
        <v>1227</v>
      </c>
      <c r="F317" s="13">
        <v>7.3849999999999998</v>
      </c>
      <c r="G317" s="13" t="s">
        <v>18</v>
      </c>
      <c r="H317" s="13" t="s">
        <v>2415</v>
      </c>
      <c r="I317" s="13" t="s">
        <v>2416</v>
      </c>
      <c r="J317" s="9" t="s">
        <v>2417</v>
      </c>
      <c r="K317" s="13">
        <v>3934</v>
      </c>
    </row>
    <row r="318" spans="1:11" ht="15" customHeight="1" x14ac:dyDescent="0.2">
      <c r="A318" s="13" t="s">
        <v>2418</v>
      </c>
      <c r="B318" s="13" t="s">
        <v>2419</v>
      </c>
      <c r="C318" s="13">
        <v>2001</v>
      </c>
      <c r="D318" s="13" t="s">
        <v>15</v>
      </c>
      <c r="E318" s="13" t="s">
        <v>1169</v>
      </c>
      <c r="F318" s="13">
        <v>6.2530000000000001</v>
      </c>
      <c r="G318" s="13" t="s">
        <v>46</v>
      </c>
      <c r="H318" s="13" t="s">
        <v>2420</v>
      </c>
      <c r="I318" s="13" t="s">
        <v>2421</v>
      </c>
      <c r="J318" s="9" t="s">
        <v>2422</v>
      </c>
      <c r="K318" s="13">
        <v>1006</v>
      </c>
    </row>
    <row r="319" spans="1:11" ht="15" customHeight="1" x14ac:dyDescent="0.2">
      <c r="A319" s="13" t="s">
        <v>2423</v>
      </c>
      <c r="B319" s="13" t="s">
        <v>2423</v>
      </c>
      <c r="C319" s="13">
        <v>2009</v>
      </c>
      <c r="D319" s="13" t="s">
        <v>413</v>
      </c>
      <c r="E319" s="13" t="s">
        <v>1069</v>
      </c>
      <c r="F319" s="13">
        <v>5.9</v>
      </c>
      <c r="G319" s="13" t="s">
        <v>46</v>
      </c>
      <c r="H319" s="13" t="s">
        <v>2424</v>
      </c>
      <c r="I319" s="13" t="s">
        <v>2425</v>
      </c>
      <c r="J319" s="9" t="s">
        <v>2426</v>
      </c>
      <c r="K319" s="13">
        <v>337</v>
      </c>
    </row>
    <row r="320" spans="1:11" ht="15" customHeight="1" x14ac:dyDescent="0.2">
      <c r="A320" s="13" t="s">
        <v>2427</v>
      </c>
      <c r="B320" s="13" t="s">
        <v>2428</v>
      </c>
      <c r="C320" s="13">
        <v>2006</v>
      </c>
      <c r="D320" s="13" t="s">
        <v>15</v>
      </c>
      <c r="E320" s="13" t="s">
        <v>490</v>
      </c>
      <c r="F320" s="13">
        <v>6.1</v>
      </c>
      <c r="G320" s="13" t="s">
        <v>46</v>
      </c>
      <c r="H320" s="13" t="s">
        <v>2429</v>
      </c>
      <c r="I320" s="13" t="s">
        <v>2430</v>
      </c>
      <c r="J320" s="9" t="s">
        <v>2431</v>
      </c>
      <c r="K320" s="13">
        <v>862</v>
      </c>
    </row>
    <row r="321" spans="1:11" ht="15" customHeight="1" x14ac:dyDescent="0.2">
      <c r="A321" s="15" t="s">
        <v>2432</v>
      </c>
      <c r="B321" s="15" t="s">
        <v>2433</v>
      </c>
      <c r="C321" s="15">
        <v>2000</v>
      </c>
      <c r="D321" s="15" t="s">
        <v>15</v>
      </c>
      <c r="E321" s="15" t="s">
        <v>2434</v>
      </c>
      <c r="F321" s="15">
        <v>7.0819999999999999</v>
      </c>
      <c r="G321" s="15" t="s">
        <v>18</v>
      </c>
      <c r="H321" s="15" t="s">
        <v>2435</v>
      </c>
      <c r="I321" s="15" t="s">
        <v>2436</v>
      </c>
      <c r="J321" s="10" t="s">
        <v>2437</v>
      </c>
      <c r="K321" s="15">
        <v>2299</v>
      </c>
    </row>
    <row r="322" spans="1:11" ht="15" customHeight="1" x14ac:dyDescent="0.2">
      <c r="A322" s="13" t="s">
        <v>2438</v>
      </c>
      <c r="B322" s="13" t="s">
        <v>2439</v>
      </c>
      <c r="C322" s="13" t="s">
        <v>2440</v>
      </c>
      <c r="D322" s="13" t="s">
        <v>519</v>
      </c>
      <c r="E322" s="13" t="s">
        <v>49</v>
      </c>
      <c r="F322" s="13">
        <v>0</v>
      </c>
      <c r="G322" s="13"/>
      <c r="H322" s="13" t="s">
        <v>2441</v>
      </c>
      <c r="I322" s="13" t="s">
        <v>2442</v>
      </c>
      <c r="J322" s="9" t="s">
        <v>2443</v>
      </c>
      <c r="K322" s="13">
        <v>0</v>
      </c>
    </row>
    <row r="323" spans="1:11" ht="15" customHeight="1" x14ac:dyDescent="0.2">
      <c r="A323" s="13" t="s">
        <v>2444</v>
      </c>
      <c r="B323" s="13" t="s">
        <v>2445</v>
      </c>
      <c r="C323" s="13">
        <v>1997</v>
      </c>
      <c r="D323" s="13" t="s">
        <v>2446</v>
      </c>
      <c r="E323" s="13" t="s">
        <v>566</v>
      </c>
      <c r="F323" s="13">
        <v>5.6</v>
      </c>
      <c r="G323" s="13" t="s">
        <v>46</v>
      </c>
      <c r="H323" s="13" t="s">
        <v>2447</v>
      </c>
      <c r="I323" s="13" t="s">
        <v>2448</v>
      </c>
      <c r="J323" s="9" t="s">
        <v>2449</v>
      </c>
      <c r="K323" s="13">
        <v>13</v>
      </c>
    </row>
    <row r="324" spans="1:11" ht="15" customHeight="1" x14ac:dyDescent="0.2">
      <c r="A324" s="13" t="s">
        <v>2450</v>
      </c>
      <c r="B324" s="13" t="s">
        <v>2451</v>
      </c>
      <c r="C324" s="13">
        <v>2007</v>
      </c>
      <c r="D324" s="13" t="s">
        <v>15</v>
      </c>
      <c r="E324" s="13" t="s">
        <v>1134</v>
      </c>
      <c r="F324" s="13">
        <v>7.1859999999999999</v>
      </c>
      <c r="G324" s="13" t="s">
        <v>18</v>
      </c>
      <c r="H324" s="13" t="s">
        <v>2452</v>
      </c>
      <c r="I324" s="13" t="s">
        <v>2453</v>
      </c>
      <c r="J324" s="9" t="s">
        <v>2454</v>
      </c>
      <c r="K324" s="13">
        <v>3964</v>
      </c>
    </row>
    <row r="325" spans="1:11" ht="15" customHeight="1" x14ac:dyDescent="0.2">
      <c r="A325" s="13" t="s">
        <v>2455</v>
      </c>
      <c r="B325" s="13" t="s">
        <v>2456</v>
      </c>
      <c r="C325" s="13">
        <v>2002</v>
      </c>
      <c r="D325" s="13" t="s">
        <v>15</v>
      </c>
      <c r="E325" s="13" t="s">
        <v>2457</v>
      </c>
      <c r="F325" s="13">
        <v>6.3550000000000004</v>
      </c>
      <c r="G325" s="13" t="s">
        <v>46</v>
      </c>
      <c r="H325" s="13" t="s">
        <v>2458</v>
      </c>
      <c r="I325" s="13" t="s">
        <v>2459</v>
      </c>
      <c r="J325" s="9" t="s">
        <v>2460</v>
      </c>
      <c r="K325" s="13">
        <v>836</v>
      </c>
    </row>
    <row r="326" spans="1:11" ht="15" customHeight="1" x14ac:dyDescent="0.2">
      <c r="A326" s="13" t="s">
        <v>2461</v>
      </c>
      <c r="B326" s="13" t="s">
        <v>2462</v>
      </c>
      <c r="C326" s="13">
        <v>2001</v>
      </c>
      <c r="D326" s="13" t="s">
        <v>2463</v>
      </c>
      <c r="E326" s="13" t="s">
        <v>2464</v>
      </c>
      <c r="F326" s="13">
        <v>6.3369999999999997</v>
      </c>
      <c r="G326" s="13" t="s">
        <v>46</v>
      </c>
      <c r="H326" s="13" t="s">
        <v>2465</v>
      </c>
      <c r="I326" s="13" t="s">
        <v>2466</v>
      </c>
      <c r="J326" s="9" t="s">
        <v>2467</v>
      </c>
      <c r="K326" s="13">
        <v>1973</v>
      </c>
    </row>
    <row r="327" spans="1:11" ht="15" customHeight="1" x14ac:dyDescent="0.2">
      <c r="A327" s="13" t="s">
        <v>2468</v>
      </c>
      <c r="B327" s="13" t="s">
        <v>2468</v>
      </c>
      <c r="C327" s="13">
        <v>2006</v>
      </c>
      <c r="D327" s="13" t="s">
        <v>2469</v>
      </c>
      <c r="E327" s="13" t="s">
        <v>2470</v>
      </c>
      <c r="F327" s="13">
        <v>7.4779999999999998</v>
      </c>
      <c r="G327" s="13" t="s">
        <v>18</v>
      </c>
      <c r="H327" s="13" t="s">
        <v>2471</v>
      </c>
      <c r="I327" s="13" t="s">
        <v>2472</v>
      </c>
      <c r="J327" s="9" t="s">
        <v>2473</v>
      </c>
      <c r="K327" s="13">
        <v>4300</v>
      </c>
    </row>
    <row r="328" spans="1:11" ht="15" customHeight="1" x14ac:dyDescent="0.2">
      <c r="A328" s="13" t="s">
        <v>2474</v>
      </c>
      <c r="B328" s="13" t="s">
        <v>2475</v>
      </c>
      <c r="C328" s="13">
        <v>2010</v>
      </c>
      <c r="D328" s="13" t="s">
        <v>15</v>
      </c>
      <c r="E328" s="13" t="s">
        <v>2476</v>
      </c>
      <c r="F328" s="13">
        <v>6.7030000000000003</v>
      </c>
      <c r="G328" s="13" t="s">
        <v>18</v>
      </c>
      <c r="H328" s="13" t="s">
        <v>2477</v>
      </c>
      <c r="I328" s="13" t="s">
        <v>2478</v>
      </c>
      <c r="J328" s="9" t="s">
        <v>2479</v>
      </c>
      <c r="K328" s="13">
        <v>6971</v>
      </c>
    </row>
    <row r="329" spans="1:11" ht="15" customHeight="1" x14ac:dyDescent="0.2">
      <c r="A329" s="13" t="s">
        <v>2480</v>
      </c>
      <c r="B329" s="13" t="s">
        <v>2481</v>
      </c>
      <c r="C329" s="13">
        <v>2000</v>
      </c>
      <c r="D329" s="13" t="s">
        <v>15</v>
      </c>
      <c r="E329" s="13" t="s">
        <v>906</v>
      </c>
      <c r="F329" s="13">
        <v>6.11</v>
      </c>
      <c r="G329" s="13" t="s">
        <v>46</v>
      </c>
      <c r="H329" s="13" t="s">
        <v>2482</v>
      </c>
      <c r="I329" s="13" t="s">
        <v>2483</v>
      </c>
      <c r="J329" s="9" t="s">
        <v>2484</v>
      </c>
      <c r="K329" s="13">
        <v>502</v>
      </c>
    </row>
    <row r="330" spans="1:11" ht="15" customHeight="1" x14ac:dyDescent="0.2">
      <c r="A330" s="13" t="s">
        <v>2485</v>
      </c>
      <c r="B330" s="13" t="s">
        <v>2486</v>
      </c>
      <c r="C330" s="13">
        <v>2005</v>
      </c>
      <c r="D330" s="13" t="s">
        <v>2487</v>
      </c>
      <c r="E330" s="13" t="s">
        <v>916</v>
      </c>
      <c r="F330" s="13">
        <v>6.9390000000000001</v>
      </c>
      <c r="G330" s="13" t="s">
        <v>18</v>
      </c>
      <c r="H330" s="13" t="s">
        <v>2488</v>
      </c>
      <c r="I330" s="13" t="s">
        <v>2489</v>
      </c>
      <c r="J330" s="9" t="s">
        <v>2490</v>
      </c>
      <c r="K330" s="13">
        <v>2101</v>
      </c>
    </row>
    <row r="331" spans="1:11" ht="15" customHeight="1" x14ac:dyDescent="0.2">
      <c r="A331" s="15" t="s">
        <v>2491</v>
      </c>
      <c r="B331" s="15" t="s">
        <v>2492</v>
      </c>
      <c r="C331" s="15">
        <v>2020</v>
      </c>
      <c r="D331" s="15" t="s">
        <v>530</v>
      </c>
      <c r="E331" s="15" t="s">
        <v>1180</v>
      </c>
      <c r="F331" s="15">
        <v>7</v>
      </c>
      <c r="G331" s="15" t="s">
        <v>18</v>
      </c>
      <c r="H331" s="15" t="s">
        <v>2493</v>
      </c>
      <c r="I331" s="15" t="s">
        <v>2494</v>
      </c>
      <c r="J331" s="10" t="s">
        <v>2495</v>
      </c>
      <c r="K331" s="15">
        <v>5</v>
      </c>
    </row>
    <row r="332" spans="1:11" ht="15" customHeight="1" x14ac:dyDescent="0.2">
      <c r="A332" s="13" t="s">
        <v>2496</v>
      </c>
      <c r="B332" s="13" t="s">
        <v>2497</v>
      </c>
      <c r="C332" s="13">
        <v>2001</v>
      </c>
      <c r="D332" s="13" t="s">
        <v>1316</v>
      </c>
      <c r="E332" s="13" t="s">
        <v>2498</v>
      </c>
      <c r="F332" s="13">
        <v>5.7990000000000004</v>
      </c>
      <c r="G332" s="13" t="s">
        <v>46</v>
      </c>
      <c r="H332" s="13" t="s">
        <v>2499</v>
      </c>
      <c r="I332" s="13" t="s">
        <v>2500</v>
      </c>
      <c r="J332" s="9" t="s">
        <v>2501</v>
      </c>
      <c r="K332" s="13">
        <v>117</v>
      </c>
    </row>
    <row r="333" spans="1:11" ht="15" customHeight="1" x14ac:dyDescent="0.2">
      <c r="A333" s="13" t="s">
        <v>2502</v>
      </c>
      <c r="B333" s="13"/>
      <c r="C333" s="13">
        <v>1974</v>
      </c>
      <c r="D333" s="13"/>
      <c r="E333" s="13"/>
      <c r="F333" s="13"/>
      <c r="G333" s="13"/>
      <c r="H333" s="13"/>
      <c r="I333" s="13"/>
      <c r="J333" s="9" t="s">
        <v>2503</v>
      </c>
      <c r="K333" s="13"/>
    </row>
    <row r="334" spans="1:11" ht="15" customHeight="1" x14ac:dyDescent="0.2">
      <c r="A334" s="13" t="s">
        <v>2504</v>
      </c>
      <c r="B334" s="13" t="s">
        <v>2505</v>
      </c>
      <c r="C334" s="13">
        <v>1967</v>
      </c>
      <c r="D334" s="13" t="s">
        <v>2506</v>
      </c>
      <c r="E334" s="13" t="s">
        <v>2507</v>
      </c>
      <c r="F334" s="13">
        <v>6.8209999999999997</v>
      </c>
      <c r="G334" s="13" t="s">
        <v>18</v>
      </c>
      <c r="H334" s="13" t="s">
        <v>2508</v>
      </c>
      <c r="I334" s="13" t="s">
        <v>2509</v>
      </c>
      <c r="J334" s="9" t="s">
        <v>2510</v>
      </c>
      <c r="K334" s="13">
        <v>171</v>
      </c>
    </row>
    <row r="335" spans="1:11" ht="15" customHeight="1" x14ac:dyDescent="0.2">
      <c r="A335" s="13" t="s">
        <v>2511</v>
      </c>
      <c r="B335" s="13" t="s">
        <v>2512</v>
      </c>
      <c r="C335" s="13">
        <v>1965</v>
      </c>
      <c r="D335" s="13" t="s">
        <v>530</v>
      </c>
      <c r="E335" s="13" t="s">
        <v>881</v>
      </c>
      <c r="F335" s="13">
        <v>7.54</v>
      </c>
      <c r="G335" s="13" t="s">
        <v>77</v>
      </c>
      <c r="H335" s="13" t="s">
        <v>2513</v>
      </c>
      <c r="I335" s="13" t="s">
        <v>2514</v>
      </c>
      <c r="J335" s="9" t="s">
        <v>2515</v>
      </c>
      <c r="K335" s="13">
        <v>1223</v>
      </c>
    </row>
    <row r="336" spans="1:11" ht="15" customHeight="1" x14ac:dyDescent="0.2">
      <c r="A336" s="13" t="s">
        <v>2516</v>
      </c>
      <c r="B336" s="13" t="s">
        <v>2516</v>
      </c>
      <c r="C336" s="13">
        <v>1968</v>
      </c>
      <c r="D336" s="13" t="s">
        <v>413</v>
      </c>
      <c r="E336" s="13" t="s">
        <v>2517</v>
      </c>
      <c r="F336" s="13">
        <v>7.2</v>
      </c>
      <c r="G336" s="13" t="s">
        <v>18</v>
      </c>
      <c r="H336" s="13" t="s">
        <v>2518</v>
      </c>
      <c r="I336" s="13" t="s">
        <v>2519</v>
      </c>
      <c r="J336" s="9" t="s">
        <v>2520</v>
      </c>
      <c r="K336" s="13">
        <v>411</v>
      </c>
    </row>
    <row r="337" spans="1:11" ht="15" customHeight="1" x14ac:dyDescent="0.2">
      <c r="A337" s="13" t="s">
        <v>2521</v>
      </c>
      <c r="B337" s="13" t="s">
        <v>2521</v>
      </c>
      <c r="C337" s="13">
        <v>1975</v>
      </c>
      <c r="D337" s="13" t="s">
        <v>413</v>
      </c>
      <c r="E337" s="13" t="s">
        <v>2517</v>
      </c>
      <c r="F337" s="13">
        <v>5.2</v>
      </c>
      <c r="G337" s="13" t="s">
        <v>28</v>
      </c>
      <c r="H337" s="13" t="s">
        <v>2522</v>
      </c>
      <c r="I337" s="13" t="s">
        <v>2523</v>
      </c>
      <c r="J337" s="9" t="s">
        <v>2524</v>
      </c>
      <c r="K337" s="13">
        <v>67</v>
      </c>
    </row>
    <row r="338" spans="1:11" ht="15" customHeight="1" x14ac:dyDescent="0.2">
      <c r="A338" s="13" t="s">
        <v>2525</v>
      </c>
      <c r="B338" s="13" t="s">
        <v>2526</v>
      </c>
      <c r="C338" s="13">
        <v>1964</v>
      </c>
      <c r="D338" s="13" t="s">
        <v>1316</v>
      </c>
      <c r="E338" s="13" t="s">
        <v>2527</v>
      </c>
      <c r="F338" s="13">
        <v>8</v>
      </c>
      <c r="G338" s="13" t="s">
        <v>77</v>
      </c>
      <c r="H338" s="13" t="s">
        <v>2528</v>
      </c>
      <c r="I338" s="13" t="s">
        <v>2529</v>
      </c>
      <c r="J338" s="9" t="s">
        <v>2530</v>
      </c>
      <c r="K338" s="13">
        <v>3272</v>
      </c>
    </row>
    <row r="339" spans="1:11" ht="15" customHeight="1" x14ac:dyDescent="0.2">
      <c r="A339" s="13" t="s">
        <v>2531</v>
      </c>
      <c r="B339" s="13" t="s">
        <v>2531</v>
      </c>
      <c r="C339" s="13">
        <v>1984</v>
      </c>
      <c r="D339" s="13" t="s">
        <v>781</v>
      </c>
      <c r="E339" s="13" t="s">
        <v>2532</v>
      </c>
      <c r="F339" s="13">
        <v>7.0869999999999997</v>
      </c>
      <c r="G339" s="13" t="s">
        <v>18</v>
      </c>
      <c r="H339" s="13" t="s">
        <v>2533</v>
      </c>
      <c r="I339" s="13" t="s">
        <v>2534</v>
      </c>
      <c r="J339" s="9" t="s">
        <v>2535</v>
      </c>
      <c r="K339" s="13">
        <v>1321</v>
      </c>
    </row>
    <row r="340" spans="1:11" ht="15" customHeight="1" x14ac:dyDescent="0.2">
      <c r="A340" s="13" t="s">
        <v>2536</v>
      </c>
      <c r="B340" s="13" t="s">
        <v>2537</v>
      </c>
      <c r="C340" s="13">
        <v>2019</v>
      </c>
      <c r="D340" s="13" t="s">
        <v>49</v>
      </c>
      <c r="E340" s="13" t="s">
        <v>1180</v>
      </c>
      <c r="F340" s="13">
        <v>6.9660000000000002</v>
      </c>
      <c r="G340" s="13" t="s">
        <v>18</v>
      </c>
      <c r="H340" s="13" t="s">
        <v>2538</v>
      </c>
      <c r="I340" s="13" t="s">
        <v>2539</v>
      </c>
      <c r="J340" s="9" t="s">
        <v>2540</v>
      </c>
      <c r="K340" s="13">
        <v>29</v>
      </c>
    </row>
    <row r="341" spans="1:11" ht="15" customHeight="1" x14ac:dyDescent="0.2">
      <c r="A341" s="15" t="s">
        <v>2541</v>
      </c>
      <c r="B341" s="15" t="s">
        <v>2542</v>
      </c>
      <c r="C341" s="15">
        <v>1983</v>
      </c>
      <c r="D341" s="15" t="s">
        <v>15</v>
      </c>
      <c r="E341" s="15" t="s">
        <v>2082</v>
      </c>
      <c r="F341" s="15">
        <v>7.202</v>
      </c>
      <c r="G341" s="15" t="s">
        <v>18</v>
      </c>
      <c r="H341" s="15" t="s">
        <v>2543</v>
      </c>
      <c r="I341" s="15" t="s">
        <v>2544</v>
      </c>
      <c r="J341" s="10" t="s">
        <v>2545</v>
      </c>
      <c r="K341" s="15">
        <v>1485</v>
      </c>
    </row>
    <row r="342" spans="1:11" ht="15" customHeight="1" x14ac:dyDescent="0.2">
      <c r="A342" s="13" t="s">
        <v>2546</v>
      </c>
      <c r="B342" s="13" t="s">
        <v>2547</v>
      </c>
      <c r="C342" s="13">
        <v>1991</v>
      </c>
      <c r="D342" s="13" t="s">
        <v>15</v>
      </c>
      <c r="E342" s="13" t="s">
        <v>490</v>
      </c>
      <c r="F342" s="13">
        <v>7.1589999999999998</v>
      </c>
      <c r="G342" s="13" t="s">
        <v>18</v>
      </c>
      <c r="H342" s="13" t="s">
        <v>2548</v>
      </c>
      <c r="I342" s="13" t="s">
        <v>2549</v>
      </c>
      <c r="J342" s="9" t="s">
        <v>2550</v>
      </c>
      <c r="K342" s="13">
        <v>3820</v>
      </c>
    </row>
    <row r="343" spans="1:11" ht="15" customHeight="1" x14ac:dyDescent="0.2">
      <c r="A343" s="13" t="s">
        <v>2551</v>
      </c>
      <c r="B343" s="13" t="s">
        <v>2551</v>
      </c>
      <c r="C343" s="13">
        <v>1998</v>
      </c>
      <c r="D343" s="13" t="s">
        <v>781</v>
      </c>
      <c r="E343" s="13" t="s">
        <v>890</v>
      </c>
      <c r="F343" s="13">
        <v>5.3369999999999997</v>
      </c>
      <c r="G343" s="13" t="s">
        <v>28</v>
      </c>
      <c r="H343" s="13" t="s">
        <v>2552</v>
      </c>
      <c r="I343" s="13" t="s">
        <v>2553</v>
      </c>
      <c r="J343" s="9" t="s">
        <v>2554</v>
      </c>
      <c r="K343" s="13">
        <v>71</v>
      </c>
    </row>
    <row r="344" spans="1:11" ht="15" customHeight="1" x14ac:dyDescent="0.2">
      <c r="A344" s="13" t="s">
        <v>2555</v>
      </c>
      <c r="B344" s="13" t="s">
        <v>2555</v>
      </c>
      <c r="C344" s="13">
        <v>1989</v>
      </c>
      <c r="D344" s="13" t="s">
        <v>413</v>
      </c>
      <c r="E344" s="13" t="s">
        <v>259</v>
      </c>
      <c r="F344" s="13">
        <v>6.74</v>
      </c>
      <c r="G344" s="13" t="s">
        <v>18</v>
      </c>
      <c r="H344" s="13" t="s">
        <v>2556</v>
      </c>
      <c r="I344" s="13" t="s">
        <v>2557</v>
      </c>
      <c r="J344" s="9" t="s">
        <v>2558</v>
      </c>
      <c r="K344" s="13">
        <v>1414</v>
      </c>
    </row>
    <row r="345" spans="1:11" ht="15" customHeight="1" x14ac:dyDescent="0.2">
      <c r="A345" s="13" t="s">
        <v>2559</v>
      </c>
      <c r="B345" s="13" t="s">
        <v>2560</v>
      </c>
      <c r="C345" s="13">
        <v>2017</v>
      </c>
      <c r="D345" s="13" t="s">
        <v>2561</v>
      </c>
      <c r="E345" s="13" t="s">
        <v>1227</v>
      </c>
      <c r="F345" s="13">
        <v>7.5389999999999997</v>
      </c>
      <c r="G345" s="13" t="s">
        <v>77</v>
      </c>
      <c r="H345" s="13" t="s">
        <v>2562</v>
      </c>
      <c r="I345" s="13" t="s">
        <v>2563</v>
      </c>
      <c r="J345" s="9" t="s">
        <v>2564</v>
      </c>
      <c r="K345" s="13">
        <v>207</v>
      </c>
    </row>
    <row r="346" spans="1:11" ht="15" customHeight="1" x14ac:dyDescent="0.2">
      <c r="A346" s="13" t="s">
        <v>2565</v>
      </c>
      <c r="B346" s="13" t="s">
        <v>2566</v>
      </c>
      <c r="C346" s="13">
        <v>2009</v>
      </c>
      <c r="D346" s="13" t="s">
        <v>880</v>
      </c>
      <c r="E346" s="13" t="s">
        <v>881</v>
      </c>
      <c r="F346" s="13"/>
      <c r="G346" s="13"/>
      <c r="H346" s="13" t="s">
        <v>2567</v>
      </c>
      <c r="I346" s="13" t="s">
        <v>2568</v>
      </c>
      <c r="J346" s="9"/>
      <c r="K346" s="13"/>
    </row>
    <row r="347" spans="1:11" ht="15" customHeight="1" x14ac:dyDescent="0.2">
      <c r="A347" s="13" t="s">
        <v>2569</v>
      </c>
      <c r="B347" s="13" t="s">
        <v>2570</v>
      </c>
      <c r="C347" s="13">
        <v>1984</v>
      </c>
      <c r="D347" s="13" t="s">
        <v>927</v>
      </c>
      <c r="E347" s="13" t="s">
        <v>1270</v>
      </c>
      <c r="F347" s="13">
        <v>6.5940000000000003</v>
      </c>
      <c r="G347" s="13" t="s">
        <v>18</v>
      </c>
      <c r="H347" s="13" t="s">
        <v>2571</v>
      </c>
      <c r="I347" s="13" t="s">
        <v>2572</v>
      </c>
      <c r="J347" s="9" t="s">
        <v>2573</v>
      </c>
      <c r="K347" s="13">
        <v>267</v>
      </c>
    </row>
    <row r="348" spans="1:11" ht="15" customHeight="1" x14ac:dyDescent="0.2">
      <c r="A348" s="13" t="s">
        <v>2574</v>
      </c>
      <c r="B348" s="13" t="s">
        <v>2575</v>
      </c>
      <c r="C348" s="13">
        <v>2014</v>
      </c>
      <c r="D348" s="13" t="s">
        <v>413</v>
      </c>
      <c r="E348" s="13" t="s">
        <v>946</v>
      </c>
      <c r="F348" s="13">
        <v>5</v>
      </c>
      <c r="G348" s="13" t="s">
        <v>28</v>
      </c>
      <c r="H348" s="13" t="s">
        <v>2576</v>
      </c>
      <c r="I348" s="13" t="s">
        <v>2577</v>
      </c>
      <c r="J348" s="9"/>
      <c r="K348" s="13">
        <v>10</v>
      </c>
    </row>
    <row r="349" spans="1:11" ht="15" customHeight="1" x14ac:dyDescent="0.2">
      <c r="A349" s="13" t="s">
        <v>2578</v>
      </c>
      <c r="B349" s="13" t="s">
        <v>2579</v>
      </c>
      <c r="C349" s="13">
        <v>1988</v>
      </c>
      <c r="D349" s="13" t="s">
        <v>15</v>
      </c>
      <c r="E349" s="13" t="s">
        <v>2580</v>
      </c>
      <c r="F349" s="13">
        <v>7.1950000000000003</v>
      </c>
      <c r="G349" s="13" t="s">
        <v>18</v>
      </c>
      <c r="H349" s="13" t="s">
        <v>2581</v>
      </c>
      <c r="I349" s="13" t="s">
        <v>2582</v>
      </c>
      <c r="J349" s="9" t="s">
        <v>2583</v>
      </c>
      <c r="K349" s="13">
        <v>1197</v>
      </c>
    </row>
    <row r="350" spans="1:11" ht="15" customHeight="1" x14ac:dyDescent="0.2">
      <c r="A350" s="13" t="s">
        <v>2584</v>
      </c>
      <c r="B350" s="13" t="s">
        <v>2585</v>
      </c>
      <c r="C350" s="13">
        <v>2011</v>
      </c>
      <c r="D350" s="13" t="s">
        <v>530</v>
      </c>
      <c r="E350" s="13" t="s">
        <v>881</v>
      </c>
      <c r="F350" s="13">
        <v>7.1909999999999998</v>
      </c>
      <c r="G350" s="13" t="s">
        <v>18</v>
      </c>
      <c r="H350" s="13" t="s">
        <v>2586</v>
      </c>
      <c r="I350" s="13" t="s">
        <v>2587</v>
      </c>
      <c r="J350" s="9" t="s">
        <v>2588</v>
      </c>
      <c r="K350" s="13">
        <v>11144</v>
      </c>
    </row>
    <row r="351" spans="1:11" ht="15" customHeight="1" x14ac:dyDescent="0.2">
      <c r="A351" s="15" t="s">
        <v>2589</v>
      </c>
      <c r="B351" s="15" t="s">
        <v>2589</v>
      </c>
      <c r="C351" s="15">
        <v>2019</v>
      </c>
      <c r="D351" s="15" t="s">
        <v>413</v>
      </c>
      <c r="E351" s="15" t="s">
        <v>750</v>
      </c>
      <c r="F351" s="15">
        <v>7.58</v>
      </c>
      <c r="G351" s="15" t="s">
        <v>77</v>
      </c>
      <c r="H351" s="15" t="s">
        <v>2590</v>
      </c>
      <c r="I351" s="15" t="s">
        <v>2591</v>
      </c>
      <c r="J351" s="10" t="s">
        <v>2592</v>
      </c>
      <c r="K351" s="15">
        <v>7254</v>
      </c>
    </row>
    <row r="352" spans="1:11" ht="15" customHeight="1" x14ac:dyDescent="0.2">
      <c r="A352" s="13" t="s">
        <v>2593</v>
      </c>
      <c r="B352" s="13" t="s">
        <v>2593</v>
      </c>
      <c r="C352" s="13">
        <v>2001</v>
      </c>
      <c r="D352" s="13" t="s">
        <v>2594</v>
      </c>
      <c r="E352" s="13" t="s">
        <v>2470</v>
      </c>
      <c r="F352" s="13">
        <v>6.6920000000000002</v>
      </c>
      <c r="G352" s="13" t="s">
        <v>18</v>
      </c>
      <c r="H352" s="13" t="s">
        <v>2595</v>
      </c>
      <c r="I352" s="13" t="s">
        <v>2596</v>
      </c>
      <c r="J352" s="9" t="s">
        <v>2597</v>
      </c>
      <c r="K352" s="13">
        <v>1778</v>
      </c>
    </row>
    <row r="353" spans="1:11" ht="15" customHeight="1" x14ac:dyDescent="0.2">
      <c r="A353" s="13" t="s">
        <v>2598</v>
      </c>
      <c r="B353" s="13" t="s">
        <v>2599</v>
      </c>
      <c r="C353" s="13">
        <v>2019</v>
      </c>
      <c r="D353" s="13" t="s">
        <v>880</v>
      </c>
      <c r="E353" s="13" t="s">
        <v>1180</v>
      </c>
      <c r="F353" s="13">
        <v>6.7220000000000004</v>
      </c>
      <c r="G353" s="13" t="s">
        <v>18</v>
      </c>
      <c r="H353" s="13" t="s">
        <v>2600</v>
      </c>
      <c r="I353" s="13" t="s">
        <v>2601</v>
      </c>
      <c r="J353" s="9" t="s">
        <v>2602</v>
      </c>
      <c r="K353" s="13">
        <v>9</v>
      </c>
    </row>
    <row r="354" spans="1:11" ht="15" customHeight="1" x14ac:dyDescent="0.2">
      <c r="A354" s="13" t="s">
        <v>2603</v>
      </c>
      <c r="B354" s="13" t="s">
        <v>2604</v>
      </c>
      <c r="C354" s="13">
        <v>1992</v>
      </c>
      <c r="D354" s="13" t="s">
        <v>969</v>
      </c>
      <c r="E354" s="13" t="s">
        <v>2605</v>
      </c>
      <c r="F354" s="13">
        <v>7.03</v>
      </c>
      <c r="G354" s="13" t="s">
        <v>18</v>
      </c>
      <c r="H354" s="13" t="s">
        <v>2606</v>
      </c>
      <c r="I354" s="13" t="s">
        <v>2607</v>
      </c>
      <c r="J354" s="9" t="s">
        <v>2608</v>
      </c>
      <c r="K354" s="13">
        <v>1157</v>
      </c>
    </row>
    <row r="355" spans="1:11" ht="15" customHeight="1" x14ac:dyDescent="0.2">
      <c r="A355" s="13" t="s">
        <v>2609</v>
      </c>
      <c r="B355" s="13" t="s">
        <v>2610</v>
      </c>
      <c r="C355" s="13">
        <v>1996</v>
      </c>
      <c r="D355" s="13" t="s">
        <v>15</v>
      </c>
      <c r="E355" s="13" t="s">
        <v>1024</v>
      </c>
      <c r="F355" s="13">
        <v>6.3</v>
      </c>
      <c r="G355" s="13" t="s">
        <v>46</v>
      </c>
      <c r="H355" s="13" t="s">
        <v>2611</v>
      </c>
      <c r="I355" s="13" t="s">
        <v>2612</v>
      </c>
      <c r="J355" s="9" t="s">
        <v>2613</v>
      </c>
      <c r="K355" s="13">
        <v>231</v>
      </c>
    </row>
    <row r="356" spans="1:11" ht="15" customHeight="1" x14ac:dyDescent="0.2">
      <c r="A356" s="13" t="s">
        <v>2614</v>
      </c>
      <c r="B356" s="13" t="s">
        <v>2615</v>
      </c>
      <c r="C356" s="13">
        <v>1967</v>
      </c>
      <c r="D356" s="13" t="s">
        <v>1163</v>
      </c>
      <c r="E356" s="13" t="s">
        <v>399</v>
      </c>
      <c r="F356" s="13">
        <v>7.1189999999999998</v>
      </c>
      <c r="G356" s="13" t="s">
        <v>18</v>
      </c>
      <c r="H356" s="13" t="s">
        <v>2616</v>
      </c>
      <c r="I356" s="13" t="s">
        <v>2617</v>
      </c>
      <c r="J356" s="9" t="s">
        <v>2618</v>
      </c>
      <c r="K356" s="13">
        <v>596</v>
      </c>
    </row>
    <row r="357" spans="1:11" ht="15" customHeight="1" x14ac:dyDescent="0.2">
      <c r="A357" s="13" t="s">
        <v>2619</v>
      </c>
      <c r="B357" s="13" t="s">
        <v>2619</v>
      </c>
      <c r="C357" s="13">
        <v>1980</v>
      </c>
      <c r="D357" s="13" t="s">
        <v>413</v>
      </c>
      <c r="E357" s="13" t="s">
        <v>1900</v>
      </c>
      <c r="F357" s="13">
        <v>7.0759999999999996</v>
      </c>
      <c r="G357" s="13" t="s">
        <v>18</v>
      </c>
      <c r="H357" s="13" t="s">
        <v>2620</v>
      </c>
      <c r="I357" s="13" t="s">
        <v>2621</v>
      </c>
      <c r="J357" s="9" t="s">
        <v>2622</v>
      </c>
      <c r="K357" s="13">
        <v>505</v>
      </c>
    </row>
    <row r="358" spans="1:11" ht="15" customHeight="1" x14ac:dyDescent="0.2">
      <c r="A358" s="13" t="s">
        <v>2623</v>
      </c>
      <c r="B358" s="13" t="s">
        <v>2624</v>
      </c>
      <c r="C358" s="13">
        <v>2015</v>
      </c>
      <c r="D358" s="13" t="s">
        <v>969</v>
      </c>
      <c r="E358" s="13" t="s">
        <v>566</v>
      </c>
      <c r="F358" s="13">
        <v>6.5</v>
      </c>
      <c r="G358" s="13" t="s">
        <v>46</v>
      </c>
      <c r="H358" s="13" t="s">
        <v>2625</v>
      </c>
      <c r="I358" s="13" t="s">
        <v>2626</v>
      </c>
      <c r="J358" s="9" t="s">
        <v>2627</v>
      </c>
      <c r="K358" s="13">
        <v>514</v>
      </c>
    </row>
    <row r="359" spans="1:11" ht="15" customHeight="1" x14ac:dyDescent="0.2">
      <c r="A359" s="13" t="s">
        <v>2628</v>
      </c>
      <c r="B359" s="13" t="s">
        <v>2629</v>
      </c>
      <c r="C359" s="13">
        <v>1984</v>
      </c>
      <c r="D359" s="13" t="s">
        <v>15</v>
      </c>
      <c r="E359" s="13" t="s">
        <v>566</v>
      </c>
      <c r="F359" s="13">
        <v>6.9</v>
      </c>
      <c r="G359" s="13" t="s">
        <v>18</v>
      </c>
      <c r="H359" s="13" t="s">
        <v>2630</v>
      </c>
      <c r="I359" s="13" t="s">
        <v>2631</v>
      </c>
      <c r="J359" s="9" t="s">
        <v>2632</v>
      </c>
      <c r="K359" s="13">
        <v>631</v>
      </c>
    </row>
    <row r="360" spans="1:11" ht="15" customHeight="1" x14ac:dyDescent="0.2">
      <c r="A360" s="13" t="s">
        <v>2633</v>
      </c>
      <c r="B360" s="13" t="s">
        <v>2634</v>
      </c>
      <c r="C360" s="13">
        <v>1975</v>
      </c>
      <c r="D360" s="13" t="s">
        <v>15</v>
      </c>
      <c r="E360" s="13" t="s">
        <v>1169</v>
      </c>
      <c r="F360" s="13">
        <v>7.2770000000000001</v>
      </c>
      <c r="G360" s="13" t="s">
        <v>18</v>
      </c>
      <c r="H360" s="13" t="s">
        <v>2635</v>
      </c>
      <c r="I360" s="13" t="s">
        <v>2636</v>
      </c>
      <c r="J360" s="9" t="s">
        <v>2637</v>
      </c>
      <c r="K360" s="13">
        <v>1293</v>
      </c>
    </row>
    <row r="361" spans="1:11" ht="15" customHeight="1" x14ac:dyDescent="0.2">
      <c r="A361" s="15" t="s">
        <v>2638</v>
      </c>
      <c r="B361" s="15" t="s">
        <v>2639</v>
      </c>
      <c r="C361" s="15">
        <v>2001</v>
      </c>
      <c r="D361" s="15" t="s">
        <v>15</v>
      </c>
      <c r="E361" s="15" t="s">
        <v>484</v>
      </c>
      <c r="F361" s="15">
        <v>7.2</v>
      </c>
      <c r="G361" s="15" t="s">
        <v>18</v>
      </c>
      <c r="H361" s="15" t="s">
        <v>2640</v>
      </c>
      <c r="I361" s="15" t="s">
        <v>2641</v>
      </c>
      <c r="J361" s="10" t="s">
        <v>2642</v>
      </c>
      <c r="K361" s="15">
        <v>1365</v>
      </c>
    </row>
    <row r="362" spans="1:11" ht="15" customHeight="1" x14ac:dyDescent="0.2">
      <c r="A362" s="13" t="s">
        <v>2643</v>
      </c>
      <c r="B362" s="13" t="s">
        <v>2644</v>
      </c>
      <c r="C362" s="13">
        <v>2005</v>
      </c>
      <c r="D362" s="13" t="s">
        <v>2645</v>
      </c>
      <c r="E362" s="13" t="s">
        <v>566</v>
      </c>
      <c r="F362" s="13">
        <v>6.8</v>
      </c>
      <c r="G362" s="13" t="s">
        <v>18</v>
      </c>
      <c r="H362" s="13" t="s">
        <v>2646</v>
      </c>
      <c r="I362" s="13" t="s">
        <v>2647</v>
      </c>
      <c r="J362" s="9" t="s">
        <v>2648</v>
      </c>
      <c r="K362" s="13">
        <v>677</v>
      </c>
    </row>
    <row r="363" spans="1:11" ht="15" customHeight="1" x14ac:dyDescent="0.2">
      <c r="A363" s="13" t="s">
        <v>765</v>
      </c>
      <c r="B363" s="13" t="s">
        <v>766</v>
      </c>
      <c r="C363" s="13">
        <v>2001</v>
      </c>
      <c r="D363" s="13" t="s">
        <v>2649</v>
      </c>
      <c r="E363" s="13" t="s">
        <v>2650</v>
      </c>
      <c r="F363" s="13">
        <v>6.9119999999999999</v>
      </c>
      <c r="G363" s="13" t="s">
        <v>18</v>
      </c>
      <c r="H363" s="13" t="s">
        <v>768</v>
      </c>
      <c r="I363" s="13" t="s">
        <v>769</v>
      </c>
      <c r="J363" s="9" t="s">
        <v>770</v>
      </c>
      <c r="K363" s="13">
        <v>2255</v>
      </c>
    </row>
    <row r="364" spans="1:11" ht="15" customHeight="1" x14ac:dyDescent="0.2">
      <c r="A364" s="13" t="s">
        <v>2651</v>
      </c>
      <c r="B364" s="13" t="s">
        <v>2652</v>
      </c>
      <c r="C364" s="13">
        <v>1986</v>
      </c>
      <c r="D364" s="13" t="s">
        <v>15</v>
      </c>
      <c r="E364" s="13" t="s">
        <v>928</v>
      </c>
      <c r="F364" s="13">
        <v>6</v>
      </c>
      <c r="G364" s="13" t="s">
        <v>46</v>
      </c>
      <c r="H364" s="13" t="s">
        <v>2653</v>
      </c>
      <c r="I364" s="13" t="s">
        <v>2654</v>
      </c>
      <c r="J364" s="9" t="s">
        <v>2655</v>
      </c>
      <c r="K364" s="13">
        <v>224</v>
      </c>
    </row>
    <row r="365" spans="1:11" ht="15" customHeight="1" x14ac:dyDescent="0.2">
      <c r="A365" s="13" t="s">
        <v>2656</v>
      </c>
      <c r="B365" s="13" t="s">
        <v>2657</v>
      </c>
      <c r="C365" s="13">
        <v>2017</v>
      </c>
      <c r="D365" s="13" t="s">
        <v>1316</v>
      </c>
      <c r="E365" s="13" t="s">
        <v>1678</v>
      </c>
      <c r="F365" s="13">
        <v>6.6</v>
      </c>
      <c r="G365" s="13" t="s">
        <v>18</v>
      </c>
      <c r="H365" s="13" t="s">
        <v>2658</v>
      </c>
      <c r="I365" s="13" t="s">
        <v>2659</v>
      </c>
      <c r="J365" s="9" t="s">
        <v>2660</v>
      </c>
      <c r="K365" s="13">
        <v>454</v>
      </c>
    </row>
    <row r="366" spans="1:11" ht="15" customHeight="1" x14ac:dyDescent="0.2">
      <c r="A366" s="13" t="s">
        <v>2661</v>
      </c>
      <c r="B366" s="13" t="s">
        <v>2662</v>
      </c>
      <c r="C366" s="13">
        <v>2010</v>
      </c>
      <c r="D366" s="13" t="s">
        <v>413</v>
      </c>
      <c r="E366" s="13" t="s">
        <v>2663</v>
      </c>
      <c r="F366" s="13"/>
      <c r="G366" s="13"/>
      <c r="H366" s="13" t="s">
        <v>2664</v>
      </c>
      <c r="I366" s="13"/>
      <c r="J366" s="9"/>
      <c r="K366" s="13"/>
    </row>
    <row r="367" spans="1:11" ht="15" customHeight="1" x14ac:dyDescent="0.2">
      <c r="A367" s="13" t="s">
        <v>2665</v>
      </c>
      <c r="B367" s="13" t="s">
        <v>2666</v>
      </c>
      <c r="C367" s="13">
        <v>2009</v>
      </c>
      <c r="D367" s="13" t="s">
        <v>15</v>
      </c>
      <c r="E367" s="13" t="s">
        <v>566</v>
      </c>
      <c r="F367" s="13">
        <v>7.673</v>
      </c>
      <c r="G367" s="13" t="s">
        <v>77</v>
      </c>
      <c r="H367" s="13" t="s">
        <v>2667</v>
      </c>
      <c r="I367" s="13" t="s">
        <v>2668</v>
      </c>
      <c r="J367" s="9" t="s">
        <v>2669</v>
      </c>
      <c r="K367" s="13">
        <v>6660</v>
      </c>
    </row>
    <row r="368" spans="1:11" ht="15" customHeight="1" x14ac:dyDescent="0.2">
      <c r="A368" s="13" t="s">
        <v>2670</v>
      </c>
      <c r="B368" s="13" t="s">
        <v>2671</v>
      </c>
      <c r="C368" s="13">
        <v>1995</v>
      </c>
      <c r="D368" s="13" t="s">
        <v>530</v>
      </c>
      <c r="E368" s="13" t="s">
        <v>49</v>
      </c>
      <c r="F368" s="13">
        <v>6</v>
      </c>
      <c r="G368" s="13" t="s">
        <v>46</v>
      </c>
      <c r="H368" s="13" t="s">
        <v>2672</v>
      </c>
      <c r="I368" s="13" t="s">
        <v>2673</v>
      </c>
      <c r="J368" s="9" t="s">
        <v>2674</v>
      </c>
      <c r="K368" s="13">
        <v>1452</v>
      </c>
    </row>
    <row r="369" spans="1:11" ht="15" customHeight="1" x14ac:dyDescent="0.2">
      <c r="A369" s="13" t="s">
        <v>2675</v>
      </c>
      <c r="B369" s="13" t="s">
        <v>2676</v>
      </c>
      <c r="C369" s="13">
        <v>1996</v>
      </c>
      <c r="D369" s="13" t="s">
        <v>15</v>
      </c>
      <c r="E369" s="13" t="s">
        <v>1227</v>
      </c>
      <c r="F369" s="13">
        <v>7.3860000000000001</v>
      </c>
      <c r="G369" s="13" t="s">
        <v>18</v>
      </c>
      <c r="H369" s="13" t="s">
        <v>2677</v>
      </c>
      <c r="I369" s="13" t="s">
        <v>2678</v>
      </c>
      <c r="J369" s="9" t="s">
        <v>2679</v>
      </c>
      <c r="K369" s="13">
        <v>2788</v>
      </c>
    </row>
    <row r="370" spans="1:11" ht="15" customHeight="1" x14ac:dyDescent="0.2">
      <c r="A370" s="13" t="s">
        <v>2680</v>
      </c>
      <c r="B370" s="13" t="s">
        <v>2681</v>
      </c>
      <c r="C370" s="13">
        <v>2011</v>
      </c>
      <c r="D370" s="13" t="s">
        <v>15</v>
      </c>
      <c r="E370" s="13" t="s">
        <v>566</v>
      </c>
      <c r="F370" s="13">
        <v>6.9790000000000001</v>
      </c>
      <c r="G370" s="13" t="s">
        <v>18</v>
      </c>
      <c r="H370" s="13" t="s">
        <v>2682</v>
      </c>
      <c r="I370" s="13" t="s">
        <v>2683</v>
      </c>
      <c r="J370" s="9" t="s">
        <v>2684</v>
      </c>
      <c r="K370" s="13">
        <v>2087</v>
      </c>
    </row>
    <row r="371" spans="1:11" ht="15" customHeight="1" x14ac:dyDescent="0.2">
      <c r="A371" s="15" t="s">
        <v>2685</v>
      </c>
      <c r="B371" s="15" t="s">
        <v>2686</v>
      </c>
      <c r="C371" s="15">
        <v>2004</v>
      </c>
      <c r="D371" s="15" t="s">
        <v>519</v>
      </c>
      <c r="E371" s="15" t="s">
        <v>934</v>
      </c>
      <c r="F371" s="15"/>
      <c r="G371" s="15"/>
      <c r="H371" s="15" t="s">
        <v>2687</v>
      </c>
      <c r="I371" s="15" t="s">
        <v>2688</v>
      </c>
      <c r="J371" s="10" t="s">
        <v>2689</v>
      </c>
      <c r="K371" s="15"/>
    </row>
    <row r="372" spans="1:11" ht="15" customHeight="1" x14ac:dyDescent="0.2">
      <c r="A372" s="13" t="s">
        <v>2690</v>
      </c>
      <c r="B372" s="13" t="s">
        <v>2691</v>
      </c>
      <c r="C372" s="13">
        <v>2002</v>
      </c>
      <c r="D372" s="13" t="s">
        <v>15</v>
      </c>
      <c r="E372" s="13" t="s">
        <v>1227</v>
      </c>
      <c r="F372" s="13">
        <v>6.1689999999999996</v>
      </c>
      <c r="G372" s="13" t="s">
        <v>46</v>
      </c>
      <c r="H372" s="13" t="s">
        <v>2692</v>
      </c>
      <c r="I372" s="13" t="s">
        <v>2693</v>
      </c>
      <c r="J372" s="9" t="s">
        <v>2694</v>
      </c>
      <c r="K372" s="13">
        <v>1116</v>
      </c>
    </row>
    <row r="373" spans="1:11" ht="15" customHeight="1" x14ac:dyDescent="0.2">
      <c r="A373" s="13" t="s">
        <v>2695</v>
      </c>
      <c r="B373" s="13" t="s">
        <v>2696</v>
      </c>
      <c r="C373" s="13">
        <v>2004</v>
      </c>
      <c r="D373" s="13" t="s">
        <v>2697</v>
      </c>
      <c r="E373" s="13" t="s">
        <v>566</v>
      </c>
      <c r="F373" s="13">
        <v>6.6</v>
      </c>
      <c r="G373" s="13" t="s">
        <v>18</v>
      </c>
      <c r="H373" s="13" t="s">
        <v>2698</v>
      </c>
      <c r="I373" s="13" t="s">
        <v>2699</v>
      </c>
      <c r="J373" s="9" t="s">
        <v>2700</v>
      </c>
      <c r="K373" s="13">
        <v>46</v>
      </c>
    </row>
    <row r="374" spans="1:11" ht="15" customHeight="1" x14ac:dyDescent="0.2">
      <c r="A374" s="13" t="s">
        <v>2701</v>
      </c>
      <c r="B374" s="13" t="s">
        <v>2701</v>
      </c>
      <c r="C374" s="13">
        <v>1994</v>
      </c>
      <c r="D374" s="13" t="s">
        <v>413</v>
      </c>
      <c r="E374" s="13" t="s">
        <v>648</v>
      </c>
      <c r="F374" s="13">
        <v>7.1449999999999996</v>
      </c>
      <c r="G374" s="13" t="s">
        <v>18</v>
      </c>
      <c r="H374" s="13" t="s">
        <v>2702</v>
      </c>
      <c r="I374" s="13" t="s">
        <v>2703</v>
      </c>
      <c r="J374" s="9" t="s">
        <v>2704</v>
      </c>
      <c r="K374" s="13">
        <v>6584</v>
      </c>
    </row>
    <row r="375" spans="1:11" ht="15" customHeight="1" x14ac:dyDescent="0.2">
      <c r="A375" s="13" t="s">
        <v>2705</v>
      </c>
      <c r="B375" s="13" t="s">
        <v>2706</v>
      </c>
      <c r="C375" s="13">
        <v>1997</v>
      </c>
      <c r="D375" s="13" t="s">
        <v>413</v>
      </c>
      <c r="E375" s="13" t="s">
        <v>2707</v>
      </c>
      <c r="F375" s="13">
        <v>4.6100000000000003</v>
      </c>
      <c r="G375" s="13" t="s">
        <v>28</v>
      </c>
      <c r="H375" s="13" t="s">
        <v>2708</v>
      </c>
      <c r="I375" s="13" t="s">
        <v>2709</v>
      </c>
      <c r="J375" s="9" t="s">
        <v>2710</v>
      </c>
      <c r="K375" s="13">
        <v>1736</v>
      </c>
    </row>
    <row r="376" spans="1:11" ht="15" customHeight="1" x14ac:dyDescent="0.2">
      <c r="A376" s="13" t="s">
        <v>2711</v>
      </c>
      <c r="B376" s="13" t="s">
        <v>2711</v>
      </c>
      <c r="C376" s="13">
        <v>1993</v>
      </c>
      <c r="D376" s="13" t="s">
        <v>939</v>
      </c>
      <c r="E376" s="13" t="s">
        <v>1799</v>
      </c>
      <c r="F376" s="13">
        <v>6.1260000000000003</v>
      </c>
      <c r="G376" s="13" t="s">
        <v>46</v>
      </c>
      <c r="H376" s="13" t="s">
        <v>2712</v>
      </c>
      <c r="I376" s="13" t="s">
        <v>49</v>
      </c>
      <c r="J376" s="9" t="s">
        <v>2713</v>
      </c>
      <c r="K376" s="13">
        <v>534</v>
      </c>
    </row>
    <row r="377" spans="1:11" ht="15" customHeight="1" x14ac:dyDescent="0.2">
      <c r="A377" s="13" t="s">
        <v>2714</v>
      </c>
      <c r="B377" s="13" t="s">
        <v>2715</v>
      </c>
      <c r="C377" s="13">
        <v>2022</v>
      </c>
      <c r="D377" s="13" t="s">
        <v>15</v>
      </c>
      <c r="E377" s="13" t="s">
        <v>2716</v>
      </c>
      <c r="F377" s="13">
        <v>6.4720000000000004</v>
      </c>
      <c r="G377" s="13" t="s">
        <v>46</v>
      </c>
      <c r="H377" s="13" t="s">
        <v>2717</v>
      </c>
      <c r="I377" s="13" t="s">
        <v>2718</v>
      </c>
      <c r="J377" s="9" t="s">
        <v>2719</v>
      </c>
      <c r="K377" s="13">
        <v>3851</v>
      </c>
    </row>
    <row r="378" spans="1:11" ht="15" customHeight="1" x14ac:dyDescent="0.2">
      <c r="A378" s="13" t="s">
        <v>2720</v>
      </c>
      <c r="B378" s="13" t="s">
        <v>2720</v>
      </c>
      <c r="C378" s="13">
        <v>2013</v>
      </c>
      <c r="D378" s="13" t="s">
        <v>413</v>
      </c>
      <c r="E378" s="13" t="s">
        <v>934</v>
      </c>
      <c r="F378" s="13"/>
      <c r="G378" s="13"/>
      <c r="H378" s="13" t="s">
        <v>2721</v>
      </c>
      <c r="I378" s="13" t="s">
        <v>2722</v>
      </c>
      <c r="J378" s="9" t="s">
        <v>2723</v>
      </c>
      <c r="K378" s="13"/>
    </row>
    <row r="379" spans="1:11" ht="15" customHeight="1" x14ac:dyDescent="0.2">
      <c r="A379" s="13" t="s">
        <v>2724</v>
      </c>
      <c r="B379" s="13" t="s">
        <v>2725</v>
      </c>
      <c r="C379" s="13"/>
      <c r="D379" s="13" t="s">
        <v>15</v>
      </c>
      <c r="E379" s="13" t="s">
        <v>1024</v>
      </c>
      <c r="F379" s="13">
        <v>6.5</v>
      </c>
      <c r="G379" s="13" t="s">
        <v>46</v>
      </c>
      <c r="H379" s="13">
        <v>61280</v>
      </c>
      <c r="I379" s="13" t="s">
        <v>2726</v>
      </c>
      <c r="J379" s="9" t="s">
        <v>2727</v>
      </c>
      <c r="K379" s="13">
        <v>65</v>
      </c>
    </row>
    <row r="380" spans="1:11" ht="15" customHeight="1" x14ac:dyDescent="0.2">
      <c r="A380" s="13" t="s">
        <v>2728</v>
      </c>
      <c r="B380" s="13" t="s">
        <v>2728</v>
      </c>
      <c r="C380" s="13">
        <v>2007</v>
      </c>
      <c r="D380" s="13" t="s">
        <v>2729</v>
      </c>
      <c r="E380" s="13" t="s">
        <v>1358</v>
      </c>
      <c r="F380" s="13">
        <v>6.1</v>
      </c>
      <c r="G380" s="13" t="s">
        <v>46</v>
      </c>
      <c r="H380" s="13" t="s">
        <v>2730</v>
      </c>
      <c r="I380" s="13" t="s">
        <v>2731</v>
      </c>
      <c r="J380" s="9" t="s">
        <v>2732</v>
      </c>
      <c r="K380" s="13">
        <v>105</v>
      </c>
    </row>
    <row r="381" spans="1:11" ht="15" customHeight="1" x14ac:dyDescent="0.2">
      <c r="A381" s="15" t="s">
        <v>2733</v>
      </c>
      <c r="B381" s="15" t="s">
        <v>2734</v>
      </c>
      <c r="C381" s="15">
        <v>1960</v>
      </c>
      <c r="D381" s="15" t="s">
        <v>15</v>
      </c>
      <c r="E381" s="15" t="s">
        <v>1961</v>
      </c>
      <c r="F381" s="15">
        <v>8.1999999999999993</v>
      </c>
      <c r="G381" s="15" t="s">
        <v>77</v>
      </c>
      <c r="H381" s="15" t="s">
        <v>2735</v>
      </c>
      <c r="I381" s="15" t="s">
        <v>2736</v>
      </c>
      <c r="J381" s="10" t="s">
        <v>2737</v>
      </c>
      <c r="K381" s="15">
        <v>2515</v>
      </c>
    </row>
    <row r="382" spans="1:11" ht="15" customHeight="1" x14ac:dyDescent="0.2">
      <c r="A382" s="13" t="s">
        <v>2738</v>
      </c>
      <c r="B382" s="13" t="s">
        <v>2739</v>
      </c>
      <c r="C382" s="13">
        <v>2013</v>
      </c>
      <c r="D382" s="13" t="s">
        <v>2740</v>
      </c>
      <c r="E382" s="13" t="s">
        <v>2741</v>
      </c>
      <c r="F382" s="13">
        <v>7.2069999999999999</v>
      </c>
      <c r="G382" s="13" t="s">
        <v>18</v>
      </c>
      <c r="H382" s="13" t="s">
        <v>2742</v>
      </c>
      <c r="I382" s="13" t="s">
        <v>2743</v>
      </c>
      <c r="J382" s="9" t="s">
        <v>2744</v>
      </c>
      <c r="K382" s="13">
        <v>7994</v>
      </c>
    </row>
    <row r="383" spans="1:11" ht="15" customHeight="1" x14ac:dyDescent="0.2">
      <c r="A383" s="13" t="s">
        <v>2745</v>
      </c>
      <c r="B383" s="13" t="s">
        <v>2746</v>
      </c>
      <c r="C383" s="13">
        <v>1966</v>
      </c>
      <c r="D383" s="13" t="s">
        <v>15</v>
      </c>
      <c r="E383" s="13" t="s">
        <v>928</v>
      </c>
      <c r="F383" s="13">
        <v>7</v>
      </c>
      <c r="G383" s="13" t="s">
        <v>18</v>
      </c>
      <c r="H383" s="13" t="s">
        <v>2747</v>
      </c>
      <c r="I383" s="13" t="s">
        <v>2748</v>
      </c>
      <c r="J383" s="9" t="s">
        <v>2749</v>
      </c>
      <c r="K383" s="13">
        <v>162</v>
      </c>
    </row>
    <row r="384" spans="1:11" ht="15" customHeight="1" x14ac:dyDescent="0.2">
      <c r="A384" s="13" t="s">
        <v>2750</v>
      </c>
      <c r="B384" s="13" t="s">
        <v>2751</v>
      </c>
      <c r="C384" s="13">
        <v>1963</v>
      </c>
      <c r="D384" s="13" t="s">
        <v>15</v>
      </c>
      <c r="E384" s="13" t="s">
        <v>1096</v>
      </c>
      <c r="F384" s="13">
        <v>7.4039999999999999</v>
      </c>
      <c r="G384" s="13" t="s">
        <v>18</v>
      </c>
      <c r="H384" s="13" t="s">
        <v>2752</v>
      </c>
      <c r="I384" s="13" t="s">
        <v>2753</v>
      </c>
      <c r="J384" s="9" t="s">
        <v>2754</v>
      </c>
      <c r="K384" s="13">
        <v>448</v>
      </c>
    </row>
    <row r="385" spans="1:11" ht="15" customHeight="1" x14ac:dyDescent="0.2">
      <c r="A385" s="13" t="s">
        <v>1420</v>
      </c>
      <c r="B385" s="13" t="s">
        <v>1421</v>
      </c>
      <c r="C385" s="13">
        <v>1990</v>
      </c>
      <c r="D385" s="13" t="s">
        <v>15</v>
      </c>
      <c r="E385" s="13" t="s">
        <v>1013</v>
      </c>
      <c r="F385" s="13">
        <v>6.6390000000000002</v>
      </c>
      <c r="G385" s="13" t="s">
        <v>18</v>
      </c>
      <c r="H385" s="13" t="s">
        <v>1422</v>
      </c>
      <c r="I385" s="13" t="s">
        <v>1423</v>
      </c>
      <c r="J385" s="9" t="s">
        <v>1424</v>
      </c>
      <c r="K385" s="13">
        <v>281</v>
      </c>
    </row>
    <row r="386" spans="1:11" ht="15" customHeight="1" x14ac:dyDescent="0.2">
      <c r="A386" s="13" t="s">
        <v>2755</v>
      </c>
      <c r="B386" s="13" t="s">
        <v>2756</v>
      </c>
      <c r="C386" s="13">
        <v>1968</v>
      </c>
      <c r="D386" s="13" t="s">
        <v>1316</v>
      </c>
      <c r="E386" s="13" t="s">
        <v>1270</v>
      </c>
      <c r="F386" s="13">
        <v>6.5380000000000003</v>
      </c>
      <c r="G386" s="13" t="s">
        <v>18</v>
      </c>
      <c r="H386" s="13" t="s">
        <v>2757</v>
      </c>
      <c r="I386" s="13" t="s">
        <v>2758</v>
      </c>
      <c r="J386" s="9" t="s">
        <v>2759</v>
      </c>
      <c r="K386" s="13">
        <v>13</v>
      </c>
    </row>
    <row r="387" spans="1:11" ht="15" customHeight="1" x14ac:dyDescent="0.2">
      <c r="A387" s="13" t="s">
        <v>2760</v>
      </c>
      <c r="B387" s="13" t="s">
        <v>2761</v>
      </c>
      <c r="C387" s="13">
        <v>1955</v>
      </c>
      <c r="D387" s="13" t="s">
        <v>15</v>
      </c>
      <c r="E387" s="13" t="s">
        <v>1788</v>
      </c>
      <c r="F387" s="13">
        <v>6.9969999999999999</v>
      </c>
      <c r="G387" s="13" t="s">
        <v>18</v>
      </c>
      <c r="H387" s="13" t="s">
        <v>2762</v>
      </c>
      <c r="I387" s="13" t="s">
        <v>2763</v>
      </c>
      <c r="J387" s="9" t="s">
        <v>2764</v>
      </c>
      <c r="K387" s="13">
        <v>874</v>
      </c>
    </row>
    <row r="388" spans="1:11" ht="15" customHeight="1" x14ac:dyDescent="0.2">
      <c r="A388" s="13" t="s">
        <v>2765</v>
      </c>
      <c r="B388" s="13" t="s">
        <v>2766</v>
      </c>
      <c r="C388" s="13">
        <v>1959</v>
      </c>
      <c r="D388" s="13" t="s">
        <v>15</v>
      </c>
      <c r="E388" s="13" t="s">
        <v>1052</v>
      </c>
      <c r="F388" s="13">
        <v>6.2</v>
      </c>
      <c r="G388" s="13" t="s">
        <v>46</v>
      </c>
      <c r="H388" s="13" t="s">
        <v>2767</v>
      </c>
      <c r="I388" s="13" t="s">
        <v>2768</v>
      </c>
      <c r="J388" s="9" t="s">
        <v>2769</v>
      </c>
      <c r="K388" s="13">
        <v>12</v>
      </c>
    </row>
    <row r="389" spans="1:11" ht="15" customHeight="1" x14ac:dyDescent="0.2">
      <c r="A389" s="13" t="s">
        <v>2770</v>
      </c>
      <c r="B389" s="13" t="s">
        <v>2771</v>
      </c>
      <c r="C389" s="13">
        <v>1961</v>
      </c>
      <c r="D389" s="13" t="s">
        <v>1316</v>
      </c>
      <c r="E389" s="13" t="s">
        <v>2374</v>
      </c>
      <c r="F389" s="13">
        <v>7.2930000000000001</v>
      </c>
      <c r="G389" s="13" t="s">
        <v>18</v>
      </c>
      <c r="H389" s="13" t="s">
        <v>2772</v>
      </c>
      <c r="I389" s="13" t="s">
        <v>2773</v>
      </c>
      <c r="J389" s="9" t="s">
        <v>2774</v>
      </c>
      <c r="K389" s="13">
        <v>46</v>
      </c>
    </row>
    <row r="390" spans="1:11" ht="15" customHeight="1" x14ac:dyDescent="0.2">
      <c r="A390" s="13" t="s">
        <v>2775</v>
      </c>
      <c r="B390" s="13" t="s">
        <v>2776</v>
      </c>
      <c r="C390" s="13">
        <v>1989</v>
      </c>
      <c r="D390" s="13" t="s">
        <v>15</v>
      </c>
      <c r="E390" s="13" t="s">
        <v>1961</v>
      </c>
      <c r="F390" s="13">
        <v>7.2</v>
      </c>
      <c r="G390" s="13" t="s">
        <v>18</v>
      </c>
      <c r="H390" s="13" t="s">
        <v>2777</v>
      </c>
      <c r="I390" s="13" t="s">
        <v>2778</v>
      </c>
      <c r="J390" s="9" t="s">
        <v>2779</v>
      </c>
      <c r="K390" s="13">
        <v>693</v>
      </c>
    </row>
    <row r="391" spans="1:11" ht="15" customHeight="1" x14ac:dyDescent="0.2">
      <c r="A391" s="15" t="s">
        <v>2780</v>
      </c>
      <c r="B391" s="15" t="s">
        <v>2781</v>
      </c>
      <c r="C391" s="15">
        <v>1962</v>
      </c>
      <c r="D391" s="15" t="s">
        <v>15</v>
      </c>
      <c r="E391" s="15" t="s">
        <v>1052</v>
      </c>
      <c r="F391" s="15">
        <v>6.7</v>
      </c>
      <c r="G391" s="15" t="s">
        <v>18</v>
      </c>
      <c r="H391" s="15" t="s">
        <v>2782</v>
      </c>
      <c r="I391" s="15" t="s">
        <v>2783</v>
      </c>
      <c r="J391" s="10" t="s">
        <v>2784</v>
      </c>
      <c r="K391" s="15">
        <v>20</v>
      </c>
    </row>
    <row r="392" spans="1:11" ht="15" customHeight="1" x14ac:dyDescent="0.2">
      <c r="A392" s="13" t="s">
        <v>2785</v>
      </c>
      <c r="B392" s="13" t="s">
        <v>2785</v>
      </c>
      <c r="C392" s="13">
        <v>1996</v>
      </c>
      <c r="D392" s="13" t="s">
        <v>413</v>
      </c>
      <c r="E392" s="13" t="s">
        <v>1069</v>
      </c>
      <c r="F392" s="13">
        <v>7.202</v>
      </c>
      <c r="G392" s="13" t="s">
        <v>18</v>
      </c>
      <c r="H392" s="13" t="s">
        <v>2786</v>
      </c>
      <c r="I392" s="13" t="s">
        <v>2787</v>
      </c>
      <c r="J392" s="9" t="s">
        <v>2788</v>
      </c>
      <c r="K392" s="13">
        <v>217</v>
      </c>
    </row>
    <row r="393" spans="1:11" ht="15" customHeight="1" x14ac:dyDescent="0.2">
      <c r="A393" s="13" t="s">
        <v>2789</v>
      </c>
      <c r="B393" s="13" t="s">
        <v>2790</v>
      </c>
      <c r="C393" s="13">
        <v>1967</v>
      </c>
      <c r="D393" s="13" t="s">
        <v>2791</v>
      </c>
      <c r="E393" s="13" t="s">
        <v>1013</v>
      </c>
      <c r="F393" s="13">
        <v>6.2</v>
      </c>
      <c r="G393" s="13" t="s">
        <v>46</v>
      </c>
      <c r="H393" s="13" t="s">
        <v>2792</v>
      </c>
      <c r="I393" s="13" t="s">
        <v>2793</v>
      </c>
      <c r="J393" s="9" t="s">
        <v>2794</v>
      </c>
      <c r="K393" s="13">
        <v>52</v>
      </c>
    </row>
    <row r="394" spans="1:11" ht="15" customHeight="1" x14ac:dyDescent="0.2">
      <c r="A394" s="13" t="s">
        <v>2795</v>
      </c>
      <c r="B394" s="13" t="s">
        <v>2795</v>
      </c>
      <c r="C394" s="13">
        <v>1962</v>
      </c>
      <c r="D394" s="13" t="s">
        <v>15</v>
      </c>
      <c r="E394" s="13" t="s">
        <v>1024</v>
      </c>
      <c r="F394" s="13">
        <v>6.5</v>
      </c>
      <c r="G394" s="13" t="s">
        <v>46</v>
      </c>
      <c r="H394" s="13" t="s">
        <v>2796</v>
      </c>
      <c r="I394" s="13" t="s">
        <v>2797</v>
      </c>
      <c r="J394" s="9" t="s">
        <v>2798</v>
      </c>
      <c r="K394" s="13">
        <v>43</v>
      </c>
    </row>
    <row r="395" spans="1:11" ht="15" customHeight="1" x14ac:dyDescent="0.2">
      <c r="A395" s="13" t="s">
        <v>2799</v>
      </c>
      <c r="B395" s="13"/>
      <c r="C395" s="13"/>
      <c r="D395" s="13"/>
      <c r="E395" s="13"/>
      <c r="F395" s="13"/>
      <c r="G395" s="13"/>
      <c r="H395" s="13"/>
      <c r="I395" s="13"/>
      <c r="J395" s="9"/>
      <c r="K395" s="13"/>
    </row>
    <row r="396" spans="1:11" ht="15" customHeight="1" x14ac:dyDescent="0.2">
      <c r="A396" s="13" t="s">
        <v>2800</v>
      </c>
      <c r="B396" s="13" t="s">
        <v>2801</v>
      </c>
      <c r="C396" s="13">
        <v>1958</v>
      </c>
      <c r="D396" s="13" t="s">
        <v>15</v>
      </c>
      <c r="E396" s="13" t="s">
        <v>1024</v>
      </c>
      <c r="F396" s="13">
        <v>6.9</v>
      </c>
      <c r="G396" s="13" t="s">
        <v>18</v>
      </c>
      <c r="H396" s="13" t="s">
        <v>2802</v>
      </c>
      <c r="I396" s="13" t="s">
        <v>2803</v>
      </c>
      <c r="J396" s="9" t="s">
        <v>2804</v>
      </c>
      <c r="K396" s="13">
        <v>139</v>
      </c>
    </row>
    <row r="397" spans="1:11" ht="15" customHeight="1" x14ac:dyDescent="0.2">
      <c r="A397" s="13" t="s">
        <v>2805</v>
      </c>
      <c r="B397" s="13" t="s">
        <v>2805</v>
      </c>
      <c r="C397" s="13">
        <v>2019</v>
      </c>
      <c r="D397" s="13" t="s">
        <v>880</v>
      </c>
      <c r="E397" s="13" t="s">
        <v>1180</v>
      </c>
      <c r="F397" s="13">
        <v>7</v>
      </c>
      <c r="G397" s="13" t="s">
        <v>18</v>
      </c>
      <c r="H397" s="13" t="s">
        <v>2806</v>
      </c>
      <c r="I397" s="13" t="s">
        <v>2807</v>
      </c>
      <c r="J397" s="9" t="s">
        <v>2808</v>
      </c>
      <c r="K397" s="13">
        <v>10</v>
      </c>
    </row>
    <row r="398" spans="1:11" ht="15" customHeight="1" x14ac:dyDescent="0.2">
      <c r="A398" s="13" t="s">
        <v>2809</v>
      </c>
      <c r="B398" s="13" t="s">
        <v>2810</v>
      </c>
      <c r="C398" s="13">
        <v>1966</v>
      </c>
      <c r="D398" s="13" t="s">
        <v>15</v>
      </c>
      <c r="E398" s="13" t="s">
        <v>2811</v>
      </c>
      <c r="F398" s="13">
        <v>6.3</v>
      </c>
      <c r="G398" s="13" t="s">
        <v>46</v>
      </c>
      <c r="H398" s="13" t="s">
        <v>2812</v>
      </c>
      <c r="I398" s="13" t="s">
        <v>2813</v>
      </c>
      <c r="J398" s="9" t="s">
        <v>2814</v>
      </c>
      <c r="K398" s="13">
        <v>176</v>
      </c>
    </row>
    <row r="399" spans="1:11" ht="15" customHeight="1" x14ac:dyDescent="0.2">
      <c r="A399" s="13" t="s">
        <v>2815</v>
      </c>
      <c r="B399" s="13" t="s">
        <v>2816</v>
      </c>
      <c r="C399" s="13">
        <v>1958</v>
      </c>
      <c r="D399" s="13" t="s">
        <v>530</v>
      </c>
      <c r="E399" s="13" t="s">
        <v>934</v>
      </c>
      <c r="F399" s="13">
        <v>6</v>
      </c>
      <c r="G399" s="13" t="s">
        <v>46</v>
      </c>
      <c r="H399" s="13" t="s">
        <v>2817</v>
      </c>
      <c r="I399" s="13" t="s">
        <v>2818</v>
      </c>
      <c r="J399" s="9" t="s">
        <v>2819</v>
      </c>
      <c r="K399" s="13">
        <v>28</v>
      </c>
    </row>
    <row r="400" spans="1:11" ht="15" customHeight="1" x14ac:dyDescent="0.2">
      <c r="A400" s="13" t="s">
        <v>2820</v>
      </c>
      <c r="B400" s="13" t="s">
        <v>2821</v>
      </c>
      <c r="C400" s="13">
        <v>2020</v>
      </c>
      <c r="D400" s="13" t="s">
        <v>2822</v>
      </c>
      <c r="E400" s="13" t="s">
        <v>566</v>
      </c>
      <c r="F400" s="13">
        <v>6.7389999999999999</v>
      </c>
      <c r="G400" s="13" t="s">
        <v>18</v>
      </c>
      <c r="H400" s="13" t="s">
        <v>2823</v>
      </c>
      <c r="I400" s="13" t="s">
        <v>2824</v>
      </c>
      <c r="J400" s="9" t="s">
        <v>2825</v>
      </c>
      <c r="K400" s="13">
        <v>559</v>
      </c>
    </row>
    <row r="401" spans="1:11" ht="15" customHeight="1" x14ac:dyDescent="0.2">
      <c r="A401" s="15" t="s">
        <v>2826</v>
      </c>
      <c r="B401" s="15" t="s">
        <v>2827</v>
      </c>
      <c r="C401" s="15">
        <v>1955</v>
      </c>
      <c r="D401" s="15" t="s">
        <v>191</v>
      </c>
      <c r="E401" s="15" t="s">
        <v>1096</v>
      </c>
      <c r="F401" s="15">
        <v>5.4</v>
      </c>
      <c r="G401" s="15" t="s">
        <v>28</v>
      </c>
      <c r="H401" s="15" t="s">
        <v>2828</v>
      </c>
      <c r="I401" s="15" t="s">
        <v>2829</v>
      </c>
      <c r="J401" s="10" t="s">
        <v>2830</v>
      </c>
      <c r="K401" s="15">
        <v>41</v>
      </c>
    </row>
    <row r="402" spans="1:11" ht="15" customHeight="1" x14ac:dyDescent="0.2">
      <c r="A402" s="13" t="s">
        <v>2831</v>
      </c>
      <c r="B402" s="13" t="s">
        <v>2832</v>
      </c>
      <c r="C402" s="13">
        <v>1960</v>
      </c>
      <c r="D402" s="13" t="s">
        <v>15</v>
      </c>
      <c r="E402" s="13" t="s">
        <v>1052</v>
      </c>
      <c r="F402" s="13">
        <v>6.3</v>
      </c>
      <c r="G402" s="13" t="s">
        <v>46</v>
      </c>
      <c r="H402" s="13" t="s">
        <v>2833</v>
      </c>
      <c r="I402" s="13" t="s">
        <v>2834</v>
      </c>
      <c r="J402" s="9" t="s">
        <v>2835</v>
      </c>
      <c r="K402" s="13">
        <v>78</v>
      </c>
    </row>
    <row r="403" spans="1:11" ht="15" customHeight="1" x14ac:dyDescent="0.2">
      <c r="A403" s="13" t="s">
        <v>2836</v>
      </c>
      <c r="B403" s="13" t="s">
        <v>2837</v>
      </c>
      <c r="C403" s="13">
        <v>1963</v>
      </c>
      <c r="D403" s="13" t="s">
        <v>530</v>
      </c>
      <c r="E403" s="13" t="s">
        <v>49</v>
      </c>
      <c r="F403" s="13">
        <v>7.4</v>
      </c>
      <c r="G403" s="13" t="s">
        <v>18</v>
      </c>
      <c r="H403" s="13" t="s">
        <v>2838</v>
      </c>
      <c r="I403" s="13" t="s">
        <v>49</v>
      </c>
      <c r="J403" s="9" t="s">
        <v>2839</v>
      </c>
      <c r="K403" s="13">
        <v>453</v>
      </c>
    </row>
    <row r="404" spans="1:11" ht="15" customHeight="1" x14ac:dyDescent="0.2">
      <c r="A404" s="13" t="s">
        <v>2840</v>
      </c>
      <c r="B404" s="13" t="s">
        <v>2841</v>
      </c>
      <c r="C404" s="13">
        <v>1952</v>
      </c>
      <c r="D404" s="13" t="s">
        <v>530</v>
      </c>
      <c r="E404" s="13" t="s">
        <v>2842</v>
      </c>
      <c r="F404" s="13">
        <v>5.6</v>
      </c>
      <c r="G404" s="13"/>
      <c r="H404" s="13" t="s">
        <v>2843</v>
      </c>
      <c r="I404" s="13" t="s">
        <v>2844</v>
      </c>
      <c r="J404" s="9" t="s">
        <v>2845</v>
      </c>
      <c r="K404" s="13">
        <v>10</v>
      </c>
    </row>
    <row r="405" spans="1:11" ht="15" customHeight="1" x14ac:dyDescent="0.2">
      <c r="A405" s="13" t="s">
        <v>2846</v>
      </c>
      <c r="B405" s="13" t="s">
        <v>2847</v>
      </c>
      <c r="C405" s="13">
        <v>1954</v>
      </c>
      <c r="D405" s="13" t="s">
        <v>191</v>
      </c>
      <c r="E405" s="13" t="s">
        <v>1096</v>
      </c>
      <c r="F405" s="13">
        <v>6.9</v>
      </c>
      <c r="G405" s="13" t="s">
        <v>18</v>
      </c>
      <c r="H405" s="13" t="s">
        <v>2848</v>
      </c>
      <c r="I405" s="13" t="s">
        <v>2849</v>
      </c>
      <c r="J405" s="9" t="s">
        <v>2850</v>
      </c>
      <c r="K405" s="13">
        <v>68</v>
      </c>
    </row>
    <row r="406" spans="1:11" ht="15" customHeight="1" x14ac:dyDescent="0.2">
      <c r="A406" s="13" t="s">
        <v>2851</v>
      </c>
      <c r="B406" s="13"/>
      <c r="C406" s="13"/>
      <c r="D406" s="13"/>
      <c r="E406" s="13"/>
      <c r="F406" s="13"/>
      <c r="G406" s="13"/>
      <c r="H406" s="13"/>
      <c r="I406" s="13"/>
      <c r="J406" s="9"/>
      <c r="K406" s="13"/>
    </row>
    <row r="407" spans="1:11" ht="15" customHeight="1" x14ac:dyDescent="0.2">
      <c r="A407" s="13" t="s">
        <v>2852</v>
      </c>
      <c r="B407" s="13" t="s">
        <v>2853</v>
      </c>
      <c r="C407" s="13">
        <v>1960</v>
      </c>
      <c r="D407" s="13" t="s">
        <v>922</v>
      </c>
      <c r="E407" s="13" t="s">
        <v>1538</v>
      </c>
      <c r="F407" s="13">
        <v>7.8239999999999998</v>
      </c>
      <c r="G407" s="13" t="s">
        <v>77</v>
      </c>
      <c r="H407" s="13" t="s">
        <v>2854</v>
      </c>
      <c r="I407" s="13" t="s">
        <v>2855</v>
      </c>
      <c r="J407" s="9" t="s">
        <v>2856</v>
      </c>
      <c r="K407" s="13">
        <v>557</v>
      </c>
    </row>
    <row r="408" spans="1:11" ht="15" customHeight="1" x14ac:dyDescent="0.2">
      <c r="A408" s="13" t="s">
        <v>2857</v>
      </c>
      <c r="B408" s="13" t="s">
        <v>2858</v>
      </c>
      <c r="C408" s="13">
        <v>1986</v>
      </c>
      <c r="D408" s="13" t="s">
        <v>413</v>
      </c>
      <c r="E408" s="13" t="s">
        <v>1180</v>
      </c>
      <c r="F408" s="13">
        <v>8</v>
      </c>
      <c r="G408" s="13" t="s">
        <v>77</v>
      </c>
      <c r="H408" s="13" t="s">
        <v>2859</v>
      </c>
      <c r="I408" s="13" t="s">
        <v>2860</v>
      </c>
      <c r="J408" s="9"/>
      <c r="K408" s="13">
        <v>5</v>
      </c>
    </row>
    <row r="409" spans="1:11" ht="15" customHeight="1" x14ac:dyDescent="0.2">
      <c r="A409" s="13" t="s">
        <v>2861</v>
      </c>
      <c r="B409" s="13" t="s">
        <v>2862</v>
      </c>
      <c r="C409" s="13">
        <v>1958</v>
      </c>
      <c r="D409" s="13" t="s">
        <v>15</v>
      </c>
      <c r="E409" s="13" t="s">
        <v>566</v>
      </c>
      <c r="F409" s="13">
        <v>7.1669999999999998</v>
      </c>
      <c r="G409" s="13" t="s">
        <v>18</v>
      </c>
      <c r="H409" s="13" t="s">
        <v>2863</v>
      </c>
      <c r="I409" s="13" t="s">
        <v>2864</v>
      </c>
      <c r="J409" s="9" t="s">
        <v>2865</v>
      </c>
      <c r="K409" s="13">
        <v>60</v>
      </c>
    </row>
    <row r="410" spans="1:11" ht="15" customHeight="1" x14ac:dyDescent="0.2">
      <c r="A410" s="13" t="s">
        <v>2866</v>
      </c>
      <c r="B410" s="13" t="s">
        <v>2867</v>
      </c>
      <c r="C410" s="13">
        <v>1941</v>
      </c>
      <c r="D410" s="13" t="s">
        <v>15</v>
      </c>
      <c r="E410" s="13" t="s">
        <v>566</v>
      </c>
      <c r="F410" s="13">
        <v>6.1</v>
      </c>
      <c r="G410" s="13" t="s">
        <v>46</v>
      </c>
      <c r="H410" s="13" t="s">
        <v>2868</v>
      </c>
      <c r="I410" s="13" t="s">
        <v>2869</v>
      </c>
      <c r="J410" s="9" t="s">
        <v>2870</v>
      </c>
      <c r="K410" s="13">
        <v>12</v>
      </c>
    </row>
    <row r="411" spans="1:11" ht="15" customHeight="1" x14ac:dyDescent="0.2">
      <c r="A411" s="15" t="s">
        <v>2871</v>
      </c>
      <c r="B411" s="15" t="s">
        <v>2872</v>
      </c>
      <c r="C411" s="15">
        <v>1951</v>
      </c>
      <c r="D411" s="15" t="s">
        <v>15</v>
      </c>
      <c r="E411" s="15" t="s">
        <v>2082</v>
      </c>
      <c r="F411" s="15">
        <v>5.7</v>
      </c>
      <c r="G411" s="15" t="s">
        <v>46</v>
      </c>
      <c r="H411" s="15" t="s">
        <v>2873</v>
      </c>
      <c r="I411" s="15" t="s">
        <v>2874</v>
      </c>
      <c r="J411" s="10" t="s">
        <v>2875</v>
      </c>
      <c r="K411" s="15">
        <v>27</v>
      </c>
    </row>
    <row r="412" spans="1:11" ht="15" customHeight="1" x14ac:dyDescent="0.2">
      <c r="A412" s="13" t="s">
        <v>2876</v>
      </c>
      <c r="B412" s="13" t="s">
        <v>2877</v>
      </c>
      <c r="C412" s="13">
        <v>1950</v>
      </c>
      <c r="D412" s="13" t="s">
        <v>15</v>
      </c>
      <c r="E412" s="13" t="s">
        <v>2265</v>
      </c>
      <c r="F412" s="13">
        <v>7</v>
      </c>
      <c r="G412" s="13" t="s">
        <v>18</v>
      </c>
      <c r="H412" s="13" t="s">
        <v>2878</v>
      </c>
      <c r="I412" s="13" t="s">
        <v>2879</v>
      </c>
      <c r="J412" s="9" t="s">
        <v>2880</v>
      </c>
      <c r="K412" s="13">
        <v>218</v>
      </c>
    </row>
    <row r="413" spans="1:11" ht="15" customHeight="1" x14ac:dyDescent="0.2">
      <c r="A413" s="13" t="s">
        <v>2881</v>
      </c>
      <c r="B413" s="13" t="s">
        <v>2882</v>
      </c>
      <c r="C413" s="13">
        <v>1938</v>
      </c>
      <c r="D413" s="13" t="s">
        <v>15</v>
      </c>
      <c r="E413" s="13" t="s">
        <v>2883</v>
      </c>
      <c r="F413" s="13">
        <v>6.5</v>
      </c>
      <c r="G413" s="13" t="s">
        <v>46</v>
      </c>
      <c r="H413" s="13" t="s">
        <v>2884</v>
      </c>
      <c r="I413" s="13" t="s">
        <v>2885</v>
      </c>
      <c r="J413" s="9" t="s">
        <v>2886</v>
      </c>
      <c r="K413" s="13">
        <v>71</v>
      </c>
    </row>
    <row r="414" spans="1:11" ht="15" customHeight="1" x14ac:dyDescent="0.2">
      <c r="A414" s="13" t="s">
        <v>2887</v>
      </c>
      <c r="B414" s="13" t="s">
        <v>2888</v>
      </c>
      <c r="C414" s="13">
        <v>1943</v>
      </c>
      <c r="D414" s="13" t="s">
        <v>939</v>
      </c>
      <c r="E414" s="13" t="s">
        <v>1474</v>
      </c>
      <c r="F414" s="13">
        <v>6.6</v>
      </c>
      <c r="G414" s="13" t="s">
        <v>18</v>
      </c>
      <c r="H414" s="13" t="s">
        <v>2889</v>
      </c>
      <c r="I414" s="13" t="s">
        <v>2890</v>
      </c>
      <c r="J414" s="9" t="s">
        <v>2891</v>
      </c>
      <c r="K414" s="13">
        <v>41</v>
      </c>
    </row>
    <row r="415" spans="1:11" ht="15" customHeight="1" x14ac:dyDescent="0.2">
      <c r="A415" s="13" t="s">
        <v>2892</v>
      </c>
      <c r="B415" s="13" t="s">
        <v>2893</v>
      </c>
      <c r="C415" s="13">
        <v>1949</v>
      </c>
      <c r="D415" s="13" t="s">
        <v>15</v>
      </c>
      <c r="E415" s="13" t="s">
        <v>1961</v>
      </c>
      <c r="F415" s="13">
        <v>7.101</v>
      </c>
      <c r="G415" s="13" t="s">
        <v>18</v>
      </c>
      <c r="H415" s="13" t="s">
        <v>2894</v>
      </c>
      <c r="I415" s="13" t="s">
        <v>2895</v>
      </c>
      <c r="J415" s="9" t="s">
        <v>2896</v>
      </c>
      <c r="K415" s="13">
        <v>327</v>
      </c>
    </row>
    <row r="416" spans="1:11" ht="15" customHeight="1" x14ac:dyDescent="0.2">
      <c r="A416" s="13" t="s">
        <v>2897</v>
      </c>
      <c r="B416" s="13" t="s">
        <v>2897</v>
      </c>
      <c r="C416" s="13">
        <v>1951</v>
      </c>
      <c r="D416" s="13" t="s">
        <v>530</v>
      </c>
      <c r="E416" s="13" t="s">
        <v>1069</v>
      </c>
      <c r="F416" s="13">
        <v>4.5</v>
      </c>
      <c r="G416" s="13" t="s">
        <v>86</v>
      </c>
      <c r="H416" s="13" t="s">
        <v>2898</v>
      </c>
      <c r="I416" s="13" t="s">
        <v>2899</v>
      </c>
      <c r="J416" s="9" t="s">
        <v>2900</v>
      </c>
      <c r="K416" s="13">
        <v>4</v>
      </c>
    </row>
    <row r="417" spans="1:11" ht="15" customHeight="1" x14ac:dyDescent="0.2">
      <c r="A417" s="13" t="s">
        <v>2901</v>
      </c>
      <c r="B417" s="13" t="s">
        <v>2902</v>
      </c>
      <c r="C417" s="13">
        <v>1963</v>
      </c>
      <c r="D417" s="13" t="s">
        <v>15</v>
      </c>
      <c r="E417" s="13" t="s">
        <v>2903</v>
      </c>
      <c r="F417" s="13">
        <v>6.9619999999999997</v>
      </c>
      <c r="G417" s="13" t="s">
        <v>18</v>
      </c>
      <c r="H417" s="13" t="s">
        <v>2904</v>
      </c>
      <c r="I417" s="13" t="s">
        <v>2905</v>
      </c>
      <c r="J417" s="9" t="s">
        <v>2906</v>
      </c>
      <c r="K417" s="13">
        <v>649</v>
      </c>
    </row>
    <row r="418" spans="1:11" ht="15" customHeight="1" x14ac:dyDescent="0.2">
      <c r="A418" s="13" t="s">
        <v>2907</v>
      </c>
      <c r="B418" s="13" t="s">
        <v>2908</v>
      </c>
      <c r="C418" s="13">
        <v>1947</v>
      </c>
      <c r="D418" s="13" t="s">
        <v>15</v>
      </c>
      <c r="E418" s="13" t="s">
        <v>1024</v>
      </c>
      <c r="F418" s="13">
        <v>5.5</v>
      </c>
      <c r="G418" s="13" t="s">
        <v>46</v>
      </c>
      <c r="H418" s="13" t="s">
        <v>2909</v>
      </c>
      <c r="I418" s="13" t="s">
        <v>2910</v>
      </c>
      <c r="J418" s="9" t="s">
        <v>2911</v>
      </c>
      <c r="K418" s="13">
        <v>8</v>
      </c>
    </row>
    <row r="419" spans="1:11" ht="15" customHeight="1" x14ac:dyDescent="0.2">
      <c r="A419" s="13" t="s">
        <v>2912</v>
      </c>
      <c r="B419" s="13" t="s">
        <v>2912</v>
      </c>
      <c r="C419" s="13">
        <v>1949</v>
      </c>
      <c r="D419" s="13" t="s">
        <v>413</v>
      </c>
      <c r="E419" s="13" t="s">
        <v>2913</v>
      </c>
      <c r="F419" s="13">
        <v>6.5</v>
      </c>
      <c r="G419" s="13" t="s">
        <v>46</v>
      </c>
      <c r="H419" s="13" t="s">
        <v>2914</v>
      </c>
      <c r="I419" s="13" t="s">
        <v>2915</v>
      </c>
      <c r="J419" s="9" t="s">
        <v>2916</v>
      </c>
      <c r="K419" s="13">
        <v>13</v>
      </c>
    </row>
    <row r="420" spans="1:11" ht="15" customHeight="1" x14ac:dyDescent="0.2">
      <c r="A420" s="13" t="s">
        <v>2917</v>
      </c>
      <c r="B420" s="13" t="s">
        <v>2918</v>
      </c>
      <c r="C420" s="13">
        <v>1937</v>
      </c>
      <c r="D420" s="13" t="s">
        <v>2919</v>
      </c>
      <c r="E420" s="13" t="s">
        <v>2920</v>
      </c>
      <c r="F420" s="13">
        <v>7.2</v>
      </c>
      <c r="G420" s="13" t="s">
        <v>18</v>
      </c>
      <c r="H420" s="13" t="s">
        <v>2921</v>
      </c>
      <c r="I420" s="13" t="s">
        <v>2922</v>
      </c>
      <c r="J420" s="9" t="s">
        <v>2923</v>
      </c>
      <c r="K420" s="13">
        <v>59</v>
      </c>
    </row>
    <row r="421" spans="1:11" ht="15" customHeight="1" x14ac:dyDescent="0.2">
      <c r="A421" s="15" t="s">
        <v>2924</v>
      </c>
      <c r="B421" s="15" t="s">
        <v>2925</v>
      </c>
      <c r="C421" s="15">
        <v>1940</v>
      </c>
      <c r="D421" s="15" t="s">
        <v>15</v>
      </c>
      <c r="E421" s="15" t="s">
        <v>2926</v>
      </c>
      <c r="F421" s="15">
        <v>6.5</v>
      </c>
      <c r="G421" s="15" t="s">
        <v>46</v>
      </c>
      <c r="H421" s="15" t="s">
        <v>2927</v>
      </c>
      <c r="I421" s="15" t="s">
        <v>2928</v>
      </c>
      <c r="J421" s="10" t="s">
        <v>2929</v>
      </c>
      <c r="K421" s="15">
        <v>58</v>
      </c>
    </row>
    <row r="422" spans="1:11" ht="15" customHeight="1" x14ac:dyDescent="0.2">
      <c r="A422" s="13" t="s">
        <v>2930</v>
      </c>
      <c r="B422" s="13" t="s">
        <v>2931</v>
      </c>
      <c r="C422" s="13">
        <v>1952</v>
      </c>
      <c r="D422" s="13" t="s">
        <v>15</v>
      </c>
      <c r="E422" s="13" t="s">
        <v>1052</v>
      </c>
      <c r="F422" s="13">
        <v>6.3</v>
      </c>
      <c r="G422" s="13" t="s">
        <v>46</v>
      </c>
      <c r="H422" s="13" t="s">
        <v>2932</v>
      </c>
      <c r="I422" s="13" t="s">
        <v>2933</v>
      </c>
      <c r="J422" s="9" t="s">
        <v>2934</v>
      </c>
      <c r="K422" s="13">
        <v>70</v>
      </c>
    </row>
    <row r="423" spans="1:11" ht="15" customHeight="1" x14ac:dyDescent="0.2">
      <c r="A423" s="13" t="s">
        <v>2930</v>
      </c>
      <c r="B423" s="13" t="s">
        <v>2931</v>
      </c>
      <c r="C423" s="13">
        <v>1952</v>
      </c>
      <c r="D423" s="13" t="s">
        <v>15</v>
      </c>
      <c r="E423" s="13" t="s">
        <v>1052</v>
      </c>
      <c r="F423" s="13">
        <v>6.3</v>
      </c>
      <c r="G423" s="13" t="s">
        <v>46</v>
      </c>
      <c r="H423" s="13" t="s">
        <v>2932</v>
      </c>
      <c r="I423" s="13" t="s">
        <v>2933</v>
      </c>
      <c r="J423" s="9" t="s">
        <v>2934</v>
      </c>
      <c r="K423" s="13">
        <v>70</v>
      </c>
    </row>
    <row r="424" spans="1:11" ht="15" customHeight="1" x14ac:dyDescent="0.2">
      <c r="A424" s="13" t="s">
        <v>2935</v>
      </c>
      <c r="B424" s="13" t="s">
        <v>2936</v>
      </c>
      <c r="C424" s="13">
        <v>1967</v>
      </c>
      <c r="D424" s="13" t="s">
        <v>15</v>
      </c>
      <c r="E424" s="13" t="s">
        <v>1024</v>
      </c>
      <c r="F424" s="13">
        <v>7.5709999999999997</v>
      </c>
      <c r="G424" s="13" t="s">
        <v>77</v>
      </c>
      <c r="H424" s="13" t="s">
        <v>2937</v>
      </c>
      <c r="I424" s="13" t="s">
        <v>2938</v>
      </c>
      <c r="J424" s="9" t="s">
        <v>2939</v>
      </c>
      <c r="K424" s="13">
        <v>886</v>
      </c>
    </row>
    <row r="425" spans="1:11" ht="15" customHeight="1" x14ac:dyDescent="0.2">
      <c r="A425" s="13" t="s">
        <v>2940</v>
      </c>
      <c r="B425" s="13" t="s">
        <v>2941</v>
      </c>
      <c r="C425" s="13">
        <v>1952</v>
      </c>
      <c r="D425" s="13" t="s">
        <v>15</v>
      </c>
      <c r="E425" s="13" t="s">
        <v>2942</v>
      </c>
      <c r="F425" s="13">
        <v>5.7</v>
      </c>
      <c r="G425" s="13" t="s">
        <v>46</v>
      </c>
      <c r="H425" s="13" t="s">
        <v>2943</v>
      </c>
      <c r="I425" s="13" t="s">
        <v>2944</v>
      </c>
      <c r="J425" s="9" t="s">
        <v>2945</v>
      </c>
      <c r="K425" s="13">
        <v>21</v>
      </c>
    </row>
    <row r="426" spans="1:11" ht="15" customHeight="1" x14ac:dyDescent="0.2">
      <c r="A426" s="13" t="s">
        <v>2946</v>
      </c>
      <c r="B426" s="13" t="s">
        <v>2947</v>
      </c>
      <c r="C426" s="13">
        <v>1945</v>
      </c>
      <c r="D426" s="13" t="s">
        <v>15</v>
      </c>
      <c r="E426" s="13" t="s">
        <v>1096</v>
      </c>
      <c r="F426" s="13">
        <v>6.8</v>
      </c>
      <c r="G426" s="13" t="s">
        <v>18</v>
      </c>
      <c r="H426" s="13" t="s">
        <v>2948</v>
      </c>
      <c r="I426" s="13" t="s">
        <v>2949</v>
      </c>
      <c r="J426" s="9" t="s">
        <v>2950</v>
      </c>
      <c r="K426" s="13">
        <v>25</v>
      </c>
    </row>
    <row r="427" spans="1:11" ht="15" customHeight="1" x14ac:dyDescent="0.2">
      <c r="A427" s="13" t="s">
        <v>2951</v>
      </c>
      <c r="B427" s="13" t="s">
        <v>2952</v>
      </c>
      <c r="C427" s="13">
        <v>2012</v>
      </c>
      <c r="D427" s="13" t="s">
        <v>933</v>
      </c>
      <c r="E427" s="13" t="s">
        <v>934</v>
      </c>
      <c r="F427" s="13"/>
      <c r="G427" s="13"/>
      <c r="H427" s="13" t="s">
        <v>2953</v>
      </c>
      <c r="I427" s="13" t="s">
        <v>2954</v>
      </c>
      <c r="J427" s="9"/>
      <c r="K427" s="13"/>
    </row>
    <row r="428" spans="1:11" ht="15" customHeight="1" x14ac:dyDescent="0.2">
      <c r="A428" s="13" t="s">
        <v>2955</v>
      </c>
      <c r="B428" s="13" t="s">
        <v>2956</v>
      </c>
      <c r="C428" s="13">
        <v>2016</v>
      </c>
      <c r="D428" s="13" t="s">
        <v>2957</v>
      </c>
      <c r="E428" s="13" t="s">
        <v>2958</v>
      </c>
      <c r="F428" s="13">
        <v>6.21</v>
      </c>
      <c r="G428" s="13" t="s">
        <v>46</v>
      </c>
      <c r="H428" s="13" t="s">
        <v>2959</v>
      </c>
      <c r="I428" s="13" t="s">
        <v>2960</v>
      </c>
      <c r="J428" s="9" t="s">
        <v>2961</v>
      </c>
      <c r="K428" s="13">
        <v>1820</v>
      </c>
    </row>
    <row r="429" spans="1:11" ht="15" customHeight="1" x14ac:dyDescent="0.2">
      <c r="A429" s="13" t="s">
        <v>2962</v>
      </c>
      <c r="B429" s="13" t="s">
        <v>2963</v>
      </c>
      <c r="C429" s="13">
        <v>2003</v>
      </c>
      <c r="D429" s="13" t="s">
        <v>530</v>
      </c>
      <c r="E429" s="13" t="s">
        <v>885</v>
      </c>
      <c r="F429" s="13">
        <v>0</v>
      </c>
      <c r="G429" s="13"/>
      <c r="H429" s="13" t="s">
        <v>2964</v>
      </c>
      <c r="I429" s="13" t="s">
        <v>2965</v>
      </c>
      <c r="J429" s="9" t="s">
        <v>2966</v>
      </c>
      <c r="K429" s="13">
        <v>0</v>
      </c>
    </row>
    <row r="430" spans="1:11" ht="15" customHeight="1" x14ac:dyDescent="0.2">
      <c r="A430" s="13" t="s">
        <v>2967</v>
      </c>
      <c r="B430" s="13" t="s">
        <v>2967</v>
      </c>
      <c r="C430" s="13">
        <v>2011</v>
      </c>
      <c r="D430" s="13" t="s">
        <v>413</v>
      </c>
      <c r="E430" s="13" t="s">
        <v>566</v>
      </c>
      <c r="F430" s="13">
        <v>7.2119999999999997</v>
      </c>
      <c r="G430" s="13" t="s">
        <v>18</v>
      </c>
      <c r="H430" s="13" t="s">
        <v>2968</v>
      </c>
      <c r="I430" s="13" t="s">
        <v>2969</v>
      </c>
      <c r="J430" s="9" t="s">
        <v>2970</v>
      </c>
      <c r="K430" s="13">
        <v>479</v>
      </c>
    </row>
    <row r="431" spans="1:11" ht="15" customHeight="1" x14ac:dyDescent="0.2">
      <c r="A431" s="15" t="s">
        <v>2971</v>
      </c>
      <c r="B431" s="15" t="s">
        <v>2972</v>
      </c>
      <c r="C431" s="15">
        <v>2012</v>
      </c>
      <c r="D431" s="15" t="s">
        <v>880</v>
      </c>
      <c r="E431" s="15" t="s">
        <v>1180</v>
      </c>
      <c r="F431" s="15">
        <v>7</v>
      </c>
      <c r="G431" s="15" t="s">
        <v>18</v>
      </c>
      <c r="H431" s="15" t="s">
        <v>2973</v>
      </c>
      <c r="I431" s="15" t="s">
        <v>2974</v>
      </c>
      <c r="J431" s="10" t="s">
        <v>2975</v>
      </c>
      <c r="K431" s="15">
        <v>7</v>
      </c>
    </row>
    <row r="432" spans="1:11" ht="15" customHeight="1" x14ac:dyDescent="0.2">
      <c r="A432" s="13" t="s">
        <v>2976</v>
      </c>
      <c r="B432" s="13" t="s">
        <v>2977</v>
      </c>
      <c r="C432" s="13">
        <v>1965</v>
      </c>
      <c r="D432" s="13" t="s">
        <v>413</v>
      </c>
      <c r="E432" s="13" t="s">
        <v>399</v>
      </c>
      <c r="F432" s="13">
        <v>6.3</v>
      </c>
      <c r="G432" s="13" t="s">
        <v>46</v>
      </c>
      <c r="H432" s="13" t="s">
        <v>2978</v>
      </c>
      <c r="I432" s="13" t="s">
        <v>2979</v>
      </c>
      <c r="J432" s="9" t="s">
        <v>2980</v>
      </c>
      <c r="K432" s="13">
        <v>95</v>
      </c>
    </row>
    <row r="433" spans="1:11" ht="15" customHeight="1" x14ac:dyDescent="0.2">
      <c r="A433" s="13" t="s">
        <v>2981</v>
      </c>
      <c r="B433" s="13" t="s">
        <v>2982</v>
      </c>
      <c r="C433" s="13">
        <v>1957</v>
      </c>
      <c r="D433" s="13" t="s">
        <v>15</v>
      </c>
      <c r="E433" s="13" t="s">
        <v>566</v>
      </c>
      <c r="F433" s="13">
        <v>7.5890000000000004</v>
      </c>
      <c r="G433" s="13" t="s">
        <v>77</v>
      </c>
      <c r="H433" s="13" t="s">
        <v>2983</v>
      </c>
      <c r="I433" s="13" t="s">
        <v>2984</v>
      </c>
      <c r="J433" s="9" t="s">
        <v>2985</v>
      </c>
      <c r="K433" s="13">
        <v>555</v>
      </c>
    </row>
    <row r="434" spans="1:11" ht="15" customHeight="1" x14ac:dyDescent="0.2">
      <c r="A434" s="13" t="s">
        <v>2986</v>
      </c>
      <c r="B434" s="13" t="s">
        <v>2987</v>
      </c>
      <c r="C434" s="13">
        <v>1961</v>
      </c>
      <c r="D434" s="13" t="s">
        <v>15</v>
      </c>
      <c r="E434" s="13" t="s">
        <v>1013</v>
      </c>
      <c r="F434" s="13">
        <v>6.9</v>
      </c>
      <c r="G434" s="13" t="s">
        <v>18</v>
      </c>
      <c r="H434" s="13" t="s">
        <v>2988</v>
      </c>
      <c r="I434" s="13" t="s">
        <v>2989</v>
      </c>
      <c r="J434" s="9" t="s">
        <v>2990</v>
      </c>
      <c r="K434" s="13">
        <v>22</v>
      </c>
    </row>
    <row r="435" spans="1:11" ht="15" customHeight="1" x14ac:dyDescent="0.2">
      <c r="A435" s="13" t="s">
        <v>2991</v>
      </c>
      <c r="B435" s="13" t="s">
        <v>2992</v>
      </c>
      <c r="C435" s="13">
        <v>1949</v>
      </c>
      <c r="D435" s="13" t="s">
        <v>15</v>
      </c>
      <c r="E435" s="13" t="s">
        <v>1863</v>
      </c>
      <c r="F435" s="13">
        <v>7.069</v>
      </c>
      <c r="G435" s="13" t="s">
        <v>18</v>
      </c>
      <c r="H435" s="13" t="s">
        <v>2993</v>
      </c>
      <c r="I435" s="13" t="s">
        <v>2994</v>
      </c>
      <c r="J435" s="9" t="s">
        <v>2995</v>
      </c>
      <c r="K435" s="13">
        <v>173</v>
      </c>
    </row>
    <row r="436" spans="1:11" ht="15" customHeight="1" x14ac:dyDescent="0.2">
      <c r="A436" s="13" t="s">
        <v>2996</v>
      </c>
      <c r="B436" s="13" t="s">
        <v>2996</v>
      </c>
      <c r="C436" s="13">
        <v>1964</v>
      </c>
      <c r="D436" s="13" t="s">
        <v>413</v>
      </c>
      <c r="E436" s="13" t="s">
        <v>2997</v>
      </c>
      <c r="F436" s="13">
        <v>5.7590000000000003</v>
      </c>
      <c r="G436" s="13" t="s">
        <v>46</v>
      </c>
      <c r="H436" s="13" t="s">
        <v>2998</v>
      </c>
      <c r="I436" s="13" t="s">
        <v>2999</v>
      </c>
      <c r="J436" s="9" t="s">
        <v>3000</v>
      </c>
      <c r="K436" s="13">
        <v>27</v>
      </c>
    </row>
    <row r="437" spans="1:11" ht="15" customHeight="1" x14ac:dyDescent="0.2">
      <c r="A437" s="13" t="s">
        <v>3001</v>
      </c>
      <c r="B437" s="13" t="s">
        <v>3002</v>
      </c>
      <c r="C437" s="13">
        <v>1960</v>
      </c>
      <c r="D437" s="13" t="s">
        <v>15</v>
      </c>
      <c r="E437" s="13" t="s">
        <v>1052</v>
      </c>
      <c r="F437" s="13">
        <v>6.3</v>
      </c>
      <c r="G437" s="13" t="s">
        <v>46</v>
      </c>
      <c r="H437" s="13" t="s">
        <v>3003</v>
      </c>
      <c r="I437" s="13" t="s">
        <v>3004</v>
      </c>
      <c r="J437" s="9" t="s">
        <v>3005</v>
      </c>
      <c r="K437" s="13">
        <v>29</v>
      </c>
    </row>
  </sheetData>
  <dataValidations count="1">
    <dataValidation type="list" allowBlank="1" showDropDown="1" showInputMessage="1" showErrorMessage="1" sqref="D2:D8 D10:D19 D21:D29 D31:D38 D40:D48 D50:D54 I2:I8 I10:I19 I21:I29 I31:I38 I40:I48 I50:I54" xr:uid="{00000000-0002-0000-0200-000000000000}">
      <formula1>#REF!</formula1>
      <formula2>0</formula2>
    </dataValidation>
  </dataValidations>
  <pageMargins left="0.74791666666666701" right="0.74791666666666701" top="0.98402777777777795" bottom="0.9840277777777779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Tabelle4">
    <outlinePr summaryBelow="0"/>
  </sheetPr>
  <dimension ref="A1:K33"/>
  <sheetViews>
    <sheetView topLeftCell="B1" zoomScaleNormal="100" workbookViewId="0">
      <pane ySplit="1" topLeftCell="A21" activePane="bottomLeft" state="frozen"/>
      <selection pane="bottomLeft" activeCell="L1" sqref="L1"/>
    </sheetView>
  </sheetViews>
  <sheetFormatPr baseColWidth="10" defaultColWidth="12.5703125" defaultRowHeight="15" customHeight="1" x14ac:dyDescent="0.2"/>
  <cols>
    <col min="1" max="1" width="47.42578125" style="2" customWidth="1"/>
    <col min="2" max="2" width="18.5703125" style="2" customWidth="1"/>
    <col min="3" max="3" width="8.140625" style="2" customWidth="1"/>
    <col min="4" max="4" width="7" style="2" customWidth="1"/>
    <col min="5" max="5" width="11.42578125" style="2" customWidth="1"/>
    <col min="6" max="6" width="6.42578125" style="2" customWidth="1"/>
    <col min="7" max="7" width="11.42578125" style="2" customWidth="1"/>
    <col min="8" max="8" width="14.42578125" style="2" customWidth="1"/>
    <col min="9" max="9" width="44.7109375" style="2" customWidth="1"/>
    <col min="10" max="10" width="43" style="2" customWidth="1"/>
    <col min="11" max="12" width="18.5703125" style="2" customWidth="1"/>
    <col min="13" max="13" width="18.140625" style="2" customWidth="1"/>
    <col min="14" max="14" width="11.42578125" style="2" customWidth="1"/>
    <col min="15" max="15" width="24.5703125" style="2" customWidth="1"/>
    <col min="16" max="16" width="25.7109375" style="2" customWidth="1"/>
    <col min="17" max="21" width="11.42578125" style="2" customWidth="1"/>
    <col min="22" max="22" width="46.28515625" style="2" customWidth="1"/>
    <col min="23" max="23" width="106.7109375" style="2" customWidth="1"/>
    <col min="24" max="24" width="126.5703125" style="2" customWidth="1"/>
    <col min="25" max="25" width="8.140625" style="2" customWidth="1"/>
    <col min="26" max="26" width="32.140625" style="2" customWidth="1"/>
    <col min="27" max="27" width="16.42578125" style="2" customWidth="1"/>
    <col min="28" max="28" width="14.140625" style="2" customWidth="1"/>
    <col min="29" max="29" width="11.42578125" style="2" customWidth="1"/>
    <col min="30" max="200" width="14.140625" style="2" customWidth="1"/>
    <col min="201" max="232" width="12.5703125" style="2" customWidth="1"/>
    <col min="233" max="16384" width="12.5703125" style="2"/>
  </cols>
  <sheetData>
    <row r="1" spans="1:11" ht="16.5" customHeight="1" x14ac:dyDescent="0.2">
      <c r="A1" s="11" t="s">
        <v>0</v>
      </c>
      <c r="B1" s="11" t="s">
        <v>1</v>
      </c>
      <c r="C1" s="11" t="s">
        <v>2</v>
      </c>
      <c r="D1" s="11" t="s">
        <v>3</v>
      </c>
      <c r="E1" s="11" t="s">
        <v>4</v>
      </c>
      <c r="F1" s="11" t="s">
        <v>5</v>
      </c>
      <c r="G1" s="11" t="s">
        <v>6</v>
      </c>
      <c r="H1" s="11" t="s">
        <v>7</v>
      </c>
      <c r="I1" s="11" t="s">
        <v>8</v>
      </c>
      <c r="J1" s="11" t="s">
        <v>9</v>
      </c>
      <c r="K1" s="11" t="s">
        <v>10</v>
      </c>
    </row>
    <row r="2" spans="1:11" ht="15" customHeight="1" x14ac:dyDescent="0.2">
      <c r="A2" s="13" t="s">
        <v>3006</v>
      </c>
      <c r="B2" s="13" t="s">
        <v>3007</v>
      </c>
      <c r="C2" s="13">
        <v>1977</v>
      </c>
      <c r="D2" s="13" t="s">
        <v>3008</v>
      </c>
      <c r="E2" s="13" t="s">
        <v>310</v>
      </c>
      <c r="F2" s="13">
        <v>6.867</v>
      </c>
      <c r="G2" s="13" t="s">
        <v>18</v>
      </c>
      <c r="H2" s="13" t="s">
        <v>3009</v>
      </c>
      <c r="I2" s="13" t="s">
        <v>3010</v>
      </c>
      <c r="J2" s="9" t="s">
        <v>3011</v>
      </c>
      <c r="K2" s="13">
        <v>117</v>
      </c>
    </row>
    <row r="3" spans="1:11" ht="15" customHeight="1" x14ac:dyDescent="0.2">
      <c r="A3" s="13" t="s">
        <v>3012</v>
      </c>
      <c r="B3" s="13" t="s">
        <v>3013</v>
      </c>
      <c r="C3" s="13">
        <v>1960</v>
      </c>
      <c r="D3" s="13" t="s">
        <v>15</v>
      </c>
      <c r="E3" s="13" t="s">
        <v>3014</v>
      </c>
      <c r="F3" s="13">
        <v>6.9</v>
      </c>
      <c r="G3" s="13" t="s">
        <v>18</v>
      </c>
      <c r="H3" s="13" t="s">
        <v>3015</v>
      </c>
      <c r="I3" s="13" t="s">
        <v>3016</v>
      </c>
      <c r="J3" s="9" t="s">
        <v>3017</v>
      </c>
      <c r="K3" s="13">
        <v>203</v>
      </c>
    </row>
    <row r="4" spans="1:11" ht="15" customHeight="1" x14ac:dyDescent="0.2">
      <c r="A4" s="13" t="s">
        <v>3018</v>
      </c>
      <c r="B4" s="13" t="s">
        <v>3019</v>
      </c>
      <c r="C4" s="13">
        <v>1973</v>
      </c>
      <c r="D4" s="13" t="s">
        <v>15</v>
      </c>
      <c r="E4" s="13" t="s">
        <v>3020</v>
      </c>
      <c r="F4" s="13">
        <v>5.3</v>
      </c>
      <c r="G4" s="13" t="s">
        <v>28</v>
      </c>
      <c r="H4" s="13" t="s">
        <v>3021</v>
      </c>
      <c r="I4" s="13" t="s">
        <v>3022</v>
      </c>
      <c r="J4" s="9" t="s">
        <v>3023</v>
      </c>
      <c r="K4" s="13">
        <v>14</v>
      </c>
    </row>
    <row r="5" spans="1:11" ht="15" customHeight="1" x14ac:dyDescent="0.2">
      <c r="A5" s="13" t="s">
        <v>3024</v>
      </c>
      <c r="B5" s="13" t="s">
        <v>3025</v>
      </c>
      <c r="C5" s="13">
        <v>1969</v>
      </c>
      <c r="D5" s="13" t="s">
        <v>15</v>
      </c>
      <c r="E5" s="13" t="s">
        <v>3026</v>
      </c>
      <c r="F5" s="13">
        <v>4.5</v>
      </c>
      <c r="G5" s="13" t="s">
        <v>86</v>
      </c>
      <c r="H5" s="13" t="s">
        <v>3027</v>
      </c>
      <c r="I5" s="13" t="s">
        <v>3028</v>
      </c>
      <c r="J5" s="9" t="s">
        <v>3029</v>
      </c>
      <c r="K5" s="13">
        <v>3</v>
      </c>
    </row>
    <row r="6" spans="1:11" ht="15" customHeight="1" x14ac:dyDescent="0.2">
      <c r="A6" s="13" t="s">
        <v>3030</v>
      </c>
      <c r="B6" s="13" t="s">
        <v>3031</v>
      </c>
      <c r="C6" s="13">
        <v>1956</v>
      </c>
      <c r="D6" s="13" t="s">
        <v>15</v>
      </c>
      <c r="E6" s="13" t="s">
        <v>310</v>
      </c>
      <c r="F6" s="13">
        <v>6.3</v>
      </c>
      <c r="G6" s="13" t="s">
        <v>46</v>
      </c>
      <c r="H6" s="13" t="s">
        <v>3032</v>
      </c>
      <c r="I6" s="13" t="s">
        <v>3033</v>
      </c>
      <c r="J6" s="9" t="s">
        <v>3034</v>
      </c>
      <c r="K6" s="13">
        <v>67</v>
      </c>
    </row>
    <row r="7" spans="1:11" ht="15" customHeight="1" x14ac:dyDescent="0.2">
      <c r="A7" s="13" t="s">
        <v>1713</v>
      </c>
      <c r="B7" s="13" t="s">
        <v>3035</v>
      </c>
      <c r="C7" s="13">
        <v>1967</v>
      </c>
      <c r="D7" s="13" t="s">
        <v>15</v>
      </c>
      <c r="E7" s="13" t="s">
        <v>3036</v>
      </c>
      <c r="F7" s="13">
        <v>6.8</v>
      </c>
      <c r="G7" s="13" t="s">
        <v>18</v>
      </c>
      <c r="H7" s="13" t="s">
        <v>3037</v>
      </c>
      <c r="I7" s="13" t="s">
        <v>3038</v>
      </c>
      <c r="J7" s="9" t="s">
        <v>1714</v>
      </c>
      <c r="K7" s="13">
        <v>38</v>
      </c>
    </row>
    <row r="8" spans="1:11" ht="15" customHeight="1" x14ac:dyDescent="0.2">
      <c r="A8" s="13" t="s">
        <v>3039</v>
      </c>
      <c r="B8" s="13" t="s">
        <v>3040</v>
      </c>
      <c r="C8" s="13">
        <v>1955</v>
      </c>
      <c r="D8" s="13" t="s">
        <v>15</v>
      </c>
      <c r="E8" s="13" t="s">
        <v>3041</v>
      </c>
      <c r="F8" s="13">
        <v>5.5</v>
      </c>
      <c r="G8" s="13" t="s">
        <v>46</v>
      </c>
      <c r="H8" s="13" t="s">
        <v>3042</v>
      </c>
      <c r="I8" s="13" t="s">
        <v>3043</v>
      </c>
      <c r="J8" s="9" t="s">
        <v>3044</v>
      </c>
      <c r="K8" s="13">
        <v>11</v>
      </c>
    </row>
    <row r="9" spans="1:11" ht="15" customHeight="1" x14ac:dyDescent="0.2">
      <c r="A9" s="13" t="s">
        <v>3045</v>
      </c>
      <c r="B9" s="13" t="s">
        <v>3046</v>
      </c>
      <c r="C9" s="13">
        <v>1994</v>
      </c>
      <c r="D9" s="13" t="s">
        <v>15</v>
      </c>
      <c r="E9" s="13" t="s">
        <v>3047</v>
      </c>
      <c r="F9" s="13">
        <v>5.4290000000000003</v>
      </c>
      <c r="G9" s="13" t="s">
        <v>28</v>
      </c>
      <c r="H9" s="13" t="s">
        <v>3048</v>
      </c>
      <c r="I9" s="13" t="s">
        <v>3049</v>
      </c>
      <c r="J9" s="9" t="s">
        <v>3050</v>
      </c>
      <c r="K9" s="13">
        <v>7</v>
      </c>
    </row>
    <row r="10" spans="1:11" ht="15" customHeight="1" x14ac:dyDescent="0.2">
      <c r="A10" s="13" t="s">
        <v>3051</v>
      </c>
      <c r="B10" s="13" t="s">
        <v>3052</v>
      </c>
      <c r="C10" s="13">
        <v>1964</v>
      </c>
      <c r="D10" s="13" t="s">
        <v>15</v>
      </c>
      <c r="E10" s="13" t="s">
        <v>3053</v>
      </c>
      <c r="F10" s="13">
        <v>5.8</v>
      </c>
      <c r="G10" s="13" t="s">
        <v>46</v>
      </c>
      <c r="H10" s="13" t="s">
        <v>3054</v>
      </c>
      <c r="I10" s="13" t="s">
        <v>3055</v>
      </c>
      <c r="J10" s="9" t="s">
        <v>3056</v>
      </c>
      <c r="K10" s="13">
        <v>56</v>
      </c>
    </row>
    <row r="11" spans="1:11" ht="15" customHeight="1" x14ac:dyDescent="0.2">
      <c r="A11" s="15" t="s">
        <v>3057</v>
      </c>
      <c r="B11" s="15" t="s">
        <v>3058</v>
      </c>
      <c r="C11" s="15">
        <v>1975</v>
      </c>
      <c r="D11" s="15" t="s">
        <v>15</v>
      </c>
      <c r="E11" s="15" t="s">
        <v>3059</v>
      </c>
      <c r="F11" s="15">
        <v>6.1</v>
      </c>
      <c r="G11" s="15" t="s">
        <v>46</v>
      </c>
      <c r="H11" s="15" t="s">
        <v>3060</v>
      </c>
      <c r="I11" s="15" t="s">
        <v>3061</v>
      </c>
      <c r="J11" s="10" t="s">
        <v>3062</v>
      </c>
      <c r="K11" s="15">
        <v>68</v>
      </c>
    </row>
    <row r="12" spans="1:11" ht="15" customHeight="1" x14ac:dyDescent="0.2">
      <c r="A12" s="13" t="s">
        <v>3063</v>
      </c>
      <c r="B12" s="13" t="s">
        <v>3064</v>
      </c>
      <c r="C12" s="13">
        <v>2014</v>
      </c>
      <c r="D12" s="13" t="s">
        <v>530</v>
      </c>
      <c r="E12" s="13" t="s">
        <v>881</v>
      </c>
      <c r="F12" s="13">
        <v>0</v>
      </c>
      <c r="G12" s="13"/>
      <c r="H12" s="13" t="s">
        <v>3065</v>
      </c>
      <c r="I12" s="13"/>
      <c r="J12" s="9" t="s">
        <v>3066</v>
      </c>
      <c r="K12" s="13">
        <v>0</v>
      </c>
    </row>
    <row r="13" spans="1:11" ht="15" customHeight="1" x14ac:dyDescent="0.2">
      <c r="A13" s="13" t="s">
        <v>3067</v>
      </c>
      <c r="B13" s="13" t="s">
        <v>3068</v>
      </c>
      <c r="C13" s="13">
        <v>1948</v>
      </c>
      <c r="D13" s="13" t="s">
        <v>15</v>
      </c>
      <c r="E13" s="13" t="s">
        <v>3069</v>
      </c>
      <c r="F13" s="13">
        <v>6.6</v>
      </c>
      <c r="G13" s="13" t="s">
        <v>18</v>
      </c>
      <c r="H13" s="13" t="s">
        <v>3070</v>
      </c>
      <c r="I13" s="13" t="s">
        <v>3071</v>
      </c>
      <c r="J13" s="9" t="s">
        <v>3072</v>
      </c>
      <c r="K13" s="13">
        <v>46</v>
      </c>
    </row>
    <row r="14" spans="1:11" ht="15" customHeight="1" x14ac:dyDescent="0.2">
      <c r="A14" s="13" t="s">
        <v>3073</v>
      </c>
      <c r="B14" s="13" t="s">
        <v>2198</v>
      </c>
      <c r="C14" s="13">
        <v>1976</v>
      </c>
      <c r="D14" s="13" t="s">
        <v>15</v>
      </c>
      <c r="E14" s="13" t="s">
        <v>3020</v>
      </c>
      <c r="F14" s="13">
        <v>6.1150000000000002</v>
      </c>
      <c r="G14" s="13" t="s">
        <v>46</v>
      </c>
      <c r="H14" s="13" t="s">
        <v>3074</v>
      </c>
      <c r="I14" s="13" t="s">
        <v>3075</v>
      </c>
      <c r="J14" s="9" t="s">
        <v>3076</v>
      </c>
      <c r="K14" s="13">
        <v>292</v>
      </c>
    </row>
    <row r="15" spans="1:11" ht="15" customHeight="1" x14ac:dyDescent="0.2">
      <c r="A15" s="13" t="s">
        <v>3077</v>
      </c>
      <c r="B15" s="13" t="s">
        <v>3078</v>
      </c>
      <c r="C15" s="13">
        <v>1965</v>
      </c>
      <c r="D15" s="13" t="s">
        <v>15</v>
      </c>
      <c r="E15" s="13" t="s">
        <v>3059</v>
      </c>
      <c r="F15" s="13">
        <v>5.7</v>
      </c>
      <c r="G15" s="13" t="s">
        <v>46</v>
      </c>
      <c r="H15" s="13" t="s">
        <v>3079</v>
      </c>
      <c r="I15" s="13" t="s">
        <v>3080</v>
      </c>
      <c r="J15" s="9" t="s">
        <v>3081</v>
      </c>
      <c r="K15" s="13">
        <v>26</v>
      </c>
    </row>
    <row r="16" spans="1:11" ht="15" customHeight="1" x14ac:dyDescent="0.2">
      <c r="A16" s="13" t="s">
        <v>3082</v>
      </c>
      <c r="B16" s="13" t="s">
        <v>3083</v>
      </c>
      <c r="C16" s="13">
        <v>1960</v>
      </c>
      <c r="D16" s="13" t="s">
        <v>15</v>
      </c>
      <c r="E16" s="13" t="s">
        <v>3084</v>
      </c>
      <c r="F16" s="13">
        <v>6.5540000000000003</v>
      </c>
      <c r="G16" s="13" t="s">
        <v>18</v>
      </c>
      <c r="H16" s="13" t="s">
        <v>3085</v>
      </c>
      <c r="I16" s="13" t="s">
        <v>3086</v>
      </c>
      <c r="J16" s="9" t="s">
        <v>3087</v>
      </c>
      <c r="K16" s="13">
        <v>28</v>
      </c>
    </row>
    <row r="17" spans="1:11" ht="15" customHeight="1" x14ac:dyDescent="0.2">
      <c r="A17" s="13" t="s">
        <v>3088</v>
      </c>
      <c r="B17" s="13" t="s">
        <v>3089</v>
      </c>
      <c r="C17" s="13">
        <v>1972</v>
      </c>
      <c r="D17" s="13" t="s">
        <v>15</v>
      </c>
      <c r="E17" s="13" t="s">
        <v>3090</v>
      </c>
      <c r="F17" s="13">
        <v>6.7</v>
      </c>
      <c r="G17" s="13" t="s">
        <v>18</v>
      </c>
      <c r="H17" s="13" t="s">
        <v>3091</v>
      </c>
      <c r="I17" s="13" t="s">
        <v>3092</v>
      </c>
      <c r="J17" s="9" t="s">
        <v>3093</v>
      </c>
      <c r="K17" s="13">
        <v>42</v>
      </c>
    </row>
    <row r="18" spans="1:11" ht="15" customHeight="1" x14ac:dyDescent="0.2">
      <c r="A18" s="13" t="s">
        <v>3094</v>
      </c>
      <c r="B18" s="13" t="s">
        <v>3095</v>
      </c>
      <c r="C18" s="13">
        <v>1972</v>
      </c>
      <c r="D18" s="13" t="s">
        <v>15</v>
      </c>
      <c r="E18" s="13" t="s">
        <v>3059</v>
      </c>
      <c r="F18" s="13">
        <v>6.3</v>
      </c>
      <c r="G18" s="13" t="s">
        <v>46</v>
      </c>
      <c r="H18" s="13" t="s">
        <v>3096</v>
      </c>
      <c r="I18" s="13" t="s">
        <v>3097</v>
      </c>
      <c r="J18" s="9" t="s">
        <v>3098</v>
      </c>
      <c r="K18" s="13">
        <v>65</v>
      </c>
    </row>
    <row r="19" spans="1:11" ht="15" customHeight="1" x14ac:dyDescent="0.2">
      <c r="A19" s="13" t="s">
        <v>3099</v>
      </c>
      <c r="B19" s="13" t="s">
        <v>3100</v>
      </c>
      <c r="C19" s="13">
        <v>1972</v>
      </c>
      <c r="D19" s="13" t="s">
        <v>15</v>
      </c>
      <c r="E19" s="13" t="s">
        <v>26</v>
      </c>
      <c r="F19" s="13">
        <v>6.2</v>
      </c>
      <c r="G19" s="13" t="s">
        <v>46</v>
      </c>
      <c r="H19" s="13" t="s">
        <v>3101</v>
      </c>
      <c r="I19" s="13" t="s">
        <v>3102</v>
      </c>
      <c r="J19" s="9" t="s">
        <v>3103</v>
      </c>
      <c r="K19" s="13">
        <v>35</v>
      </c>
    </row>
    <row r="20" spans="1:11" ht="15" customHeight="1" x14ac:dyDescent="0.2">
      <c r="A20" s="13" t="s">
        <v>3104</v>
      </c>
      <c r="B20" s="13" t="s">
        <v>3105</v>
      </c>
      <c r="C20" s="13">
        <v>1961</v>
      </c>
      <c r="D20" s="13" t="s">
        <v>15</v>
      </c>
      <c r="E20" s="13" t="s">
        <v>3041</v>
      </c>
      <c r="F20" s="13">
        <v>6.9</v>
      </c>
      <c r="G20" s="13" t="s">
        <v>18</v>
      </c>
      <c r="H20" s="13" t="s">
        <v>3106</v>
      </c>
      <c r="I20" s="13" t="s">
        <v>3107</v>
      </c>
      <c r="J20" s="9" t="s">
        <v>3108</v>
      </c>
      <c r="K20" s="13">
        <v>62</v>
      </c>
    </row>
    <row r="21" spans="1:11" ht="15" customHeight="1" x14ac:dyDescent="0.2">
      <c r="A21" s="15" t="s">
        <v>3109</v>
      </c>
      <c r="B21" s="15" t="s">
        <v>3110</v>
      </c>
      <c r="C21" s="15">
        <v>1974</v>
      </c>
      <c r="D21" s="15" t="s">
        <v>3111</v>
      </c>
      <c r="E21" s="15" t="s">
        <v>251</v>
      </c>
      <c r="F21" s="15">
        <v>6.2</v>
      </c>
      <c r="G21" s="15" t="s">
        <v>46</v>
      </c>
      <c r="H21" s="15" t="s">
        <v>3112</v>
      </c>
      <c r="I21" s="15" t="s">
        <v>3113</v>
      </c>
      <c r="J21" s="10" t="s">
        <v>3114</v>
      </c>
      <c r="K21" s="15">
        <v>12</v>
      </c>
    </row>
    <row r="22" spans="1:11" ht="15" customHeight="1" x14ac:dyDescent="0.2">
      <c r="A22" s="13" t="s">
        <v>3115</v>
      </c>
      <c r="B22" s="13" t="s">
        <v>3116</v>
      </c>
      <c r="C22" s="13">
        <v>1996</v>
      </c>
      <c r="D22" s="13" t="s">
        <v>15</v>
      </c>
      <c r="E22" s="13" t="s">
        <v>3117</v>
      </c>
      <c r="F22" s="13">
        <v>6</v>
      </c>
      <c r="G22" s="13" t="s">
        <v>46</v>
      </c>
      <c r="H22" s="13" t="s">
        <v>3118</v>
      </c>
      <c r="I22" s="13" t="s">
        <v>3119</v>
      </c>
      <c r="J22" s="9" t="s">
        <v>3120</v>
      </c>
      <c r="K22" s="13">
        <v>471</v>
      </c>
    </row>
    <row r="23" spans="1:11" ht="15" customHeight="1" x14ac:dyDescent="0.2">
      <c r="A23" s="13" t="s">
        <v>3121</v>
      </c>
      <c r="B23" s="13"/>
      <c r="C23" s="13">
        <v>1994</v>
      </c>
      <c r="D23" s="13"/>
      <c r="E23" s="13" t="s">
        <v>3014</v>
      </c>
      <c r="F23" s="13"/>
      <c r="G23" s="13"/>
      <c r="H23" s="13"/>
      <c r="I23" s="13" t="s">
        <v>3122</v>
      </c>
      <c r="J23" s="9"/>
      <c r="K23" s="13"/>
    </row>
    <row r="24" spans="1:11" ht="15" customHeight="1" x14ac:dyDescent="0.2">
      <c r="A24" s="13" t="s">
        <v>3123</v>
      </c>
      <c r="B24" s="13" t="s">
        <v>3124</v>
      </c>
      <c r="C24" s="13">
        <v>1962</v>
      </c>
      <c r="D24" s="13" t="s">
        <v>15</v>
      </c>
      <c r="E24" s="13" t="s">
        <v>3059</v>
      </c>
      <c r="F24" s="13">
        <v>5.4</v>
      </c>
      <c r="G24" s="13" t="s">
        <v>28</v>
      </c>
      <c r="H24" s="13" t="s">
        <v>3125</v>
      </c>
      <c r="I24" s="13" t="s">
        <v>3126</v>
      </c>
      <c r="J24" s="9" t="s">
        <v>3127</v>
      </c>
      <c r="K24" s="13">
        <v>21</v>
      </c>
    </row>
    <row r="25" spans="1:11" ht="15" customHeight="1" x14ac:dyDescent="0.2">
      <c r="A25" s="13" t="s">
        <v>3128</v>
      </c>
      <c r="B25" s="13"/>
      <c r="C25" s="13">
        <v>1937</v>
      </c>
      <c r="D25" s="13"/>
      <c r="E25" s="13" t="s">
        <v>3129</v>
      </c>
      <c r="F25" s="13"/>
      <c r="G25" s="13"/>
      <c r="H25" s="13"/>
      <c r="I25" s="13" t="s">
        <v>3130</v>
      </c>
      <c r="J25" s="9"/>
      <c r="K25" s="13"/>
    </row>
    <row r="26" spans="1:11" ht="15" customHeight="1" x14ac:dyDescent="0.2">
      <c r="A26" s="13" t="s">
        <v>3131</v>
      </c>
      <c r="B26" s="13"/>
      <c r="C26" s="13">
        <v>1986</v>
      </c>
      <c r="D26" s="13"/>
      <c r="E26" s="13"/>
      <c r="F26" s="13"/>
      <c r="G26" s="13"/>
      <c r="H26" s="13"/>
      <c r="I26" s="13"/>
      <c r="J26" s="9"/>
      <c r="K26" s="13"/>
    </row>
    <row r="27" spans="1:11" ht="15" customHeight="1" x14ac:dyDescent="0.2">
      <c r="A27" s="13" t="s">
        <v>3132</v>
      </c>
      <c r="B27" s="13" t="s">
        <v>3133</v>
      </c>
      <c r="C27" s="13">
        <v>1973</v>
      </c>
      <c r="D27" s="13" t="s">
        <v>15</v>
      </c>
      <c r="E27" s="13" t="s">
        <v>3090</v>
      </c>
      <c r="F27" s="13">
        <v>4.4740000000000002</v>
      </c>
      <c r="G27" s="13" t="s">
        <v>86</v>
      </c>
      <c r="H27" s="13" t="s">
        <v>3134</v>
      </c>
      <c r="I27" s="13" t="s">
        <v>3135</v>
      </c>
      <c r="J27" s="9" t="s">
        <v>3136</v>
      </c>
      <c r="K27" s="13">
        <v>19</v>
      </c>
    </row>
    <row r="28" spans="1:11" ht="15" customHeight="1" x14ac:dyDescent="0.2">
      <c r="A28" s="13" t="s">
        <v>3137</v>
      </c>
      <c r="B28" s="13" t="s">
        <v>3138</v>
      </c>
      <c r="C28" s="13">
        <v>1995</v>
      </c>
      <c r="D28" s="13" t="s">
        <v>15</v>
      </c>
      <c r="E28" s="13" t="s">
        <v>310</v>
      </c>
      <c r="F28" s="13">
        <v>5.2610000000000001</v>
      </c>
      <c r="G28" s="13" t="s">
        <v>28</v>
      </c>
      <c r="H28" s="13" t="s">
        <v>3139</v>
      </c>
      <c r="I28" s="13" t="s">
        <v>3140</v>
      </c>
      <c r="J28" s="9" t="s">
        <v>3141</v>
      </c>
      <c r="K28" s="13">
        <v>203</v>
      </c>
    </row>
    <row r="29" spans="1:11" ht="15" customHeight="1" x14ac:dyDescent="0.2">
      <c r="A29" s="13" t="s">
        <v>3142</v>
      </c>
      <c r="B29" s="13"/>
      <c r="C29" s="13">
        <v>1950</v>
      </c>
      <c r="D29" s="13"/>
      <c r="E29" s="13" t="s">
        <v>3143</v>
      </c>
      <c r="F29" s="13"/>
      <c r="G29" s="13"/>
      <c r="H29" s="13"/>
      <c r="I29" s="13" t="s">
        <v>3144</v>
      </c>
      <c r="J29" s="9"/>
      <c r="K29" s="13"/>
    </row>
    <row r="30" spans="1:11" ht="15" customHeight="1" x14ac:dyDescent="0.2">
      <c r="A30" s="13" t="s">
        <v>3145</v>
      </c>
      <c r="B30" s="13" t="s">
        <v>3146</v>
      </c>
      <c r="C30" s="13">
        <v>1975</v>
      </c>
      <c r="D30" s="13" t="s">
        <v>969</v>
      </c>
      <c r="E30" s="13" t="s">
        <v>177</v>
      </c>
      <c r="F30" s="13">
        <v>5.7</v>
      </c>
      <c r="G30" s="13" t="s">
        <v>46</v>
      </c>
      <c r="H30" s="13" t="s">
        <v>3147</v>
      </c>
      <c r="I30" s="13" t="s">
        <v>3148</v>
      </c>
      <c r="J30" s="9" t="s">
        <v>3149</v>
      </c>
      <c r="K30" s="13">
        <v>49</v>
      </c>
    </row>
    <row r="31" spans="1:11" ht="15" customHeight="1" x14ac:dyDescent="0.2">
      <c r="A31" s="15" t="s">
        <v>3150</v>
      </c>
      <c r="B31" s="15" t="s">
        <v>3151</v>
      </c>
      <c r="C31" s="15">
        <v>1968</v>
      </c>
      <c r="D31" s="15" t="s">
        <v>15</v>
      </c>
      <c r="E31" s="15" t="s">
        <v>3152</v>
      </c>
      <c r="F31" s="15">
        <v>6.1</v>
      </c>
      <c r="G31" s="15" t="s">
        <v>46</v>
      </c>
      <c r="H31" s="15" t="s">
        <v>3153</v>
      </c>
      <c r="I31" s="15" t="s">
        <v>3154</v>
      </c>
      <c r="J31" s="10" t="s">
        <v>3155</v>
      </c>
      <c r="K31" s="15">
        <v>17</v>
      </c>
    </row>
    <row r="32" spans="1:11" ht="15" customHeight="1" x14ac:dyDescent="0.2">
      <c r="A32" s="13" t="s">
        <v>3156</v>
      </c>
      <c r="B32" s="13" t="s">
        <v>3157</v>
      </c>
      <c r="C32" s="13">
        <v>1976</v>
      </c>
      <c r="D32" s="13" t="s">
        <v>15</v>
      </c>
      <c r="E32" s="13" t="s">
        <v>3020</v>
      </c>
      <c r="F32" s="13">
        <v>5.7649999999999997</v>
      </c>
      <c r="G32" s="13" t="s">
        <v>46</v>
      </c>
      <c r="H32" s="13" t="s">
        <v>3158</v>
      </c>
      <c r="I32" s="13" t="s">
        <v>3159</v>
      </c>
      <c r="J32" s="9" t="s">
        <v>3160</v>
      </c>
      <c r="K32" s="13">
        <v>81</v>
      </c>
    </row>
    <row r="33" spans="1:11" ht="15" customHeight="1" x14ac:dyDescent="0.2">
      <c r="A33" s="13" t="s">
        <v>3161</v>
      </c>
      <c r="B33" s="13" t="s">
        <v>3162</v>
      </c>
      <c r="C33" s="13">
        <v>1981</v>
      </c>
      <c r="D33" s="13" t="s">
        <v>15</v>
      </c>
      <c r="E33" s="13" t="s">
        <v>3020</v>
      </c>
      <c r="F33" s="13">
        <v>5.8</v>
      </c>
      <c r="G33" s="13" t="s">
        <v>46</v>
      </c>
      <c r="H33" s="13" t="s">
        <v>3163</v>
      </c>
      <c r="I33" s="13" t="s">
        <v>3164</v>
      </c>
      <c r="J33" s="9" t="s">
        <v>3165</v>
      </c>
      <c r="K33" s="13">
        <v>37</v>
      </c>
    </row>
  </sheetData>
  <dataValidations count="1">
    <dataValidation type="list" allowBlank="1" showDropDown="1" showInputMessage="1" showErrorMessage="1" sqref="D2:D8 D10:D19 D21:D29 D31:D33 I2:I8 I10:I19 I21:I29 I31:I33" xr:uid="{00000000-0002-0000-0300-000000000000}">
      <formula1>#REF!</formula1>
      <formula2>0</formula2>
    </dataValidation>
  </dataValidations>
  <pageMargins left="0.74791666666666701" right="0.74791666666666701" top="0.98402777777777795" bottom="0.9840277777777779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Tabelle5">
    <outlinePr summaryBelow="0"/>
  </sheetPr>
  <dimension ref="A1:AC29"/>
  <sheetViews>
    <sheetView topLeftCell="E1" zoomScaleNormal="100" workbookViewId="0">
      <pane ySplit="1" topLeftCell="A17" activePane="bottomLeft" state="frozen"/>
      <selection pane="bottomLeft" activeCell="L1" sqref="L1"/>
    </sheetView>
  </sheetViews>
  <sheetFormatPr baseColWidth="10" defaultColWidth="12.5703125" defaultRowHeight="15" customHeight="1" x14ac:dyDescent="0.2"/>
  <cols>
    <col min="1" max="1" width="47.42578125" style="2" customWidth="1"/>
    <col min="2" max="2" width="18.5703125" style="2" customWidth="1"/>
    <col min="3" max="3" width="8.140625" style="2" bestFit="1" customWidth="1"/>
    <col min="4" max="4" width="7" style="2" bestFit="1" customWidth="1"/>
    <col min="5" max="5" width="11.42578125" style="2" customWidth="1"/>
    <col min="6" max="6" width="6.42578125" style="2" customWidth="1"/>
    <col min="7" max="7" width="11.42578125" style="2" customWidth="1"/>
    <col min="8" max="8" width="12.5703125" style="2" customWidth="1"/>
    <col min="9" max="9" width="44.7109375" style="2" customWidth="1"/>
    <col min="10" max="10" width="43" style="2" customWidth="1"/>
    <col min="11" max="12" width="18.5703125" style="2" customWidth="1"/>
    <col min="13" max="13" width="18.140625" style="2" customWidth="1"/>
    <col min="14" max="14" width="11.42578125" style="2" customWidth="1"/>
    <col min="15" max="15" width="24.5703125" style="2" customWidth="1"/>
    <col min="16" max="16" width="25.7109375" style="2" customWidth="1"/>
    <col min="17" max="21" width="11.42578125" style="2" customWidth="1"/>
    <col min="22" max="22" width="46.28515625" style="2" customWidth="1"/>
    <col min="23" max="23" width="106.7109375" style="2" customWidth="1"/>
    <col min="24" max="24" width="126.5703125" style="2" customWidth="1"/>
    <col min="25" max="25" width="8.140625" style="2" customWidth="1"/>
    <col min="26" max="26" width="32.140625" style="2" customWidth="1"/>
    <col min="27" max="27" width="16.42578125" style="2" customWidth="1"/>
    <col min="28" max="28" width="14.140625" style="2" customWidth="1"/>
    <col min="29" max="29" width="11.42578125" style="2" customWidth="1"/>
  </cols>
  <sheetData>
    <row r="1" spans="1:11" ht="16.5" customHeight="1" x14ac:dyDescent="0.2">
      <c r="A1" s="11" t="s">
        <v>0</v>
      </c>
      <c r="B1" s="11" t="s">
        <v>1</v>
      </c>
      <c r="C1" s="11" t="s">
        <v>2</v>
      </c>
      <c r="D1" s="11" t="s">
        <v>3</v>
      </c>
      <c r="E1" s="11" t="s">
        <v>4</v>
      </c>
      <c r="F1" s="11" t="s">
        <v>5</v>
      </c>
      <c r="G1" s="11" t="s">
        <v>6</v>
      </c>
      <c r="H1" s="11" t="s">
        <v>7</v>
      </c>
      <c r="I1" s="11" t="s">
        <v>8</v>
      </c>
      <c r="J1" s="11" t="s">
        <v>9</v>
      </c>
      <c r="K1" s="11" t="s">
        <v>10</v>
      </c>
    </row>
    <row r="2" spans="1:11" ht="15" customHeight="1" x14ac:dyDescent="0.2">
      <c r="A2" s="13"/>
      <c r="B2" s="13"/>
      <c r="C2" s="13"/>
      <c r="D2" s="13" t="s">
        <v>350</v>
      </c>
      <c r="E2" s="13"/>
      <c r="F2" s="13"/>
      <c r="G2" s="13"/>
      <c r="H2" s="13"/>
      <c r="I2" s="13" t="s">
        <v>3166</v>
      </c>
      <c r="J2" s="9"/>
      <c r="K2" s="13"/>
    </row>
    <row r="3" spans="1:11" ht="15" customHeight="1" x14ac:dyDescent="0.2">
      <c r="A3" s="13"/>
      <c r="B3" s="13"/>
      <c r="C3" s="13"/>
      <c r="D3" s="13" t="s">
        <v>3167</v>
      </c>
      <c r="E3" s="13"/>
      <c r="F3" s="13"/>
      <c r="G3" s="13"/>
      <c r="H3" s="13"/>
      <c r="I3" s="13" t="s">
        <v>3168</v>
      </c>
      <c r="J3" s="9"/>
      <c r="K3" s="13"/>
    </row>
    <row r="4" spans="1:11" ht="15" customHeight="1" x14ac:dyDescent="0.2">
      <c r="A4" s="13"/>
      <c r="B4" s="13"/>
      <c r="C4" s="13"/>
      <c r="D4" s="13" t="s">
        <v>3167</v>
      </c>
      <c r="E4" s="13"/>
      <c r="F4" s="13"/>
      <c r="G4" s="13"/>
      <c r="H4" s="13"/>
      <c r="I4" s="13" t="s">
        <v>3169</v>
      </c>
      <c r="J4" s="9"/>
      <c r="K4" s="13"/>
    </row>
    <row r="5" spans="1:11" ht="15" customHeight="1" x14ac:dyDescent="0.2">
      <c r="A5" s="13"/>
      <c r="B5" s="13"/>
      <c r="C5" s="13"/>
      <c r="D5" s="13" t="s">
        <v>3167</v>
      </c>
      <c r="E5" s="13"/>
      <c r="F5" s="13"/>
      <c r="G5" s="13"/>
      <c r="H5" s="13"/>
      <c r="I5" s="13" t="s">
        <v>3170</v>
      </c>
      <c r="J5" s="9"/>
      <c r="K5" s="13"/>
    </row>
    <row r="6" spans="1:11" ht="15" customHeight="1" x14ac:dyDescent="0.2">
      <c r="A6" s="13"/>
      <c r="B6" s="13"/>
      <c r="C6" s="13"/>
      <c r="D6" s="13" t="s">
        <v>3167</v>
      </c>
      <c r="E6" s="13"/>
      <c r="F6" s="13"/>
      <c r="G6" s="13"/>
      <c r="H6" s="13"/>
      <c r="I6" s="13" t="s">
        <v>3171</v>
      </c>
      <c r="J6" s="9"/>
      <c r="K6" s="13"/>
    </row>
    <row r="7" spans="1:11" ht="15" customHeight="1" x14ac:dyDescent="0.2">
      <c r="A7" s="13"/>
      <c r="B7" s="13"/>
      <c r="C7" s="13"/>
      <c r="D7" s="13" t="s">
        <v>350</v>
      </c>
      <c r="E7" s="13"/>
      <c r="F7" s="13"/>
      <c r="G7" s="13"/>
      <c r="H7" s="13"/>
      <c r="I7" s="13" t="s">
        <v>3172</v>
      </c>
      <c r="J7" s="9"/>
      <c r="K7" s="13"/>
    </row>
    <row r="8" spans="1:11" ht="15" customHeight="1" x14ac:dyDescent="0.2">
      <c r="A8" s="13"/>
      <c r="B8" s="13"/>
      <c r="C8" s="13"/>
      <c r="D8" s="13" t="s">
        <v>3167</v>
      </c>
      <c r="E8" s="13"/>
      <c r="F8" s="13"/>
      <c r="G8" s="13"/>
      <c r="H8" s="13"/>
      <c r="I8" s="13" t="s">
        <v>3173</v>
      </c>
      <c r="J8" s="9"/>
      <c r="K8" s="13"/>
    </row>
    <row r="9" spans="1:11" ht="15" customHeight="1" x14ac:dyDescent="0.2">
      <c r="A9" s="13"/>
      <c r="B9" s="13"/>
      <c r="C9" s="13"/>
      <c r="D9" s="13" t="s">
        <v>3167</v>
      </c>
      <c r="E9" s="13"/>
      <c r="F9" s="13"/>
      <c r="G9" s="13"/>
      <c r="H9" s="13"/>
      <c r="I9" s="13" t="s">
        <v>3174</v>
      </c>
      <c r="J9" s="9"/>
      <c r="K9" s="13"/>
    </row>
    <row r="10" spans="1:11" ht="15" customHeight="1" x14ac:dyDescent="0.2">
      <c r="A10" s="13"/>
      <c r="B10" s="13"/>
      <c r="C10" s="13"/>
      <c r="D10" s="13" t="s">
        <v>3167</v>
      </c>
      <c r="E10" s="13"/>
      <c r="F10" s="13"/>
      <c r="G10" s="13"/>
      <c r="H10" s="13"/>
      <c r="I10" s="13" t="s">
        <v>3175</v>
      </c>
      <c r="J10" s="9"/>
      <c r="K10" s="13"/>
    </row>
    <row r="11" spans="1:11" ht="15" customHeight="1" x14ac:dyDescent="0.2">
      <c r="A11" s="15"/>
      <c r="B11" s="15"/>
      <c r="C11" s="15"/>
      <c r="D11" s="15" t="s">
        <v>350</v>
      </c>
      <c r="E11" s="15"/>
      <c r="F11" s="15"/>
      <c r="G11" s="15"/>
      <c r="H11" s="15"/>
      <c r="I11" s="15" t="s">
        <v>3176</v>
      </c>
      <c r="J11" s="10"/>
      <c r="K11" s="15"/>
    </row>
    <row r="12" spans="1:11" ht="15" customHeight="1" x14ac:dyDescent="0.2">
      <c r="A12" s="13"/>
      <c r="B12" s="13"/>
      <c r="C12" s="13"/>
      <c r="D12" s="13" t="s">
        <v>3167</v>
      </c>
      <c r="E12" s="13"/>
      <c r="F12" s="13"/>
      <c r="G12" s="13"/>
      <c r="H12" s="13"/>
      <c r="I12" s="13" t="s">
        <v>3177</v>
      </c>
      <c r="J12" s="9"/>
      <c r="K12" s="13"/>
    </row>
    <row r="13" spans="1:11" ht="15" customHeight="1" x14ac:dyDescent="0.2">
      <c r="A13" s="13"/>
      <c r="B13" s="13"/>
      <c r="C13" s="13"/>
      <c r="D13" s="13" t="s">
        <v>3167</v>
      </c>
      <c r="E13" s="13"/>
      <c r="F13" s="13"/>
      <c r="G13" s="13"/>
      <c r="H13" s="13"/>
      <c r="I13" s="13" t="s">
        <v>3178</v>
      </c>
      <c r="J13" s="9"/>
      <c r="K13" s="13"/>
    </row>
    <row r="14" spans="1:11" ht="15" customHeight="1" x14ac:dyDescent="0.2">
      <c r="A14" s="13"/>
      <c r="B14" s="13"/>
      <c r="C14" s="13"/>
      <c r="D14" s="13" t="s">
        <v>3179</v>
      </c>
      <c r="E14" s="13"/>
      <c r="F14" s="13"/>
      <c r="G14" s="13"/>
      <c r="H14" s="13"/>
      <c r="I14" s="13"/>
      <c r="J14" s="9"/>
      <c r="K14" s="13"/>
    </row>
    <row r="15" spans="1:11" ht="15" customHeight="1" x14ac:dyDescent="0.2">
      <c r="A15" s="13"/>
      <c r="B15" s="13"/>
      <c r="C15" s="13"/>
      <c r="D15" s="13" t="s">
        <v>3179</v>
      </c>
      <c r="E15" s="13"/>
      <c r="F15" s="13"/>
      <c r="G15" s="13"/>
      <c r="H15" s="13"/>
      <c r="I15" s="13"/>
      <c r="J15" s="9"/>
      <c r="K15" s="13"/>
    </row>
    <row r="16" spans="1:11" ht="15" customHeight="1" x14ac:dyDescent="0.2">
      <c r="A16" s="13"/>
      <c r="B16" s="13"/>
      <c r="C16" s="13"/>
      <c r="D16" s="13" t="s">
        <v>3179</v>
      </c>
      <c r="E16" s="13"/>
      <c r="F16" s="13"/>
      <c r="G16" s="13"/>
      <c r="H16" s="13"/>
      <c r="I16" s="13"/>
      <c r="J16" s="9"/>
      <c r="K16" s="13"/>
    </row>
    <row r="17" spans="1:11" ht="15" customHeight="1" x14ac:dyDescent="0.2">
      <c r="A17" s="13"/>
      <c r="B17" s="13"/>
      <c r="C17" s="13"/>
      <c r="D17" s="13" t="s">
        <v>3167</v>
      </c>
      <c r="E17" s="13"/>
      <c r="F17" s="13"/>
      <c r="G17" s="13"/>
      <c r="H17" s="13"/>
      <c r="I17" s="13" t="s">
        <v>3180</v>
      </c>
      <c r="J17" s="9"/>
      <c r="K17" s="13"/>
    </row>
    <row r="18" spans="1:11" ht="15" customHeight="1" x14ac:dyDescent="0.2">
      <c r="A18" s="13"/>
      <c r="B18" s="13"/>
      <c r="C18" s="13"/>
      <c r="D18" s="13" t="s">
        <v>3167</v>
      </c>
      <c r="E18" s="13"/>
      <c r="F18" s="13"/>
      <c r="G18" s="13"/>
      <c r="H18" s="13"/>
      <c r="I18" s="13" t="s">
        <v>3181</v>
      </c>
      <c r="J18" s="9"/>
      <c r="K18" s="13"/>
    </row>
    <row r="19" spans="1:11" ht="15" customHeight="1" x14ac:dyDescent="0.2">
      <c r="A19" s="13"/>
      <c r="B19" s="13"/>
      <c r="C19" s="13"/>
      <c r="D19" s="13" t="s">
        <v>3167</v>
      </c>
      <c r="E19" s="13"/>
      <c r="F19" s="13"/>
      <c r="G19" s="13"/>
      <c r="H19" s="13"/>
      <c r="I19" s="13"/>
      <c r="J19" s="9"/>
      <c r="K19" s="13"/>
    </row>
    <row r="20" spans="1:11" ht="15" customHeight="1" x14ac:dyDescent="0.2">
      <c r="A20" s="13"/>
      <c r="B20" s="13"/>
      <c r="C20" s="13"/>
      <c r="D20" s="13" t="s">
        <v>3167</v>
      </c>
      <c r="E20" s="13"/>
      <c r="F20" s="13"/>
      <c r="G20" s="13"/>
      <c r="H20" s="13"/>
      <c r="I20" s="13" t="s">
        <v>3182</v>
      </c>
      <c r="J20" s="9"/>
      <c r="K20" s="13"/>
    </row>
    <row r="21" spans="1:11" ht="15" customHeight="1" x14ac:dyDescent="0.2">
      <c r="A21" s="15"/>
      <c r="B21" s="15"/>
      <c r="C21" s="15"/>
      <c r="D21" s="15" t="s">
        <v>3167</v>
      </c>
      <c r="E21" s="15"/>
      <c r="F21" s="15"/>
      <c r="G21" s="15"/>
      <c r="H21" s="15"/>
      <c r="I21" s="15" t="s">
        <v>3183</v>
      </c>
      <c r="J21" s="10"/>
      <c r="K21" s="15"/>
    </row>
    <row r="22" spans="1:11" ht="15" customHeight="1" x14ac:dyDescent="0.2">
      <c r="A22" s="13" t="s">
        <v>3184</v>
      </c>
      <c r="B22" s="13" t="s">
        <v>3184</v>
      </c>
      <c r="C22" s="13">
        <v>1980</v>
      </c>
      <c r="D22" s="13" t="s">
        <v>3185</v>
      </c>
      <c r="E22" s="13" t="s">
        <v>3185</v>
      </c>
      <c r="F22" s="13">
        <v>0</v>
      </c>
      <c r="G22" s="13"/>
      <c r="H22" s="13">
        <v>378162</v>
      </c>
      <c r="I22" s="13" t="s">
        <v>3186</v>
      </c>
      <c r="J22" s="9" t="s">
        <v>3187</v>
      </c>
      <c r="K22" s="13">
        <v>0</v>
      </c>
    </row>
    <row r="23" spans="1:11" ht="15" customHeight="1" x14ac:dyDescent="0.2">
      <c r="A23" s="13" t="s">
        <v>3188</v>
      </c>
      <c r="B23" s="13"/>
      <c r="C23" s="13">
        <v>1977</v>
      </c>
      <c r="D23" s="13" t="s">
        <v>3189</v>
      </c>
      <c r="E23" s="13" t="s">
        <v>3189</v>
      </c>
      <c r="F23" s="13"/>
      <c r="G23" s="13"/>
      <c r="H23" s="13"/>
      <c r="I23" s="13" t="s">
        <v>3190</v>
      </c>
      <c r="J23" s="9"/>
      <c r="K23" s="13"/>
    </row>
    <row r="24" spans="1:11" ht="15" customHeight="1" x14ac:dyDescent="0.2">
      <c r="A24" s="13" t="s">
        <v>3191</v>
      </c>
      <c r="B24" s="13"/>
      <c r="C24" s="13">
        <v>2021</v>
      </c>
      <c r="D24" s="13" t="s">
        <v>3192</v>
      </c>
      <c r="E24" s="13" t="s">
        <v>3192</v>
      </c>
      <c r="F24" s="13"/>
      <c r="G24" s="13"/>
      <c r="H24" s="13"/>
      <c r="I24" s="13" t="s">
        <v>3193</v>
      </c>
      <c r="J24" s="9"/>
      <c r="K24" s="13"/>
    </row>
    <row r="25" spans="1:11" ht="15" customHeight="1" x14ac:dyDescent="0.2">
      <c r="A25" s="13" t="s">
        <v>3194</v>
      </c>
      <c r="B25" s="13" t="s">
        <v>3194</v>
      </c>
      <c r="C25" s="13">
        <v>1972</v>
      </c>
      <c r="D25" s="13" t="s">
        <v>3185</v>
      </c>
      <c r="E25" s="13" t="s">
        <v>3185</v>
      </c>
      <c r="F25" s="13">
        <v>3.5</v>
      </c>
      <c r="G25" s="13" t="s">
        <v>86</v>
      </c>
      <c r="H25" s="13">
        <v>167980</v>
      </c>
      <c r="I25" s="13" t="s">
        <v>3195</v>
      </c>
      <c r="J25" s="9" t="s">
        <v>3196</v>
      </c>
      <c r="K25" s="13">
        <v>2</v>
      </c>
    </row>
    <row r="26" spans="1:11" ht="15" customHeight="1" x14ac:dyDescent="0.2">
      <c r="A26" s="13" t="s">
        <v>3197</v>
      </c>
      <c r="B26" s="13"/>
      <c r="C26" s="13">
        <v>1985</v>
      </c>
      <c r="D26" s="13" t="s">
        <v>3185</v>
      </c>
      <c r="E26" s="13" t="s">
        <v>3185</v>
      </c>
      <c r="F26" s="13"/>
      <c r="G26" s="13"/>
      <c r="H26" s="13"/>
      <c r="I26" s="13" t="s">
        <v>3198</v>
      </c>
      <c r="J26" s="9"/>
      <c r="K26" s="13"/>
    </row>
    <row r="27" spans="1:11" ht="15" customHeight="1" x14ac:dyDescent="0.2">
      <c r="A27" s="13" t="s">
        <v>3199</v>
      </c>
      <c r="B27" s="13" t="s">
        <v>3199</v>
      </c>
      <c r="C27" s="13">
        <v>1977</v>
      </c>
      <c r="D27" s="13" t="s">
        <v>3189</v>
      </c>
      <c r="E27" s="13" t="s">
        <v>3189</v>
      </c>
      <c r="F27" s="13">
        <v>0</v>
      </c>
      <c r="G27" s="13"/>
      <c r="H27" s="13">
        <v>419426</v>
      </c>
      <c r="I27" s="13" t="s">
        <v>3200</v>
      </c>
      <c r="J27" s="9" t="s">
        <v>3201</v>
      </c>
      <c r="K27" s="13">
        <v>0</v>
      </c>
    </row>
    <row r="28" spans="1:11" ht="15" customHeight="1" x14ac:dyDescent="0.2">
      <c r="A28" s="13" t="s">
        <v>3202</v>
      </c>
      <c r="B28" s="13" t="s">
        <v>3202</v>
      </c>
      <c r="C28" s="13">
        <v>1977</v>
      </c>
      <c r="D28" s="13" t="s">
        <v>3189</v>
      </c>
      <c r="E28" s="13" t="s">
        <v>3189</v>
      </c>
      <c r="F28" s="13">
        <v>0</v>
      </c>
      <c r="G28" s="13"/>
      <c r="H28" s="13">
        <v>932404</v>
      </c>
      <c r="I28" s="13" t="s">
        <v>3203</v>
      </c>
      <c r="J28" s="9" t="s">
        <v>3204</v>
      </c>
      <c r="K28" s="13">
        <v>0</v>
      </c>
    </row>
    <row r="29" spans="1:11" ht="15" customHeight="1" x14ac:dyDescent="0.2">
      <c r="A29" s="13" t="s">
        <v>3205</v>
      </c>
      <c r="B29" s="13" t="s">
        <v>3205</v>
      </c>
      <c r="C29" s="13">
        <v>1986</v>
      </c>
      <c r="D29" s="13" t="s">
        <v>3189</v>
      </c>
      <c r="E29" s="13" t="s">
        <v>3189</v>
      </c>
      <c r="F29" s="13">
        <v>0</v>
      </c>
      <c r="G29" s="13"/>
      <c r="H29" s="13">
        <v>638572</v>
      </c>
      <c r="I29" s="13" t="s">
        <v>3206</v>
      </c>
      <c r="J29" s="9" t="s">
        <v>3207</v>
      </c>
      <c r="K29" s="13">
        <v>0</v>
      </c>
    </row>
  </sheetData>
  <dataValidations count="1">
    <dataValidation type="list" allowBlank="1" showDropDown="1" showInputMessage="1" showErrorMessage="1" sqref="D2:D8 D10:D19 D21:D29 E22:E29 I2:I8 I10:I19 I21:I29" xr:uid="{00000000-0002-0000-0400-000000000000}">
      <formula1>#REF!</formula1>
      <formula2>0</formula2>
    </dataValidation>
  </dataValidations>
  <pageMargins left="0.74791666666666701" right="0.74791666666666701" top="0.98402777777777795" bottom="0.9840277777777779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Tabelle6">
    <outlinePr summaryBelow="0"/>
  </sheetPr>
  <dimension ref="A1:AC50"/>
  <sheetViews>
    <sheetView zoomScaleNormal="100" workbookViewId="0">
      <pane ySplit="1" topLeftCell="A38" activePane="bottomLeft" state="frozen"/>
      <selection pane="bottomLeft" activeCell="L1" sqref="L1"/>
    </sheetView>
  </sheetViews>
  <sheetFormatPr baseColWidth="10" defaultColWidth="12.5703125" defaultRowHeight="15" customHeight="1" x14ac:dyDescent="0.2"/>
  <cols>
    <col min="1" max="1" width="47.42578125" style="2" customWidth="1"/>
    <col min="2" max="2" width="18.5703125" style="2" customWidth="1"/>
    <col min="3" max="3" width="8.140625" style="2" customWidth="1"/>
    <col min="4" max="4" width="7" style="2" customWidth="1"/>
    <col min="5" max="5" width="11.42578125" style="2" customWidth="1"/>
    <col min="6" max="6" width="6.42578125" style="2" customWidth="1"/>
    <col min="7" max="7" width="11.42578125" style="2" customWidth="1"/>
    <col min="8" max="8" width="12.42578125" style="2" customWidth="1"/>
    <col min="9" max="9" width="44.7109375" style="2" customWidth="1"/>
    <col min="10" max="10" width="43" style="2" customWidth="1"/>
    <col min="11" max="12" width="18.5703125" style="2" customWidth="1"/>
    <col min="13" max="13" width="18.140625" style="2" customWidth="1"/>
    <col min="14" max="14" width="11.42578125" style="2" customWidth="1"/>
    <col min="15" max="15" width="24.5703125" style="2" customWidth="1"/>
    <col min="16" max="16" width="25.7109375" style="2" customWidth="1"/>
    <col min="17" max="21" width="11.42578125" style="2" customWidth="1"/>
    <col min="22" max="22" width="46.28515625" style="2" customWidth="1"/>
    <col min="23" max="23" width="106.7109375" style="2" customWidth="1"/>
    <col min="24" max="24" width="126.5703125" style="2" customWidth="1"/>
    <col min="25" max="25" width="8.140625" style="2" customWidth="1"/>
    <col min="26" max="26" width="32.140625" style="2" customWidth="1"/>
    <col min="27" max="27" width="16.42578125" style="2" customWidth="1"/>
    <col min="28" max="28" width="14.140625" style="2" customWidth="1"/>
    <col min="29" max="29" width="11.42578125" style="2" customWidth="1"/>
  </cols>
  <sheetData>
    <row r="1" spans="1:11" ht="16.5" customHeight="1" x14ac:dyDescent="0.2">
      <c r="A1" s="11" t="s">
        <v>0</v>
      </c>
      <c r="B1" s="11" t="s">
        <v>1</v>
      </c>
      <c r="C1" s="11" t="s">
        <v>2</v>
      </c>
      <c r="D1" s="11" t="s">
        <v>3</v>
      </c>
      <c r="E1" s="11" t="s">
        <v>4</v>
      </c>
      <c r="F1" s="11" t="s">
        <v>5</v>
      </c>
      <c r="G1" s="11" t="s">
        <v>6</v>
      </c>
      <c r="H1" s="11" t="s">
        <v>7</v>
      </c>
      <c r="I1" s="11" t="s">
        <v>8</v>
      </c>
      <c r="J1" s="11" t="s">
        <v>9</v>
      </c>
      <c r="K1" s="11" t="s">
        <v>10</v>
      </c>
    </row>
    <row r="2" spans="1:11" ht="15" customHeight="1" x14ac:dyDescent="0.2">
      <c r="A2" s="13" t="s">
        <v>3208</v>
      </c>
      <c r="B2" s="13"/>
      <c r="C2" s="13">
        <v>1974</v>
      </c>
      <c r="D2" s="13" t="s">
        <v>3167</v>
      </c>
      <c r="E2" s="13" t="s">
        <v>3209</v>
      </c>
      <c r="F2" s="13"/>
      <c r="G2" s="13"/>
      <c r="H2" s="13"/>
      <c r="I2" s="13" t="s">
        <v>3210</v>
      </c>
      <c r="J2" s="9" t="s">
        <v>3211</v>
      </c>
      <c r="K2" s="13"/>
    </row>
    <row r="3" spans="1:11" ht="15" customHeight="1" x14ac:dyDescent="0.2">
      <c r="A3" s="13" t="s">
        <v>3212</v>
      </c>
      <c r="B3" s="13"/>
      <c r="C3" s="13">
        <v>1991</v>
      </c>
      <c r="D3" s="13" t="s">
        <v>3167</v>
      </c>
      <c r="E3" s="13" t="s">
        <v>566</v>
      </c>
      <c r="F3" s="13"/>
      <c r="G3" s="13"/>
      <c r="H3" s="13"/>
      <c r="I3" s="13" t="s">
        <v>3213</v>
      </c>
      <c r="J3" s="9"/>
      <c r="K3" s="13"/>
    </row>
    <row r="4" spans="1:11" ht="15" customHeight="1" x14ac:dyDescent="0.2">
      <c r="A4" s="13" t="s">
        <v>3214</v>
      </c>
      <c r="B4" s="13"/>
      <c r="C4" s="13">
        <v>1991</v>
      </c>
      <c r="D4" s="13" t="s">
        <v>350</v>
      </c>
      <c r="E4" s="13" t="s">
        <v>3215</v>
      </c>
      <c r="F4" s="13"/>
      <c r="G4" s="13"/>
      <c r="H4" s="13"/>
      <c r="I4" s="13"/>
      <c r="J4" s="9"/>
      <c r="K4" s="13"/>
    </row>
    <row r="5" spans="1:11" ht="15" customHeight="1" x14ac:dyDescent="0.2">
      <c r="A5" s="13" t="s">
        <v>3216</v>
      </c>
      <c r="B5" s="13"/>
      <c r="C5" s="13">
        <v>1988</v>
      </c>
      <c r="D5" s="13" t="s">
        <v>3167</v>
      </c>
      <c r="E5" s="13" t="s">
        <v>3217</v>
      </c>
      <c r="F5" s="13"/>
      <c r="G5" s="13"/>
      <c r="H5" s="13"/>
      <c r="I5" s="13" t="s">
        <v>3218</v>
      </c>
      <c r="J5" s="9"/>
      <c r="K5" s="13"/>
    </row>
    <row r="6" spans="1:11" ht="15" customHeight="1" x14ac:dyDescent="0.2">
      <c r="A6" s="13" t="s">
        <v>3219</v>
      </c>
      <c r="B6" s="13"/>
      <c r="C6" s="13">
        <v>1985</v>
      </c>
      <c r="D6" s="13" t="s">
        <v>3167</v>
      </c>
      <c r="E6" s="13" t="s">
        <v>3209</v>
      </c>
      <c r="F6" s="13"/>
      <c r="G6" s="13"/>
      <c r="H6" s="13"/>
      <c r="I6" s="13" t="s">
        <v>3220</v>
      </c>
      <c r="J6" s="9"/>
      <c r="K6" s="13"/>
    </row>
    <row r="7" spans="1:11" ht="15" customHeight="1" x14ac:dyDescent="0.2">
      <c r="A7" s="13" t="s">
        <v>3221</v>
      </c>
      <c r="B7" s="13"/>
      <c r="C7" s="13">
        <v>1988</v>
      </c>
      <c r="D7" s="13" t="s">
        <v>3167</v>
      </c>
      <c r="E7" s="13" t="s">
        <v>3209</v>
      </c>
      <c r="F7" s="13"/>
      <c r="G7" s="13"/>
      <c r="H7" s="13"/>
      <c r="I7" s="13" t="s">
        <v>3222</v>
      </c>
      <c r="J7" s="9"/>
      <c r="K7" s="13"/>
    </row>
    <row r="8" spans="1:11" ht="15" customHeight="1" x14ac:dyDescent="0.2">
      <c r="A8" s="13" t="s">
        <v>3223</v>
      </c>
      <c r="B8" s="13" t="s">
        <v>3223</v>
      </c>
      <c r="C8" s="13">
        <v>1982</v>
      </c>
      <c r="D8" s="13" t="s">
        <v>3224</v>
      </c>
      <c r="E8" s="13" t="s">
        <v>2395</v>
      </c>
      <c r="F8" s="13">
        <v>1</v>
      </c>
      <c r="G8" s="13" t="s">
        <v>2087</v>
      </c>
      <c r="H8" s="13" t="s">
        <v>3225</v>
      </c>
      <c r="I8" s="13" t="s">
        <v>3226</v>
      </c>
      <c r="J8" s="9" t="s">
        <v>3227</v>
      </c>
      <c r="K8" s="13">
        <v>2</v>
      </c>
    </row>
    <row r="9" spans="1:11" ht="15" customHeight="1" x14ac:dyDescent="0.2">
      <c r="A9" s="13" t="s">
        <v>3228</v>
      </c>
      <c r="B9" s="13"/>
      <c r="C9" s="13">
        <v>1988</v>
      </c>
      <c r="D9" s="13" t="s">
        <v>3167</v>
      </c>
      <c r="E9" s="13" t="s">
        <v>566</v>
      </c>
      <c r="F9" s="13"/>
      <c r="G9" s="13"/>
      <c r="H9" s="13"/>
      <c r="I9" s="13" t="s">
        <v>3229</v>
      </c>
      <c r="J9" s="9"/>
      <c r="K9" s="13"/>
    </row>
    <row r="10" spans="1:11" ht="15" customHeight="1" x14ac:dyDescent="0.2">
      <c r="A10" s="13" t="s">
        <v>3230</v>
      </c>
      <c r="B10" s="13" t="s">
        <v>3231</v>
      </c>
      <c r="C10" s="13">
        <v>1981</v>
      </c>
      <c r="D10" s="13" t="s">
        <v>3224</v>
      </c>
      <c r="E10" s="13" t="s">
        <v>566</v>
      </c>
      <c r="F10" s="13">
        <v>0</v>
      </c>
      <c r="G10" s="13"/>
      <c r="H10" s="13" t="s">
        <v>3232</v>
      </c>
      <c r="I10" s="13" t="s">
        <v>3233</v>
      </c>
      <c r="J10" s="9"/>
      <c r="K10" s="13">
        <v>0</v>
      </c>
    </row>
    <row r="11" spans="1:11" ht="15" customHeight="1" x14ac:dyDescent="0.2">
      <c r="A11" s="15" t="s">
        <v>3234</v>
      </c>
      <c r="B11" s="15" t="s">
        <v>3234</v>
      </c>
      <c r="C11" s="15">
        <v>1966</v>
      </c>
      <c r="D11" s="15" t="s">
        <v>3167</v>
      </c>
      <c r="E11" s="15" t="s">
        <v>3235</v>
      </c>
      <c r="F11" s="15">
        <v>8</v>
      </c>
      <c r="G11" s="15"/>
      <c r="H11" s="15" t="s">
        <v>3236</v>
      </c>
      <c r="I11" s="15" t="s">
        <v>3237</v>
      </c>
      <c r="J11" s="10"/>
      <c r="K11" s="15">
        <v>1</v>
      </c>
    </row>
    <row r="12" spans="1:11" ht="15" customHeight="1" x14ac:dyDescent="0.2">
      <c r="A12" s="13" t="s">
        <v>3238</v>
      </c>
      <c r="B12" s="13" t="s">
        <v>3238</v>
      </c>
      <c r="C12" s="13">
        <v>1975</v>
      </c>
      <c r="D12" s="13" t="s">
        <v>3167</v>
      </c>
      <c r="E12" s="13" t="s">
        <v>566</v>
      </c>
      <c r="F12" s="13">
        <v>0</v>
      </c>
      <c r="G12" s="13"/>
      <c r="H12" s="13" t="s">
        <v>3239</v>
      </c>
      <c r="I12" s="13" t="s">
        <v>3240</v>
      </c>
      <c r="J12" s="9"/>
      <c r="K12" s="13">
        <v>0</v>
      </c>
    </row>
    <row r="13" spans="1:11" ht="15" customHeight="1" x14ac:dyDescent="0.2">
      <c r="A13" s="13" t="s">
        <v>3241</v>
      </c>
      <c r="B13" s="13"/>
      <c r="C13" s="13">
        <v>1976</v>
      </c>
      <c r="D13" s="13" t="s">
        <v>3167</v>
      </c>
      <c r="E13" s="13" t="s">
        <v>566</v>
      </c>
      <c r="F13" s="13"/>
      <c r="G13" s="13"/>
      <c r="H13" s="13"/>
      <c r="I13" s="13" t="s">
        <v>3242</v>
      </c>
      <c r="J13" s="9"/>
      <c r="K13" s="13"/>
    </row>
    <row r="14" spans="1:11" ht="15" customHeight="1" x14ac:dyDescent="0.2">
      <c r="A14" s="13" t="s">
        <v>3243</v>
      </c>
      <c r="B14" s="13" t="s">
        <v>3243</v>
      </c>
      <c r="C14" s="13">
        <v>1998</v>
      </c>
      <c r="D14" s="13" t="s">
        <v>350</v>
      </c>
      <c r="E14" s="13" t="s">
        <v>84</v>
      </c>
      <c r="F14" s="13">
        <v>0</v>
      </c>
      <c r="G14" s="13"/>
      <c r="H14" s="13" t="s">
        <v>3244</v>
      </c>
      <c r="I14" s="13" t="s">
        <v>3245</v>
      </c>
      <c r="J14" s="9" t="s">
        <v>3246</v>
      </c>
      <c r="K14" s="13">
        <v>0</v>
      </c>
    </row>
    <row r="15" spans="1:11" ht="15" customHeight="1" x14ac:dyDescent="0.2">
      <c r="A15" s="13" t="s">
        <v>3247</v>
      </c>
      <c r="B15" s="13" t="s">
        <v>3247</v>
      </c>
      <c r="C15" s="13">
        <v>1974</v>
      </c>
      <c r="D15" s="13" t="s">
        <v>3167</v>
      </c>
      <c r="E15" s="13" t="s">
        <v>566</v>
      </c>
      <c r="F15" s="13">
        <v>0</v>
      </c>
      <c r="G15" s="13"/>
      <c r="H15" s="13" t="s">
        <v>3248</v>
      </c>
      <c r="I15" s="13" t="s">
        <v>3249</v>
      </c>
      <c r="J15" s="9" t="s">
        <v>3250</v>
      </c>
      <c r="K15" s="13">
        <v>0</v>
      </c>
    </row>
    <row r="16" spans="1:11" ht="15" customHeight="1" x14ac:dyDescent="0.2">
      <c r="A16" s="13" t="s">
        <v>3251</v>
      </c>
      <c r="B16" s="13"/>
      <c r="C16" s="13">
        <v>1989</v>
      </c>
      <c r="D16" s="13" t="s">
        <v>350</v>
      </c>
      <c r="E16" s="13" t="s">
        <v>3209</v>
      </c>
      <c r="F16" s="13"/>
      <c r="G16" s="13"/>
      <c r="H16" s="13"/>
      <c r="I16" s="13" t="s">
        <v>3252</v>
      </c>
      <c r="J16" s="9"/>
      <c r="K16" s="13"/>
    </row>
    <row r="17" spans="1:11" ht="15" customHeight="1" x14ac:dyDescent="0.2">
      <c r="A17" s="13" t="s">
        <v>3253</v>
      </c>
      <c r="B17" s="13"/>
      <c r="C17" s="13">
        <v>1979</v>
      </c>
      <c r="D17" s="13" t="s">
        <v>3167</v>
      </c>
      <c r="E17" s="13" t="s">
        <v>3254</v>
      </c>
      <c r="F17" s="13"/>
      <c r="G17" s="13"/>
      <c r="H17" s="13"/>
      <c r="I17" s="13" t="s">
        <v>3255</v>
      </c>
      <c r="J17" s="9"/>
      <c r="K17" s="13"/>
    </row>
    <row r="18" spans="1:11" ht="15" customHeight="1" x14ac:dyDescent="0.2">
      <c r="A18" s="13" t="s">
        <v>3256</v>
      </c>
      <c r="B18" s="13"/>
      <c r="C18" s="13">
        <v>1991</v>
      </c>
      <c r="D18" s="13" t="s">
        <v>3257</v>
      </c>
      <c r="E18" s="13" t="s">
        <v>3258</v>
      </c>
      <c r="F18" s="13"/>
      <c r="G18" s="13"/>
      <c r="H18" s="13"/>
      <c r="I18" s="13" t="s">
        <v>3259</v>
      </c>
      <c r="J18" s="9"/>
      <c r="K18" s="13"/>
    </row>
    <row r="19" spans="1:11" ht="15" customHeight="1" x14ac:dyDescent="0.2">
      <c r="A19" s="13" t="s">
        <v>3260</v>
      </c>
      <c r="B19" s="13"/>
      <c r="C19" s="13">
        <v>1979</v>
      </c>
      <c r="D19" s="13" t="s">
        <v>3167</v>
      </c>
      <c r="E19" s="13" t="s">
        <v>3209</v>
      </c>
      <c r="F19" s="13"/>
      <c r="G19" s="13"/>
      <c r="H19" s="13"/>
      <c r="I19" s="13" t="s">
        <v>3261</v>
      </c>
      <c r="J19" s="9"/>
      <c r="K19" s="13"/>
    </row>
    <row r="20" spans="1:11" ht="15" customHeight="1" x14ac:dyDescent="0.2">
      <c r="A20" s="13" t="s">
        <v>3262</v>
      </c>
      <c r="B20" s="13"/>
      <c r="C20" s="13">
        <v>1978</v>
      </c>
      <c r="D20" s="13" t="s">
        <v>3167</v>
      </c>
      <c r="E20" s="13" t="s">
        <v>566</v>
      </c>
      <c r="F20" s="13"/>
      <c r="G20" s="13"/>
      <c r="H20" s="13"/>
      <c r="I20" s="13" t="s">
        <v>3263</v>
      </c>
      <c r="J20" s="9"/>
      <c r="K20" s="13"/>
    </row>
    <row r="21" spans="1:11" ht="15" customHeight="1" x14ac:dyDescent="0.2">
      <c r="A21" s="15" t="s">
        <v>3264</v>
      </c>
      <c r="B21" s="15" t="s">
        <v>3264</v>
      </c>
      <c r="C21" s="15">
        <v>1983</v>
      </c>
      <c r="D21" s="15" t="s">
        <v>3167</v>
      </c>
      <c r="E21" s="15" t="s">
        <v>566</v>
      </c>
      <c r="F21" s="15"/>
      <c r="G21" s="15"/>
      <c r="H21" s="15" t="s">
        <v>3265</v>
      </c>
      <c r="I21" s="15" t="s">
        <v>3266</v>
      </c>
      <c r="J21" s="10"/>
      <c r="K21" s="15"/>
    </row>
    <row r="22" spans="1:11" ht="15" customHeight="1" x14ac:dyDescent="0.2">
      <c r="A22" s="13" t="s">
        <v>3267</v>
      </c>
      <c r="B22" s="13"/>
      <c r="C22" s="13">
        <v>1989</v>
      </c>
      <c r="D22" s="13" t="s">
        <v>3167</v>
      </c>
      <c r="E22" s="13" t="s">
        <v>3209</v>
      </c>
      <c r="F22" s="13"/>
      <c r="G22" s="13"/>
      <c r="H22" s="13"/>
      <c r="I22" s="13" t="s">
        <v>3268</v>
      </c>
      <c r="J22" s="9"/>
      <c r="K22" s="13"/>
    </row>
    <row r="23" spans="1:11" ht="15" customHeight="1" x14ac:dyDescent="0.2">
      <c r="A23" s="13" t="s">
        <v>3269</v>
      </c>
      <c r="B23" s="13"/>
      <c r="C23" s="13">
        <v>1984</v>
      </c>
      <c r="D23" s="13" t="s">
        <v>3167</v>
      </c>
      <c r="E23" s="13" t="s">
        <v>566</v>
      </c>
      <c r="F23" s="13"/>
      <c r="G23" s="13"/>
      <c r="H23" s="13"/>
      <c r="I23" s="13" t="s">
        <v>3270</v>
      </c>
      <c r="J23" s="9"/>
      <c r="K23" s="13"/>
    </row>
    <row r="24" spans="1:11" ht="15" customHeight="1" x14ac:dyDescent="0.2">
      <c r="A24" s="13" t="s">
        <v>3271</v>
      </c>
      <c r="B24" s="13"/>
      <c r="C24" s="13">
        <v>1991</v>
      </c>
      <c r="D24" s="13" t="s">
        <v>3167</v>
      </c>
      <c r="E24" s="13" t="s">
        <v>3209</v>
      </c>
      <c r="F24" s="13"/>
      <c r="G24" s="13"/>
      <c r="H24" s="13"/>
      <c r="I24" s="13" t="s">
        <v>3272</v>
      </c>
      <c r="J24" s="9"/>
      <c r="K24" s="13"/>
    </row>
    <row r="25" spans="1:11" ht="15" customHeight="1" x14ac:dyDescent="0.2">
      <c r="A25" s="13" t="s">
        <v>3273</v>
      </c>
      <c r="B25" s="13" t="s">
        <v>3273</v>
      </c>
      <c r="C25" s="13">
        <v>1975</v>
      </c>
      <c r="D25" s="13" t="s">
        <v>3224</v>
      </c>
      <c r="E25" s="13" t="s">
        <v>3274</v>
      </c>
      <c r="F25" s="13">
        <v>5.5</v>
      </c>
      <c r="G25" s="13" t="s">
        <v>46</v>
      </c>
      <c r="H25" s="13" t="s">
        <v>3275</v>
      </c>
      <c r="I25" s="13" t="s">
        <v>3276</v>
      </c>
      <c r="J25" s="9" t="s">
        <v>3277</v>
      </c>
      <c r="K25" s="13">
        <v>2</v>
      </c>
    </row>
    <row r="26" spans="1:11" ht="15" customHeight="1" x14ac:dyDescent="0.2">
      <c r="A26" s="13" t="s">
        <v>3278</v>
      </c>
      <c r="B26" s="13" t="s">
        <v>3278</v>
      </c>
      <c r="C26" s="13">
        <v>1990</v>
      </c>
      <c r="D26" s="13" t="s">
        <v>3167</v>
      </c>
      <c r="E26" s="13" t="s">
        <v>84</v>
      </c>
      <c r="F26" s="13"/>
      <c r="G26" s="13"/>
      <c r="H26" s="13" t="s">
        <v>3279</v>
      </c>
      <c r="I26" s="13" t="s">
        <v>3280</v>
      </c>
      <c r="J26" s="9"/>
      <c r="K26" s="13"/>
    </row>
    <row r="27" spans="1:11" ht="15" customHeight="1" x14ac:dyDescent="0.2">
      <c r="A27" s="13" t="s">
        <v>3281</v>
      </c>
      <c r="B27" s="13" t="s">
        <v>3282</v>
      </c>
      <c r="C27" s="13">
        <v>1919</v>
      </c>
      <c r="D27" s="13" t="s">
        <v>530</v>
      </c>
      <c r="E27" s="13" t="s">
        <v>566</v>
      </c>
      <c r="F27" s="13"/>
      <c r="G27" s="13"/>
      <c r="H27" s="13" t="s">
        <v>3283</v>
      </c>
      <c r="I27" s="13" t="s">
        <v>3284</v>
      </c>
      <c r="J27" s="9"/>
      <c r="K27" s="13"/>
    </row>
    <row r="28" spans="1:11" ht="15" customHeight="1" x14ac:dyDescent="0.2">
      <c r="A28" s="13" t="s">
        <v>3285</v>
      </c>
      <c r="B28" s="13"/>
      <c r="C28" s="13">
        <v>1981</v>
      </c>
      <c r="D28" s="13" t="s">
        <v>3167</v>
      </c>
      <c r="E28" s="13" t="s">
        <v>566</v>
      </c>
      <c r="F28" s="13"/>
      <c r="G28" s="13"/>
      <c r="H28" s="13"/>
      <c r="I28" s="13" t="s">
        <v>3286</v>
      </c>
      <c r="J28" s="9"/>
      <c r="K28" s="13"/>
    </row>
    <row r="29" spans="1:11" ht="15" customHeight="1" x14ac:dyDescent="0.2">
      <c r="A29" s="13" t="s">
        <v>3287</v>
      </c>
      <c r="B29" s="13"/>
      <c r="C29" s="13">
        <v>1981</v>
      </c>
      <c r="D29" s="13" t="s">
        <v>3167</v>
      </c>
      <c r="E29" s="13" t="s">
        <v>3209</v>
      </c>
      <c r="F29" s="13"/>
      <c r="G29" s="13"/>
      <c r="H29" s="13"/>
      <c r="I29" s="13" t="s">
        <v>3288</v>
      </c>
      <c r="J29" s="9"/>
      <c r="K29" s="13"/>
    </row>
    <row r="30" spans="1:11" ht="15" customHeight="1" x14ac:dyDescent="0.2">
      <c r="A30" s="13" t="s">
        <v>3289</v>
      </c>
      <c r="B30" s="13" t="s">
        <v>3290</v>
      </c>
      <c r="C30" s="13">
        <v>1989</v>
      </c>
      <c r="D30" s="13" t="s">
        <v>3167</v>
      </c>
      <c r="E30" s="13" t="s">
        <v>3291</v>
      </c>
      <c r="F30" s="13">
        <v>6.1</v>
      </c>
      <c r="G30" s="13" t="s">
        <v>46</v>
      </c>
      <c r="H30" s="13" t="s">
        <v>3292</v>
      </c>
      <c r="I30" s="13" t="s">
        <v>3293</v>
      </c>
      <c r="J30" s="9"/>
      <c r="K30" s="13">
        <v>6</v>
      </c>
    </row>
    <row r="31" spans="1:11" ht="15" customHeight="1" x14ac:dyDescent="0.2">
      <c r="A31" s="15" t="s">
        <v>3294</v>
      </c>
      <c r="B31" s="15"/>
      <c r="C31" s="15">
        <v>1987</v>
      </c>
      <c r="D31" s="15" t="s">
        <v>3167</v>
      </c>
      <c r="E31" s="15" t="s">
        <v>3295</v>
      </c>
      <c r="F31" s="15"/>
      <c r="G31" s="15"/>
      <c r="H31" s="15"/>
      <c r="I31" s="15" t="s">
        <v>3296</v>
      </c>
      <c r="J31" s="10"/>
      <c r="K31" s="15"/>
    </row>
    <row r="32" spans="1:11" ht="15" customHeight="1" x14ac:dyDescent="0.2">
      <c r="A32" s="13" t="s">
        <v>3297</v>
      </c>
      <c r="B32" s="13" t="s">
        <v>3297</v>
      </c>
      <c r="C32" s="13">
        <v>1989</v>
      </c>
      <c r="D32" s="13" t="s">
        <v>3167</v>
      </c>
      <c r="E32" s="13" t="s">
        <v>1270</v>
      </c>
      <c r="F32" s="13">
        <v>5.9</v>
      </c>
      <c r="G32" s="13"/>
      <c r="H32" s="13" t="s">
        <v>3298</v>
      </c>
      <c r="I32" s="13" t="s">
        <v>3299</v>
      </c>
      <c r="J32" s="9"/>
      <c r="K32" s="13">
        <v>14</v>
      </c>
    </row>
    <row r="33" spans="1:11" ht="15" customHeight="1" x14ac:dyDescent="0.2">
      <c r="A33" s="13" t="s">
        <v>3300</v>
      </c>
      <c r="B33" s="13"/>
      <c r="C33" s="13">
        <v>1987</v>
      </c>
      <c r="D33" s="13" t="s">
        <v>3167</v>
      </c>
      <c r="E33" s="13" t="s">
        <v>3209</v>
      </c>
      <c r="F33" s="13"/>
      <c r="G33" s="13"/>
      <c r="H33" s="13"/>
      <c r="I33" s="13" t="s">
        <v>3301</v>
      </c>
      <c r="J33" s="9"/>
      <c r="K33" s="13"/>
    </row>
    <row r="34" spans="1:11" ht="15" customHeight="1" x14ac:dyDescent="0.2">
      <c r="A34" s="13" t="s">
        <v>3302</v>
      </c>
      <c r="B34" s="13" t="s">
        <v>3303</v>
      </c>
      <c r="C34" s="13">
        <v>1961</v>
      </c>
      <c r="D34" s="13" t="s">
        <v>1163</v>
      </c>
      <c r="E34" s="13" t="s">
        <v>399</v>
      </c>
      <c r="F34" s="13">
        <v>0</v>
      </c>
      <c r="G34" s="13"/>
      <c r="H34" s="13" t="s">
        <v>3304</v>
      </c>
      <c r="I34" s="13" t="s">
        <v>3305</v>
      </c>
      <c r="J34" s="9" t="s">
        <v>3306</v>
      </c>
      <c r="K34" s="13">
        <v>0</v>
      </c>
    </row>
    <row r="35" spans="1:11" ht="15" customHeight="1" x14ac:dyDescent="0.2">
      <c r="A35" s="13" t="s">
        <v>3307</v>
      </c>
      <c r="B35" s="13"/>
      <c r="C35" s="13">
        <v>1983</v>
      </c>
      <c r="D35" s="13" t="s">
        <v>3167</v>
      </c>
      <c r="E35" s="13" t="s">
        <v>3209</v>
      </c>
      <c r="F35" s="13"/>
      <c r="G35" s="13"/>
      <c r="H35" s="13"/>
      <c r="I35" s="13" t="s">
        <v>3308</v>
      </c>
      <c r="J35" s="9"/>
      <c r="K35" s="13"/>
    </row>
    <row r="36" spans="1:11" ht="15" customHeight="1" x14ac:dyDescent="0.2">
      <c r="A36" s="13" t="s">
        <v>3309</v>
      </c>
      <c r="B36" s="13" t="s">
        <v>3310</v>
      </c>
      <c r="C36" s="13">
        <v>1991</v>
      </c>
      <c r="D36" s="13" t="s">
        <v>530</v>
      </c>
      <c r="E36" s="13" t="s">
        <v>946</v>
      </c>
      <c r="F36" s="13"/>
      <c r="G36" s="13"/>
      <c r="H36" s="13" t="s">
        <v>3311</v>
      </c>
      <c r="I36" s="13" t="s">
        <v>3312</v>
      </c>
      <c r="J36" s="9"/>
      <c r="K36" s="13"/>
    </row>
    <row r="37" spans="1:11" ht="15" customHeight="1" x14ac:dyDescent="0.2">
      <c r="A37" s="13" t="s">
        <v>3313</v>
      </c>
      <c r="B37" s="13"/>
      <c r="C37" s="13">
        <v>1984</v>
      </c>
      <c r="D37" s="13" t="s">
        <v>3167</v>
      </c>
      <c r="E37" s="13" t="s">
        <v>1270</v>
      </c>
      <c r="F37" s="13"/>
      <c r="G37" s="13"/>
      <c r="H37" s="13"/>
      <c r="I37" s="13" t="s">
        <v>3314</v>
      </c>
      <c r="J37" s="9"/>
      <c r="K37" s="13"/>
    </row>
    <row r="38" spans="1:11" ht="15" customHeight="1" x14ac:dyDescent="0.2">
      <c r="A38" s="13" t="s">
        <v>3315</v>
      </c>
      <c r="B38" s="13"/>
      <c r="C38" s="13">
        <v>1991</v>
      </c>
      <c r="D38" s="13" t="s">
        <v>3167</v>
      </c>
      <c r="E38" s="13" t="s">
        <v>3209</v>
      </c>
      <c r="F38" s="13"/>
      <c r="G38" s="13"/>
      <c r="H38" s="13"/>
      <c r="I38" s="13" t="s">
        <v>3316</v>
      </c>
      <c r="J38" s="9" t="s">
        <v>3317</v>
      </c>
      <c r="K38" s="13"/>
    </row>
    <row r="39" spans="1:11" ht="15" customHeight="1" x14ac:dyDescent="0.2">
      <c r="A39" s="13" t="s">
        <v>3318</v>
      </c>
      <c r="B39" s="13" t="s">
        <v>3318</v>
      </c>
      <c r="C39" s="13">
        <v>1984</v>
      </c>
      <c r="D39" s="13" t="s">
        <v>3167</v>
      </c>
      <c r="E39" s="13" t="s">
        <v>566</v>
      </c>
      <c r="F39" s="13"/>
      <c r="G39" s="13"/>
      <c r="H39" s="13" t="s">
        <v>3319</v>
      </c>
      <c r="I39" s="13" t="s">
        <v>3320</v>
      </c>
      <c r="J39" s="9"/>
      <c r="K39" s="13"/>
    </row>
    <row r="40" spans="1:11" ht="15" customHeight="1" x14ac:dyDescent="0.2">
      <c r="A40" s="13" t="s">
        <v>3321</v>
      </c>
      <c r="B40" s="13"/>
      <c r="C40" s="13">
        <v>1978</v>
      </c>
      <c r="D40" s="13" t="s">
        <v>3167</v>
      </c>
      <c r="E40" s="13" t="s">
        <v>3209</v>
      </c>
      <c r="F40" s="13"/>
      <c r="G40" s="13"/>
      <c r="H40" s="13"/>
      <c r="I40" s="13" t="s">
        <v>3322</v>
      </c>
      <c r="J40" s="9"/>
      <c r="K40" s="13"/>
    </row>
    <row r="41" spans="1:11" ht="15" customHeight="1" x14ac:dyDescent="0.2">
      <c r="A41" s="15" t="s">
        <v>3323</v>
      </c>
      <c r="B41" s="15"/>
      <c r="C41" s="15">
        <v>1989</v>
      </c>
      <c r="D41" s="15" t="s">
        <v>3167</v>
      </c>
      <c r="E41" s="15" t="s">
        <v>3209</v>
      </c>
      <c r="F41" s="15"/>
      <c r="G41" s="15"/>
      <c r="H41" s="15"/>
      <c r="I41" s="15" t="s">
        <v>3324</v>
      </c>
      <c r="J41" s="10"/>
      <c r="K41" s="15"/>
    </row>
    <row r="42" spans="1:11" ht="15" customHeight="1" x14ac:dyDescent="0.2">
      <c r="A42" s="13" t="s">
        <v>3325</v>
      </c>
      <c r="B42" s="13" t="s">
        <v>3326</v>
      </c>
      <c r="C42" s="13">
        <v>1990</v>
      </c>
      <c r="D42" s="13" t="s">
        <v>1163</v>
      </c>
      <c r="E42" s="13" t="s">
        <v>399</v>
      </c>
      <c r="F42" s="13">
        <v>0</v>
      </c>
      <c r="G42" s="13"/>
      <c r="H42" s="13" t="s">
        <v>3327</v>
      </c>
      <c r="I42" s="13" t="s">
        <v>3328</v>
      </c>
      <c r="J42" s="9" t="s">
        <v>3329</v>
      </c>
      <c r="K42" s="13">
        <v>0</v>
      </c>
    </row>
    <row r="43" spans="1:11" ht="15" customHeight="1" x14ac:dyDescent="0.2">
      <c r="A43" s="13" t="s">
        <v>3330</v>
      </c>
      <c r="B43" s="13"/>
      <c r="C43" s="13">
        <v>1990</v>
      </c>
      <c r="D43" s="13" t="s">
        <v>3167</v>
      </c>
      <c r="E43" s="13" t="s">
        <v>3295</v>
      </c>
      <c r="F43" s="13"/>
      <c r="G43" s="13"/>
      <c r="H43" s="13"/>
      <c r="I43" s="13" t="s">
        <v>3331</v>
      </c>
      <c r="J43" s="9"/>
      <c r="K43" s="13"/>
    </row>
    <row r="44" spans="1:11" ht="15" customHeight="1" x14ac:dyDescent="0.2">
      <c r="A44" s="13" t="s">
        <v>3332</v>
      </c>
      <c r="B44" s="13"/>
      <c r="C44" s="13">
        <v>1988</v>
      </c>
      <c r="D44" s="13" t="s">
        <v>3167</v>
      </c>
      <c r="E44" s="13" t="s">
        <v>3209</v>
      </c>
      <c r="F44" s="13"/>
      <c r="G44" s="13"/>
      <c r="H44" s="13"/>
      <c r="I44" s="13" t="s">
        <v>3333</v>
      </c>
      <c r="J44" s="9"/>
      <c r="K44" s="13"/>
    </row>
    <row r="45" spans="1:11" ht="15" customHeight="1" x14ac:dyDescent="0.2">
      <c r="A45" s="13" t="s">
        <v>3334</v>
      </c>
      <c r="B45" s="13"/>
      <c r="C45" s="13">
        <v>1989</v>
      </c>
      <c r="D45" s="13" t="s">
        <v>3167</v>
      </c>
      <c r="E45" s="13" t="s">
        <v>566</v>
      </c>
      <c r="F45" s="13"/>
      <c r="G45" s="13"/>
      <c r="H45" s="13"/>
      <c r="I45" s="13" t="s">
        <v>3335</v>
      </c>
      <c r="J45" s="9"/>
      <c r="K45" s="13"/>
    </row>
    <row r="46" spans="1:11" ht="15" customHeight="1" x14ac:dyDescent="0.2">
      <c r="A46" s="13" t="s">
        <v>3336</v>
      </c>
      <c r="B46" s="13"/>
      <c r="C46" s="13">
        <v>1986</v>
      </c>
      <c r="D46" s="13" t="s">
        <v>3167</v>
      </c>
      <c r="E46" s="13" t="s">
        <v>566</v>
      </c>
      <c r="F46" s="13"/>
      <c r="G46" s="13"/>
      <c r="H46" s="13"/>
      <c r="I46" s="13" t="s">
        <v>3337</v>
      </c>
      <c r="J46" s="9"/>
      <c r="K46" s="13"/>
    </row>
    <row r="47" spans="1:11" ht="15" customHeight="1" x14ac:dyDescent="0.2">
      <c r="A47" s="13" t="s">
        <v>3338</v>
      </c>
      <c r="B47" s="13" t="s">
        <v>3338</v>
      </c>
      <c r="C47" s="13">
        <v>1984</v>
      </c>
      <c r="D47" s="13" t="s">
        <v>3167</v>
      </c>
      <c r="E47" s="13" t="s">
        <v>566</v>
      </c>
      <c r="F47" s="13">
        <v>4.2</v>
      </c>
      <c r="G47" s="13"/>
      <c r="H47" s="13" t="s">
        <v>3339</v>
      </c>
      <c r="I47" s="13" t="s">
        <v>3340</v>
      </c>
      <c r="J47" s="9" t="s">
        <v>3341</v>
      </c>
      <c r="K47" s="13">
        <v>33</v>
      </c>
    </row>
    <row r="48" spans="1:11" ht="15" customHeight="1" x14ac:dyDescent="0.2">
      <c r="A48" s="13" t="s">
        <v>3342</v>
      </c>
      <c r="B48" s="13"/>
      <c r="C48" s="13">
        <v>1968</v>
      </c>
      <c r="D48" s="13" t="s">
        <v>3167</v>
      </c>
      <c r="E48" s="13" t="s">
        <v>566</v>
      </c>
      <c r="F48" s="13"/>
      <c r="G48" s="13"/>
      <c r="H48" s="13"/>
      <c r="I48" s="13" t="s">
        <v>3343</v>
      </c>
      <c r="J48" s="9"/>
      <c r="K48" s="13"/>
    </row>
    <row r="49" spans="1:11" ht="15" customHeight="1" x14ac:dyDescent="0.2">
      <c r="A49" s="13" t="s">
        <v>3344</v>
      </c>
      <c r="B49" s="13" t="s">
        <v>3344</v>
      </c>
      <c r="C49" s="13">
        <v>1985</v>
      </c>
      <c r="D49" s="13" t="s">
        <v>939</v>
      </c>
      <c r="E49" s="13" t="s">
        <v>3345</v>
      </c>
      <c r="F49" s="13">
        <v>5.3</v>
      </c>
      <c r="G49" s="13" t="s">
        <v>28</v>
      </c>
      <c r="H49" s="13" t="s">
        <v>3346</v>
      </c>
      <c r="I49" s="13" t="s">
        <v>3347</v>
      </c>
      <c r="J49" s="9" t="s">
        <v>3348</v>
      </c>
      <c r="K49" s="13">
        <v>11</v>
      </c>
    </row>
    <row r="50" spans="1:11" ht="15" customHeight="1" x14ac:dyDescent="0.2">
      <c r="A50" s="13" t="s">
        <v>3349</v>
      </c>
      <c r="B50" s="13" t="s">
        <v>3350</v>
      </c>
      <c r="C50" s="13">
        <v>1976</v>
      </c>
      <c r="D50" s="13" t="s">
        <v>3167</v>
      </c>
      <c r="E50" s="13" t="s">
        <v>3351</v>
      </c>
      <c r="F50" s="13">
        <v>6.508</v>
      </c>
      <c r="G50" s="13" t="s">
        <v>18</v>
      </c>
      <c r="H50" s="13" t="s">
        <v>3352</v>
      </c>
      <c r="I50" s="13" t="s">
        <v>3353</v>
      </c>
      <c r="J50" s="9" t="s">
        <v>3354</v>
      </c>
      <c r="K50" s="13">
        <v>260</v>
      </c>
    </row>
  </sheetData>
  <dataValidations count="1">
    <dataValidation type="list" allowBlank="1" showDropDown="1" showInputMessage="1" showErrorMessage="1" sqref="D2:D8 D10:D19 D21:D29 D31:D38 D40:D48 D50 I2:I8 I10:I19 I21:I29 I31:I38 I40:I48 I50" xr:uid="{00000000-0002-0000-0500-000000000000}">
      <formula1>#REF!</formula1>
      <formula2>0</formula2>
    </dataValidation>
  </dataValidations>
  <pageMargins left="0.74791666666666701" right="0.74791666666666701" top="0.98402777777777795" bottom="0.9840277777777779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Tabelle7">
    <outlinePr summaryBelow="0"/>
  </sheetPr>
  <dimension ref="A1:AC270"/>
  <sheetViews>
    <sheetView zoomScaleNormal="100" workbookViewId="0">
      <pane ySplit="1" topLeftCell="A258" activePane="bottomLeft" state="frozen"/>
      <selection pane="bottomLeft" activeCell="L1" sqref="L1"/>
    </sheetView>
  </sheetViews>
  <sheetFormatPr baseColWidth="10" defaultColWidth="12.5703125" defaultRowHeight="15" customHeight="1" x14ac:dyDescent="0.2"/>
  <cols>
    <col min="1" max="1" width="47.42578125" style="2" customWidth="1"/>
    <col min="2" max="2" width="18.5703125" style="2" customWidth="1"/>
    <col min="3" max="3" width="8.140625" style="3" customWidth="1"/>
    <col min="4" max="4" width="7" style="2" customWidth="1"/>
    <col min="5" max="5" width="11.42578125" style="2" customWidth="1"/>
    <col min="6" max="6" width="6.42578125" style="2" customWidth="1"/>
    <col min="7" max="7" width="11.42578125" style="2" customWidth="1"/>
    <col min="8" max="8" width="12.5703125" style="2" customWidth="1"/>
    <col min="9" max="9" width="44.7109375" style="2" customWidth="1"/>
    <col min="10" max="10" width="43" style="2" customWidth="1"/>
    <col min="11" max="12" width="18.5703125" style="2" customWidth="1"/>
    <col min="13" max="13" width="18.140625" style="2" customWidth="1"/>
    <col min="14" max="14" width="11.42578125" style="2" customWidth="1"/>
    <col min="15" max="15" width="24.5703125" style="2" customWidth="1"/>
    <col min="16" max="16" width="25.7109375" style="2" customWidth="1"/>
    <col min="17" max="21" width="11.42578125" style="2" customWidth="1"/>
    <col min="22" max="22" width="46.28515625" style="2" customWidth="1"/>
    <col min="23" max="23" width="106.7109375" style="2" customWidth="1"/>
    <col min="24" max="24" width="126.5703125" style="2" customWidth="1"/>
    <col min="25" max="25" width="8.140625" style="2" customWidth="1"/>
    <col min="26" max="26" width="32.140625" style="2" customWidth="1"/>
    <col min="27" max="27" width="16.42578125" style="2" customWidth="1"/>
    <col min="28" max="28" width="14.140625" style="2" customWidth="1"/>
    <col min="29" max="29" width="11.42578125" style="2" customWidth="1"/>
  </cols>
  <sheetData>
    <row r="1" spans="1:11" ht="16.5" customHeight="1" x14ac:dyDescent="0.2">
      <c r="A1" s="11" t="s">
        <v>0</v>
      </c>
      <c r="B1" s="11" t="s">
        <v>1</v>
      </c>
      <c r="C1" s="11" t="s">
        <v>2</v>
      </c>
      <c r="D1" s="11" t="s">
        <v>3</v>
      </c>
      <c r="E1" s="11" t="s">
        <v>4</v>
      </c>
      <c r="F1" s="11" t="s">
        <v>5</v>
      </c>
      <c r="G1" s="11" t="s">
        <v>6</v>
      </c>
      <c r="H1" s="11" t="s">
        <v>7</v>
      </c>
      <c r="I1" s="11" t="s">
        <v>8</v>
      </c>
      <c r="J1" s="11" t="s">
        <v>9</v>
      </c>
      <c r="K1" s="11" t="s">
        <v>10</v>
      </c>
    </row>
    <row r="2" spans="1:11" ht="15" customHeight="1" x14ac:dyDescent="0.2">
      <c r="A2" s="13" t="s">
        <v>3355</v>
      </c>
      <c r="B2" s="13"/>
      <c r="C2" s="13" t="s">
        <v>3356</v>
      </c>
      <c r="D2" s="13"/>
      <c r="E2" s="13"/>
      <c r="F2" s="13"/>
      <c r="G2" s="13"/>
      <c r="H2" s="13"/>
      <c r="I2" s="13"/>
      <c r="J2" s="9"/>
      <c r="K2" s="13"/>
    </row>
    <row r="3" spans="1:11" ht="15" customHeight="1" x14ac:dyDescent="0.2">
      <c r="A3" s="13" t="e">
        <f>+wolfgang stumph - filme</f>
        <v>#NAME?</v>
      </c>
      <c r="B3" s="13" t="s">
        <v>3357</v>
      </c>
      <c r="C3" s="13">
        <v>2025</v>
      </c>
      <c r="D3" s="13" t="s">
        <v>3358</v>
      </c>
      <c r="E3" s="13" t="s">
        <v>566</v>
      </c>
      <c r="F3" s="13">
        <v>7.7</v>
      </c>
      <c r="G3" s="13" t="s">
        <v>77</v>
      </c>
      <c r="H3" s="13" t="s">
        <v>3359</v>
      </c>
      <c r="I3" s="13" t="s">
        <v>3360</v>
      </c>
      <c r="J3" s="9" t="s">
        <v>3361</v>
      </c>
      <c r="K3" s="13">
        <v>143</v>
      </c>
    </row>
    <row r="4" spans="1:11" ht="15" customHeight="1" x14ac:dyDescent="0.2">
      <c r="A4" s="13" t="s">
        <v>3362</v>
      </c>
      <c r="B4" s="13"/>
      <c r="C4" s="13">
        <v>1996</v>
      </c>
      <c r="D4" s="13" t="s">
        <v>350</v>
      </c>
      <c r="E4" s="13" t="s">
        <v>3363</v>
      </c>
      <c r="F4" s="13"/>
      <c r="G4" s="13"/>
      <c r="H4" s="13"/>
      <c r="I4" s="13" t="s">
        <v>3364</v>
      </c>
      <c r="J4" s="9"/>
      <c r="K4" s="13"/>
    </row>
    <row r="5" spans="1:11" ht="15" customHeight="1" x14ac:dyDescent="0.2">
      <c r="A5" s="13" t="s">
        <v>3365</v>
      </c>
      <c r="B5" s="13"/>
      <c r="C5" s="13">
        <v>1997</v>
      </c>
      <c r="D5" s="13" t="s">
        <v>350</v>
      </c>
      <c r="E5" s="13" t="s">
        <v>3215</v>
      </c>
      <c r="F5" s="13"/>
      <c r="G5" s="13"/>
      <c r="H5" s="13"/>
      <c r="I5" s="13" t="s">
        <v>3364</v>
      </c>
      <c r="J5" s="9"/>
      <c r="K5" s="13"/>
    </row>
    <row r="6" spans="1:11" ht="15" customHeight="1" x14ac:dyDescent="0.2">
      <c r="A6" s="13" t="s">
        <v>3366</v>
      </c>
      <c r="B6" s="13" t="s">
        <v>3367</v>
      </c>
      <c r="C6" s="13">
        <v>2007</v>
      </c>
      <c r="D6" s="13" t="s">
        <v>350</v>
      </c>
      <c r="E6" s="13" t="s">
        <v>566</v>
      </c>
      <c r="F6" s="13">
        <v>0</v>
      </c>
      <c r="G6" s="13"/>
      <c r="H6" s="13" t="s">
        <v>3368</v>
      </c>
      <c r="I6" s="13" t="s">
        <v>3364</v>
      </c>
      <c r="J6" s="9" t="s">
        <v>3369</v>
      </c>
      <c r="K6" s="13">
        <v>0</v>
      </c>
    </row>
    <row r="7" spans="1:11" ht="15" customHeight="1" x14ac:dyDescent="0.2">
      <c r="A7" s="13" t="s">
        <v>3370</v>
      </c>
      <c r="B7" s="13" t="s">
        <v>3370</v>
      </c>
      <c r="C7" s="13">
        <v>2017</v>
      </c>
      <c r="D7" s="13" t="s">
        <v>350</v>
      </c>
      <c r="E7" s="13" t="s">
        <v>566</v>
      </c>
      <c r="F7" s="13">
        <v>3.9</v>
      </c>
      <c r="G7" s="13" t="s">
        <v>86</v>
      </c>
      <c r="H7" s="13" t="s">
        <v>3371</v>
      </c>
      <c r="I7" s="13" t="s">
        <v>3364</v>
      </c>
      <c r="J7" s="9" t="s">
        <v>3372</v>
      </c>
      <c r="K7" s="13">
        <v>4</v>
      </c>
    </row>
    <row r="8" spans="1:11" ht="15" customHeight="1" x14ac:dyDescent="0.2">
      <c r="A8" s="13" t="s">
        <v>3373</v>
      </c>
      <c r="B8" s="13" t="s">
        <v>3374</v>
      </c>
      <c r="C8" s="13">
        <v>1992</v>
      </c>
      <c r="D8" s="13" t="s">
        <v>350</v>
      </c>
      <c r="E8" s="13" t="s">
        <v>1270</v>
      </c>
      <c r="F8" s="13">
        <v>4.5</v>
      </c>
      <c r="G8" s="13" t="s">
        <v>86</v>
      </c>
      <c r="H8" s="13" t="s">
        <v>3375</v>
      </c>
      <c r="I8" s="13" t="s">
        <v>3364</v>
      </c>
      <c r="J8" s="9" t="s">
        <v>3376</v>
      </c>
      <c r="K8" s="13">
        <v>23</v>
      </c>
    </row>
    <row r="9" spans="1:11" ht="15" customHeight="1" x14ac:dyDescent="0.2">
      <c r="A9" s="13" t="s">
        <v>3377</v>
      </c>
      <c r="B9" s="13" t="s">
        <v>3378</v>
      </c>
      <c r="C9" s="13">
        <v>1991</v>
      </c>
      <c r="D9" s="13" t="s">
        <v>3167</v>
      </c>
      <c r="E9" s="13" t="s">
        <v>1270</v>
      </c>
      <c r="F9" s="13">
        <v>5.6539999999999999</v>
      </c>
      <c r="G9" s="13" t="s">
        <v>46</v>
      </c>
      <c r="H9" s="13" t="s">
        <v>3379</v>
      </c>
      <c r="I9" s="13" t="s">
        <v>3364</v>
      </c>
      <c r="J9" s="9" t="s">
        <v>3380</v>
      </c>
      <c r="K9" s="13">
        <v>65</v>
      </c>
    </row>
    <row r="10" spans="1:11" ht="15" customHeight="1" x14ac:dyDescent="0.2">
      <c r="A10" s="13" t="s">
        <v>3381</v>
      </c>
      <c r="B10" s="13" t="s">
        <v>3382</v>
      </c>
      <c r="C10" s="13">
        <v>2001</v>
      </c>
      <c r="D10" s="13" t="s">
        <v>350</v>
      </c>
      <c r="E10" s="13" t="s">
        <v>1270</v>
      </c>
      <c r="F10" s="13">
        <v>0</v>
      </c>
      <c r="G10" s="13"/>
      <c r="H10" s="13" t="s">
        <v>3383</v>
      </c>
      <c r="I10" s="13" t="s">
        <v>3364</v>
      </c>
      <c r="J10" s="9" t="s">
        <v>3384</v>
      </c>
      <c r="K10" s="13">
        <v>0</v>
      </c>
    </row>
    <row r="11" spans="1:11" ht="15" customHeight="1" x14ac:dyDescent="0.2">
      <c r="A11" s="15" t="e">
        <f>+wenn die kraniche ziehen</f>
        <v>#NAME?</v>
      </c>
      <c r="B11" s="15" t="s">
        <v>1537</v>
      </c>
      <c r="C11" s="15">
        <v>1957</v>
      </c>
      <c r="D11" s="15" t="s">
        <v>3385</v>
      </c>
      <c r="E11" s="15" t="s">
        <v>566</v>
      </c>
      <c r="F11" s="15">
        <v>5.4290000000000003</v>
      </c>
      <c r="G11" s="15" t="s">
        <v>28</v>
      </c>
      <c r="H11" s="15" t="s">
        <v>1539</v>
      </c>
      <c r="I11" s="15" t="s">
        <v>3386</v>
      </c>
      <c r="J11" s="10" t="s">
        <v>3387</v>
      </c>
      <c r="K11" s="15">
        <v>21</v>
      </c>
    </row>
    <row r="12" spans="1:11" ht="15" customHeight="1" x14ac:dyDescent="0.2">
      <c r="A12" s="13" t="s">
        <v>3388</v>
      </c>
      <c r="B12" s="13" t="s">
        <v>3389</v>
      </c>
      <c r="C12" s="13">
        <v>1957</v>
      </c>
      <c r="D12" s="13" t="s">
        <v>3390</v>
      </c>
      <c r="E12" s="13" t="s">
        <v>3391</v>
      </c>
      <c r="F12" s="13">
        <v>7.9189999999999996</v>
      </c>
      <c r="G12" s="13" t="s">
        <v>77</v>
      </c>
      <c r="H12" s="13" t="s">
        <v>3392</v>
      </c>
      <c r="I12" s="13" t="s">
        <v>3393</v>
      </c>
      <c r="J12" s="9" t="s">
        <v>3387</v>
      </c>
      <c r="K12" s="13">
        <v>427</v>
      </c>
    </row>
    <row r="13" spans="1:11" ht="15" customHeight="1" x14ac:dyDescent="0.2">
      <c r="A13" s="13" t="s">
        <v>3394</v>
      </c>
      <c r="B13" s="13"/>
      <c r="C13" s="13"/>
      <c r="D13" s="13" t="s">
        <v>3395</v>
      </c>
      <c r="E13" s="13" t="s">
        <v>3396</v>
      </c>
      <c r="F13" s="13"/>
      <c r="G13" s="13"/>
      <c r="H13" s="13"/>
      <c r="I13" s="13" t="s">
        <v>3397</v>
      </c>
      <c r="J13" s="9"/>
      <c r="K13" s="13"/>
    </row>
    <row r="14" spans="1:11" ht="15" customHeight="1" x14ac:dyDescent="0.2">
      <c r="A14" s="13" t="s">
        <v>3398</v>
      </c>
      <c r="B14" s="13"/>
      <c r="C14" s="13"/>
      <c r="D14" s="13"/>
      <c r="E14" s="13" t="s">
        <v>3396</v>
      </c>
      <c r="F14" s="13"/>
      <c r="G14" s="13"/>
      <c r="H14" s="13"/>
      <c r="I14" s="13"/>
      <c r="J14" s="9"/>
      <c r="K14" s="13"/>
    </row>
    <row r="15" spans="1:11" ht="15" customHeight="1" x14ac:dyDescent="0.2">
      <c r="A15" s="13" t="s">
        <v>3399</v>
      </c>
      <c r="B15" s="13"/>
      <c r="C15" s="13"/>
      <c r="D15" s="13"/>
      <c r="E15" s="13" t="s">
        <v>3396</v>
      </c>
      <c r="F15" s="13"/>
      <c r="G15" s="13"/>
      <c r="H15" s="13"/>
      <c r="I15" s="13"/>
      <c r="J15" s="9"/>
      <c r="K15" s="13"/>
    </row>
    <row r="16" spans="1:11" ht="15" customHeight="1" x14ac:dyDescent="0.2">
      <c r="A16" s="13" t="s">
        <v>3400</v>
      </c>
      <c r="B16" s="13"/>
      <c r="C16" s="13"/>
      <c r="D16" s="13" t="s">
        <v>3179</v>
      </c>
      <c r="E16" s="13" t="s">
        <v>3396</v>
      </c>
      <c r="F16" s="13"/>
      <c r="G16" s="13"/>
      <c r="H16" s="13"/>
      <c r="I16" s="13" t="s">
        <v>3401</v>
      </c>
      <c r="J16" s="9"/>
      <c r="K16" s="13"/>
    </row>
    <row r="17" spans="1:11" ht="15" customHeight="1" x14ac:dyDescent="0.2">
      <c r="A17" s="13" t="s">
        <v>3400</v>
      </c>
      <c r="B17" s="13"/>
      <c r="C17" s="13"/>
      <c r="D17" s="13" t="s">
        <v>3167</v>
      </c>
      <c r="E17" s="13" t="s">
        <v>3396</v>
      </c>
      <c r="F17" s="13"/>
      <c r="G17" s="13"/>
      <c r="H17" s="13"/>
      <c r="I17" s="13" t="s">
        <v>3401</v>
      </c>
      <c r="J17" s="9"/>
      <c r="K17" s="13"/>
    </row>
    <row r="18" spans="1:11" ht="15" customHeight="1" x14ac:dyDescent="0.2">
      <c r="A18" s="13" t="s">
        <v>3402</v>
      </c>
      <c r="B18" s="13"/>
      <c r="C18" s="13">
        <v>2022</v>
      </c>
      <c r="D18" s="13" t="s">
        <v>3403</v>
      </c>
      <c r="E18" s="13" t="s">
        <v>3396</v>
      </c>
      <c r="F18" s="13"/>
      <c r="G18" s="13"/>
      <c r="H18" s="13"/>
      <c r="I18" s="13"/>
      <c r="J18" s="9"/>
      <c r="K18" s="13"/>
    </row>
    <row r="19" spans="1:11" ht="15" customHeight="1" x14ac:dyDescent="0.2">
      <c r="A19" s="13" t="s">
        <v>3404</v>
      </c>
      <c r="B19" s="13"/>
      <c r="C19" s="13"/>
      <c r="D19" s="13">
        <v>2</v>
      </c>
      <c r="E19" s="13" t="s">
        <v>3396</v>
      </c>
      <c r="F19" s="13"/>
      <c r="G19" s="13"/>
      <c r="H19" s="13"/>
      <c r="I19" s="13"/>
      <c r="J19" s="9"/>
      <c r="K19" s="13"/>
    </row>
    <row r="20" spans="1:11" ht="15" customHeight="1" x14ac:dyDescent="0.2">
      <c r="A20" s="13" t="s">
        <v>3405</v>
      </c>
      <c r="B20" s="13"/>
      <c r="C20" s="13"/>
      <c r="D20" s="13"/>
      <c r="E20" s="13" t="s">
        <v>3396</v>
      </c>
      <c r="F20" s="13"/>
      <c r="G20" s="13"/>
      <c r="H20" s="13"/>
      <c r="I20" s="13"/>
      <c r="J20" s="9"/>
      <c r="K20" s="13"/>
    </row>
    <row r="21" spans="1:11" ht="15" customHeight="1" x14ac:dyDescent="0.2">
      <c r="A21" s="15" t="s">
        <v>3406</v>
      </c>
      <c r="B21" s="15"/>
      <c r="C21" s="15">
        <v>2021</v>
      </c>
      <c r="D21" s="15" t="s">
        <v>3403</v>
      </c>
      <c r="E21" s="15" t="s">
        <v>3396</v>
      </c>
      <c r="F21" s="15"/>
      <c r="G21" s="15"/>
      <c r="H21" s="15"/>
      <c r="I21" s="15"/>
      <c r="J21" s="10"/>
      <c r="K21" s="15"/>
    </row>
    <row r="22" spans="1:11" ht="15" customHeight="1" x14ac:dyDescent="0.2">
      <c r="A22" s="13" t="s">
        <v>3407</v>
      </c>
      <c r="B22" s="13"/>
      <c r="C22" s="13"/>
      <c r="D22" s="13"/>
      <c r="E22" s="13" t="s">
        <v>3396</v>
      </c>
      <c r="F22" s="13"/>
      <c r="G22" s="13"/>
      <c r="H22" s="13"/>
      <c r="I22" s="13"/>
      <c r="J22" s="9"/>
      <c r="K22" s="13"/>
    </row>
    <row r="23" spans="1:11" ht="15" customHeight="1" x14ac:dyDescent="0.2">
      <c r="A23" s="13" t="s">
        <v>3408</v>
      </c>
      <c r="B23" s="13"/>
      <c r="C23" s="13"/>
      <c r="D23" s="13" t="s">
        <v>3179</v>
      </c>
      <c r="E23" s="13" t="s">
        <v>3396</v>
      </c>
      <c r="F23" s="13"/>
      <c r="G23" s="13"/>
      <c r="H23" s="13"/>
      <c r="I23" s="13"/>
      <c r="J23" s="9"/>
      <c r="K23" s="13"/>
    </row>
    <row r="24" spans="1:11" ht="15" customHeight="1" x14ac:dyDescent="0.2">
      <c r="A24" s="13" t="s">
        <v>3409</v>
      </c>
      <c r="B24" s="13"/>
      <c r="C24" s="13"/>
      <c r="D24" s="13" t="s">
        <v>3179</v>
      </c>
      <c r="E24" s="13" t="s">
        <v>3396</v>
      </c>
      <c r="F24" s="13"/>
      <c r="G24" s="13"/>
      <c r="H24" s="13"/>
      <c r="I24" s="13"/>
      <c r="J24" s="9"/>
      <c r="K24" s="13"/>
    </row>
    <row r="25" spans="1:11" ht="15" customHeight="1" x14ac:dyDescent="0.2">
      <c r="A25" s="13" t="s">
        <v>3410</v>
      </c>
      <c r="B25" s="13"/>
      <c r="C25" s="13"/>
      <c r="D25" s="13" t="s">
        <v>3179</v>
      </c>
      <c r="E25" s="13" t="s">
        <v>3396</v>
      </c>
      <c r="F25" s="13"/>
      <c r="G25" s="13"/>
      <c r="H25" s="13"/>
      <c r="I25" s="13"/>
      <c r="J25" s="9"/>
      <c r="K25" s="13"/>
    </row>
    <row r="26" spans="1:11" ht="15" customHeight="1" x14ac:dyDescent="0.2">
      <c r="A26" s="13" t="s">
        <v>3411</v>
      </c>
      <c r="B26" s="13"/>
      <c r="C26" s="13"/>
      <c r="D26" s="13" t="s">
        <v>3179</v>
      </c>
      <c r="E26" s="13" t="s">
        <v>3396</v>
      </c>
      <c r="F26" s="13"/>
      <c r="G26" s="13"/>
      <c r="H26" s="13"/>
      <c r="I26" s="13"/>
      <c r="J26" s="9"/>
      <c r="K26" s="13"/>
    </row>
    <row r="27" spans="1:11" ht="15" customHeight="1" x14ac:dyDescent="0.2">
      <c r="A27" s="13" t="s">
        <v>3412</v>
      </c>
      <c r="B27" s="13"/>
      <c r="C27" s="13"/>
      <c r="D27" s="13"/>
      <c r="E27" s="13"/>
      <c r="F27" s="13"/>
      <c r="G27" s="13"/>
      <c r="H27" s="13"/>
      <c r="I27" s="13"/>
      <c r="J27" s="9"/>
      <c r="K27" s="13"/>
    </row>
    <row r="28" spans="1:11" ht="15" customHeight="1" x14ac:dyDescent="0.2">
      <c r="A28" s="13" t="e">
        <f>+ulrich thein</f>
        <v>#NAME?</v>
      </c>
      <c r="B28" s="13" t="s">
        <v>3357</v>
      </c>
      <c r="C28" s="13">
        <v>2025</v>
      </c>
      <c r="D28" s="13" t="s">
        <v>3358</v>
      </c>
      <c r="E28" s="13" t="s">
        <v>566</v>
      </c>
      <c r="F28" s="13">
        <v>7.7</v>
      </c>
      <c r="G28" s="13" t="s">
        <v>77</v>
      </c>
      <c r="H28" s="13" t="s">
        <v>3359</v>
      </c>
      <c r="I28" s="13" t="s">
        <v>3360</v>
      </c>
      <c r="J28" s="9" t="s">
        <v>3361</v>
      </c>
      <c r="K28" s="13">
        <v>143</v>
      </c>
    </row>
    <row r="29" spans="1:11" ht="15" customHeight="1" x14ac:dyDescent="0.2">
      <c r="A29" s="13" t="s">
        <v>3413</v>
      </c>
      <c r="B29" s="13" t="s">
        <v>3413</v>
      </c>
      <c r="C29" s="13">
        <v>1990</v>
      </c>
      <c r="D29" s="13" t="s">
        <v>3167</v>
      </c>
      <c r="E29" s="13" t="s">
        <v>566</v>
      </c>
      <c r="F29" s="13">
        <v>0</v>
      </c>
      <c r="G29" s="13"/>
      <c r="H29" s="13" t="s">
        <v>3414</v>
      </c>
      <c r="I29" s="13" t="s">
        <v>3415</v>
      </c>
      <c r="J29" s="9" t="s">
        <v>3201</v>
      </c>
      <c r="K29" s="13">
        <v>0</v>
      </c>
    </row>
    <row r="30" spans="1:11" ht="15" customHeight="1" x14ac:dyDescent="0.2">
      <c r="A30" s="13" t="s">
        <v>3416</v>
      </c>
      <c r="B30" s="13"/>
      <c r="C30" s="13">
        <v>1990</v>
      </c>
      <c r="D30" s="13" t="s">
        <v>3257</v>
      </c>
      <c r="E30" s="13" t="s">
        <v>3345</v>
      </c>
      <c r="F30" s="13"/>
      <c r="G30" s="13"/>
      <c r="H30" s="13"/>
      <c r="I30" s="13"/>
      <c r="J30" s="9"/>
      <c r="K30" s="13"/>
    </row>
    <row r="31" spans="1:11" ht="15" customHeight="1" x14ac:dyDescent="0.2">
      <c r="A31" s="15" t="s">
        <v>3417</v>
      </c>
      <c r="B31" s="15" t="s">
        <v>3417</v>
      </c>
      <c r="C31" s="15">
        <v>1959</v>
      </c>
      <c r="D31" s="15" t="s">
        <v>2047</v>
      </c>
      <c r="E31" s="15" t="s">
        <v>566</v>
      </c>
      <c r="F31" s="15">
        <v>0</v>
      </c>
      <c r="G31" s="15"/>
      <c r="H31" s="15" t="s">
        <v>3418</v>
      </c>
      <c r="I31" s="15" t="s">
        <v>3419</v>
      </c>
      <c r="J31" s="10" t="s">
        <v>3420</v>
      </c>
      <c r="K31" s="15">
        <v>0</v>
      </c>
    </row>
    <row r="32" spans="1:11" ht="15" customHeight="1" x14ac:dyDescent="0.2">
      <c r="A32" s="13" t="s">
        <v>3421</v>
      </c>
      <c r="B32" s="13"/>
      <c r="C32" s="13"/>
      <c r="D32" s="13"/>
      <c r="E32" s="13"/>
      <c r="F32" s="13"/>
      <c r="G32" s="13"/>
      <c r="H32" s="13"/>
      <c r="I32" s="13"/>
      <c r="J32" s="9"/>
      <c r="K32" s="13"/>
    </row>
    <row r="33" spans="1:11" ht="15" customHeight="1" x14ac:dyDescent="0.2">
      <c r="A33" s="13" t="s">
        <v>3422</v>
      </c>
      <c r="B33" s="13"/>
      <c r="C33" s="13">
        <v>1981</v>
      </c>
      <c r="D33" s="13" t="s">
        <v>3167</v>
      </c>
      <c r="E33" s="13" t="s">
        <v>3345</v>
      </c>
      <c r="F33" s="13"/>
      <c r="G33" s="13"/>
      <c r="H33" s="13" t="s">
        <v>3423</v>
      </c>
      <c r="I33" s="13"/>
      <c r="J33" s="9"/>
      <c r="K33" s="13"/>
    </row>
    <row r="34" spans="1:11" ht="15" customHeight="1" x14ac:dyDescent="0.2">
      <c r="A34" s="13" t="s">
        <v>3424</v>
      </c>
      <c r="B34" s="13"/>
      <c r="C34" s="13">
        <v>1980</v>
      </c>
      <c r="D34" s="13" t="s">
        <v>3167</v>
      </c>
      <c r="E34" s="13" t="s">
        <v>3345</v>
      </c>
      <c r="F34" s="13"/>
      <c r="G34" s="13"/>
      <c r="H34" s="13" t="s">
        <v>3425</v>
      </c>
      <c r="I34" s="13"/>
      <c r="J34" s="9"/>
      <c r="K34" s="13"/>
    </row>
    <row r="35" spans="1:11" ht="15" customHeight="1" x14ac:dyDescent="0.2">
      <c r="A35" s="13" t="s">
        <v>3426</v>
      </c>
      <c r="B35" s="13"/>
      <c r="C35" s="13">
        <v>1977</v>
      </c>
      <c r="D35" s="13" t="s">
        <v>3167</v>
      </c>
      <c r="E35" s="13" t="s">
        <v>3345</v>
      </c>
      <c r="F35" s="13"/>
      <c r="G35" s="13"/>
      <c r="H35" s="13" t="s">
        <v>3427</v>
      </c>
      <c r="I35" s="13"/>
      <c r="J35" s="9"/>
      <c r="K35" s="13"/>
    </row>
    <row r="36" spans="1:11" ht="15" customHeight="1" x14ac:dyDescent="0.2">
      <c r="A36" s="13" t="s">
        <v>3428</v>
      </c>
      <c r="B36" s="13" t="s">
        <v>3428</v>
      </c>
      <c r="C36" s="13">
        <v>1968</v>
      </c>
      <c r="D36" s="13" t="s">
        <v>3167</v>
      </c>
      <c r="E36" s="13" t="s">
        <v>566</v>
      </c>
      <c r="F36" s="13">
        <v>0</v>
      </c>
      <c r="G36" s="13"/>
      <c r="H36" s="13" t="s">
        <v>3429</v>
      </c>
      <c r="I36" s="13" t="s">
        <v>3430</v>
      </c>
      <c r="J36" s="9" t="s">
        <v>3431</v>
      </c>
      <c r="K36" s="13">
        <v>0</v>
      </c>
    </row>
    <row r="37" spans="1:11" ht="15" customHeight="1" x14ac:dyDescent="0.2">
      <c r="A37" s="13" t="s">
        <v>3432</v>
      </c>
      <c r="B37" s="13" t="s">
        <v>3432</v>
      </c>
      <c r="C37" s="13">
        <v>1983</v>
      </c>
      <c r="D37" s="13" t="s">
        <v>3167</v>
      </c>
      <c r="E37" s="13" t="s">
        <v>3433</v>
      </c>
      <c r="F37" s="13">
        <v>0</v>
      </c>
      <c r="G37" s="13"/>
      <c r="H37" s="13" t="s">
        <v>3434</v>
      </c>
      <c r="I37" s="13" t="s">
        <v>3435</v>
      </c>
      <c r="J37" s="9" t="s">
        <v>3436</v>
      </c>
      <c r="K37" s="13">
        <v>0</v>
      </c>
    </row>
    <row r="38" spans="1:11" ht="15" customHeight="1" x14ac:dyDescent="0.2">
      <c r="A38" s="13" t="s">
        <v>3437</v>
      </c>
      <c r="B38" s="13"/>
      <c r="C38" s="13">
        <v>1972</v>
      </c>
      <c r="D38" s="13" t="s">
        <v>3167</v>
      </c>
      <c r="E38" s="13" t="s">
        <v>566</v>
      </c>
      <c r="F38" s="13"/>
      <c r="G38" s="13"/>
      <c r="H38" s="13" t="s">
        <v>3438</v>
      </c>
      <c r="I38" s="13" t="s">
        <v>3439</v>
      </c>
      <c r="J38" s="9"/>
      <c r="K38" s="13"/>
    </row>
    <row r="39" spans="1:11" ht="15" customHeight="1" x14ac:dyDescent="0.2">
      <c r="A39" s="13" t="s">
        <v>3440</v>
      </c>
      <c r="B39" s="13" t="s">
        <v>3440</v>
      </c>
      <c r="C39" s="13">
        <v>1967</v>
      </c>
      <c r="D39" s="13" t="s">
        <v>3167</v>
      </c>
      <c r="E39" s="13" t="s">
        <v>566</v>
      </c>
      <c r="F39" s="13">
        <v>5</v>
      </c>
      <c r="G39" s="13" t="s">
        <v>28</v>
      </c>
      <c r="H39" s="13" t="s">
        <v>3441</v>
      </c>
      <c r="I39" s="13" t="s">
        <v>3442</v>
      </c>
      <c r="J39" s="9" t="s">
        <v>3443</v>
      </c>
      <c r="K39" s="13">
        <v>2</v>
      </c>
    </row>
    <row r="40" spans="1:11" ht="15" customHeight="1" x14ac:dyDescent="0.2">
      <c r="A40" s="13" t="s">
        <v>3444</v>
      </c>
      <c r="B40" s="13" t="s">
        <v>3444</v>
      </c>
      <c r="C40" s="13">
        <v>1956</v>
      </c>
      <c r="D40" s="13" t="s">
        <v>3167</v>
      </c>
      <c r="E40" s="13" t="s">
        <v>566</v>
      </c>
      <c r="F40" s="13">
        <v>5.9</v>
      </c>
      <c r="G40" s="13" t="s">
        <v>46</v>
      </c>
      <c r="H40" s="13" t="s">
        <v>3445</v>
      </c>
      <c r="I40" s="13" t="s">
        <v>3446</v>
      </c>
      <c r="J40" s="9" t="s">
        <v>3447</v>
      </c>
      <c r="K40" s="13">
        <v>6</v>
      </c>
    </row>
    <row r="41" spans="1:11" ht="15" customHeight="1" x14ac:dyDescent="0.2">
      <c r="A41" s="15" t="s">
        <v>3448</v>
      </c>
      <c r="B41" s="15" t="s">
        <v>3449</v>
      </c>
      <c r="C41" s="15">
        <v>1980</v>
      </c>
      <c r="D41" s="15" t="s">
        <v>3167</v>
      </c>
      <c r="E41" s="15" t="s">
        <v>566</v>
      </c>
      <c r="F41" s="15">
        <v>0</v>
      </c>
      <c r="G41" s="15"/>
      <c r="H41" s="15" t="s">
        <v>3450</v>
      </c>
      <c r="I41" s="15" t="s">
        <v>3451</v>
      </c>
      <c r="J41" s="10"/>
      <c r="K41" s="15">
        <v>0</v>
      </c>
    </row>
    <row r="42" spans="1:11" ht="15" customHeight="1" x14ac:dyDescent="0.2">
      <c r="A42" s="13" t="s">
        <v>3452</v>
      </c>
      <c r="B42" s="13" t="s">
        <v>3452</v>
      </c>
      <c r="C42" s="13">
        <v>1980</v>
      </c>
      <c r="D42" s="13" t="s">
        <v>3167</v>
      </c>
      <c r="E42" s="13" t="s">
        <v>566</v>
      </c>
      <c r="F42" s="13">
        <v>5</v>
      </c>
      <c r="G42" s="13" t="s">
        <v>28</v>
      </c>
      <c r="H42" s="13" t="s">
        <v>3453</v>
      </c>
      <c r="I42" s="13" t="s">
        <v>3454</v>
      </c>
      <c r="J42" s="9" t="s">
        <v>3455</v>
      </c>
      <c r="K42" s="13">
        <v>1</v>
      </c>
    </row>
    <row r="43" spans="1:11" ht="15" customHeight="1" x14ac:dyDescent="0.2">
      <c r="A43" s="13" t="s">
        <v>3456</v>
      </c>
      <c r="B43" s="13" t="s">
        <v>3456</v>
      </c>
      <c r="C43" s="13">
        <v>1980</v>
      </c>
      <c r="D43" s="13" t="s">
        <v>3167</v>
      </c>
      <c r="E43" s="13" t="s">
        <v>1270</v>
      </c>
      <c r="F43" s="13">
        <v>5</v>
      </c>
      <c r="G43" s="13" t="s">
        <v>28</v>
      </c>
      <c r="H43" s="13" t="s">
        <v>3457</v>
      </c>
      <c r="I43" s="13" t="s">
        <v>3458</v>
      </c>
      <c r="J43" s="9" t="s">
        <v>3459</v>
      </c>
      <c r="K43" s="13">
        <v>4</v>
      </c>
    </row>
    <row r="44" spans="1:11" ht="15" customHeight="1" x14ac:dyDescent="0.2">
      <c r="A44" s="13" t="s">
        <v>3460</v>
      </c>
      <c r="B44" s="13" t="s">
        <v>3460</v>
      </c>
      <c r="C44" s="13">
        <v>1962</v>
      </c>
      <c r="D44" s="13" t="s">
        <v>3167</v>
      </c>
      <c r="E44" s="13" t="s">
        <v>566</v>
      </c>
      <c r="F44" s="13">
        <v>5.2</v>
      </c>
      <c r="G44" s="13" t="s">
        <v>28</v>
      </c>
      <c r="H44" s="13" t="s">
        <v>3461</v>
      </c>
      <c r="I44" s="13" t="s">
        <v>3462</v>
      </c>
      <c r="J44" s="9" t="s">
        <v>3463</v>
      </c>
      <c r="K44" s="13">
        <v>4</v>
      </c>
    </row>
    <row r="45" spans="1:11" ht="15" customHeight="1" x14ac:dyDescent="0.2">
      <c r="A45" s="13" t="s">
        <v>3464</v>
      </c>
      <c r="B45" s="13" t="s">
        <v>3465</v>
      </c>
      <c r="C45" s="13">
        <v>1980</v>
      </c>
      <c r="D45" s="13"/>
      <c r="E45" s="13"/>
      <c r="F45" s="13"/>
      <c r="G45" s="13"/>
      <c r="H45" s="13" t="s">
        <v>3466</v>
      </c>
      <c r="I45" s="13"/>
      <c r="J45" s="9" t="s">
        <v>3467</v>
      </c>
      <c r="K45" s="13"/>
    </row>
    <row r="46" spans="1:11" ht="15" customHeight="1" x14ac:dyDescent="0.2">
      <c r="A46" s="13" t="s">
        <v>3468</v>
      </c>
      <c r="B46" s="13"/>
      <c r="C46" s="13">
        <v>1979</v>
      </c>
      <c r="D46" s="13"/>
      <c r="E46" s="13"/>
      <c r="F46" s="13"/>
      <c r="G46" s="13"/>
      <c r="H46" s="13"/>
      <c r="I46" s="13"/>
      <c r="J46" s="9" t="s">
        <v>3469</v>
      </c>
      <c r="K46" s="13"/>
    </row>
    <row r="47" spans="1:11" ht="15" customHeight="1" x14ac:dyDescent="0.2">
      <c r="A47" s="13" t="s">
        <v>3470</v>
      </c>
      <c r="B47" s="13"/>
      <c r="C47" s="13">
        <v>1978</v>
      </c>
      <c r="D47" s="13"/>
      <c r="E47" s="13"/>
      <c r="F47" s="13"/>
      <c r="G47" s="13"/>
      <c r="H47" s="13"/>
      <c r="I47" s="13"/>
      <c r="J47" s="9"/>
      <c r="K47" s="13"/>
    </row>
    <row r="48" spans="1:11" ht="15" customHeight="1" x14ac:dyDescent="0.2">
      <c r="A48" s="13" t="s">
        <v>3471</v>
      </c>
      <c r="B48" s="13"/>
      <c r="C48" s="13">
        <v>1990</v>
      </c>
      <c r="D48" s="13"/>
      <c r="E48" s="13"/>
      <c r="F48" s="13"/>
      <c r="G48" s="13"/>
      <c r="H48" s="13"/>
      <c r="I48" s="13"/>
      <c r="J48" s="9" t="s">
        <v>3472</v>
      </c>
      <c r="K48" s="13"/>
    </row>
    <row r="49" spans="1:11" ht="15" customHeight="1" x14ac:dyDescent="0.2">
      <c r="A49" s="13" t="s">
        <v>3473</v>
      </c>
      <c r="B49" s="13"/>
      <c r="C49" s="13">
        <v>1986</v>
      </c>
      <c r="D49" s="13"/>
      <c r="E49" s="13"/>
      <c r="F49" s="13"/>
      <c r="G49" s="13"/>
      <c r="H49" s="13"/>
      <c r="I49" s="13"/>
      <c r="J49" s="9"/>
      <c r="K49" s="13"/>
    </row>
    <row r="50" spans="1:11" ht="15" customHeight="1" x14ac:dyDescent="0.2">
      <c r="A50" s="13" t="s">
        <v>3474</v>
      </c>
      <c r="B50" s="13"/>
      <c r="C50" s="13" t="s">
        <v>3475</v>
      </c>
      <c r="D50" s="13"/>
      <c r="E50" s="13"/>
      <c r="F50" s="13"/>
      <c r="G50" s="13"/>
      <c r="H50" s="13"/>
      <c r="I50" s="13"/>
      <c r="J50" s="9"/>
      <c r="K50" s="13"/>
    </row>
    <row r="51" spans="1:11" ht="15" customHeight="1" x14ac:dyDescent="0.2">
      <c r="A51" s="15" t="s">
        <v>3476</v>
      </c>
      <c r="B51" s="15"/>
      <c r="C51" s="15" t="s">
        <v>3477</v>
      </c>
      <c r="D51" s="15"/>
      <c r="E51" s="15"/>
      <c r="F51" s="15"/>
      <c r="G51" s="15"/>
      <c r="H51" s="15"/>
      <c r="I51" s="15"/>
      <c r="J51" s="10"/>
      <c r="K51" s="15"/>
    </row>
    <row r="52" spans="1:11" ht="15" customHeight="1" x14ac:dyDescent="0.2">
      <c r="A52" s="13" t="s">
        <v>3478</v>
      </c>
      <c r="B52" s="13"/>
      <c r="C52" s="13" t="s">
        <v>3479</v>
      </c>
      <c r="D52" s="13"/>
      <c r="E52" s="13"/>
      <c r="F52" s="13"/>
      <c r="G52" s="13"/>
      <c r="H52" s="13"/>
      <c r="I52" s="13"/>
      <c r="J52" s="9"/>
      <c r="K52" s="13"/>
    </row>
    <row r="53" spans="1:11" ht="15" customHeight="1" x14ac:dyDescent="0.2">
      <c r="A53" s="13" t="s">
        <v>3480</v>
      </c>
      <c r="B53" s="13"/>
      <c r="C53" s="13" t="s">
        <v>3479</v>
      </c>
      <c r="D53" s="13"/>
      <c r="E53" s="13"/>
      <c r="F53" s="13"/>
      <c r="G53" s="13"/>
      <c r="H53" s="13"/>
      <c r="I53" s="13"/>
      <c r="J53" s="9"/>
      <c r="K53" s="13"/>
    </row>
    <row r="54" spans="1:11" ht="15" customHeight="1" x14ac:dyDescent="0.2">
      <c r="A54" s="13" t="s">
        <v>3481</v>
      </c>
      <c r="B54" s="13" t="s">
        <v>3482</v>
      </c>
      <c r="C54" s="13" t="s">
        <v>3477</v>
      </c>
      <c r="D54" s="13" t="s">
        <v>15</v>
      </c>
      <c r="E54" s="13" t="s">
        <v>928</v>
      </c>
      <c r="F54" s="13">
        <v>5.3</v>
      </c>
      <c r="G54" s="13" t="s">
        <v>28</v>
      </c>
      <c r="H54" s="13">
        <v>78041</v>
      </c>
      <c r="I54" s="13" t="s">
        <v>3483</v>
      </c>
      <c r="J54" s="9" t="s">
        <v>3484</v>
      </c>
      <c r="K54" s="13">
        <v>40</v>
      </c>
    </row>
    <row r="55" spans="1:11" ht="15" customHeight="1" x14ac:dyDescent="0.2">
      <c r="A55" s="13" t="s">
        <v>3485</v>
      </c>
      <c r="B55" s="13" t="s">
        <v>3482</v>
      </c>
      <c r="C55" s="13" t="s">
        <v>3486</v>
      </c>
      <c r="D55" s="13" t="s">
        <v>15</v>
      </c>
      <c r="E55" s="13" t="s">
        <v>928</v>
      </c>
      <c r="F55" s="13">
        <v>5.3</v>
      </c>
      <c r="G55" s="13" t="s">
        <v>28</v>
      </c>
      <c r="H55" s="13">
        <v>78041</v>
      </c>
      <c r="I55" s="13" t="s">
        <v>3483</v>
      </c>
      <c r="J55" s="9" t="s">
        <v>3484</v>
      </c>
      <c r="K55" s="13">
        <v>40</v>
      </c>
    </row>
    <row r="56" spans="1:11" ht="15" customHeight="1" x14ac:dyDescent="0.2">
      <c r="A56" s="13" t="s">
        <v>3487</v>
      </c>
      <c r="B56" s="13"/>
      <c r="C56" s="13" t="s">
        <v>3486</v>
      </c>
      <c r="D56" s="13"/>
      <c r="E56" s="13"/>
      <c r="F56" s="13"/>
      <c r="G56" s="13"/>
      <c r="H56" s="13"/>
      <c r="I56" s="13"/>
      <c r="J56" s="9"/>
      <c r="K56" s="13"/>
    </row>
    <row r="57" spans="1:11" ht="15" customHeight="1" x14ac:dyDescent="0.2">
      <c r="A57" s="13" t="s">
        <v>3488</v>
      </c>
      <c r="B57" s="13"/>
      <c r="C57" s="13" t="s">
        <v>3477</v>
      </c>
      <c r="D57" s="13"/>
      <c r="E57" s="13"/>
      <c r="F57" s="13"/>
      <c r="G57" s="13"/>
      <c r="H57" s="13"/>
      <c r="I57" s="13"/>
      <c r="J57" s="9"/>
      <c r="K57" s="13"/>
    </row>
    <row r="58" spans="1:11" ht="15" customHeight="1" x14ac:dyDescent="0.2">
      <c r="A58" s="13" t="s">
        <v>3489</v>
      </c>
      <c r="B58" s="13"/>
      <c r="C58" s="13" t="s">
        <v>3490</v>
      </c>
      <c r="D58" s="13"/>
      <c r="E58" s="13"/>
      <c r="F58" s="13"/>
      <c r="G58" s="13"/>
      <c r="H58" s="13"/>
      <c r="I58" s="13"/>
      <c r="J58" s="9"/>
      <c r="K58" s="13"/>
    </row>
    <row r="59" spans="1:11" ht="15" customHeight="1" x14ac:dyDescent="0.2">
      <c r="A59" s="13" t="s">
        <v>3491</v>
      </c>
      <c r="B59" s="13" t="s">
        <v>3492</v>
      </c>
      <c r="C59" s="13" t="s">
        <v>3477</v>
      </c>
      <c r="D59" s="13" t="s">
        <v>15</v>
      </c>
      <c r="E59" s="13" t="s">
        <v>1270</v>
      </c>
      <c r="F59" s="13">
        <v>5.0999999999999996</v>
      </c>
      <c r="G59" s="13" t="s">
        <v>28</v>
      </c>
      <c r="H59" s="13">
        <v>47762</v>
      </c>
      <c r="I59" s="13" t="s">
        <v>3493</v>
      </c>
      <c r="J59" s="9" t="s">
        <v>3494</v>
      </c>
      <c r="K59" s="13">
        <v>76</v>
      </c>
    </row>
    <row r="60" spans="1:11" ht="15" customHeight="1" x14ac:dyDescent="0.2">
      <c r="A60" s="13" t="s">
        <v>3495</v>
      </c>
      <c r="B60" s="13" t="s">
        <v>3492</v>
      </c>
      <c r="C60" s="13" t="s">
        <v>3496</v>
      </c>
      <c r="D60" s="13" t="s">
        <v>15</v>
      </c>
      <c r="E60" s="13" t="s">
        <v>1270</v>
      </c>
      <c r="F60" s="13">
        <v>5.0999999999999996</v>
      </c>
      <c r="G60" s="13" t="s">
        <v>28</v>
      </c>
      <c r="H60" s="13">
        <v>47762</v>
      </c>
      <c r="I60" s="13" t="s">
        <v>3493</v>
      </c>
      <c r="J60" s="9" t="s">
        <v>3494</v>
      </c>
      <c r="K60" s="13">
        <v>76</v>
      </c>
    </row>
    <row r="61" spans="1:11" ht="15" customHeight="1" x14ac:dyDescent="0.2">
      <c r="A61" s="15" t="s">
        <v>3497</v>
      </c>
      <c r="B61" s="15"/>
      <c r="C61" s="15" t="s">
        <v>3477</v>
      </c>
      <c r="D61" s="15"/>
      <c r="E61" s="15"/>
      <c r="F61" s="15"/>
      <c r="G61" s="15"/>
      <c r="H61" s="15"/>
      <c r="I61" s="15"/>
      <c r="J61" s="10"/>
      <c r="K61" s="15"/>
    </row>
    <row r="62" spans="1:11" ht="15" customHeight="1" x14ac:dyDescent="0.2">
      <c r="A62" s="13" t="s">
        <v>3498</v>
      </c>
      <c r="B62" s="13"/>
      <c r="C62" s="13" t="s">
        <v>3499</v>
      </c>
      <c r="D62" s="13"/>
      <c r="E62" s="13"/>
      <c r="F62" s="13"/>
      <c r="G62" s="13"/>
      <c r="H62" s="13"/>
      <c r="I62" s="13"/>
      <c r="J62" s="9"/>
      <c r="K62" s="13"/>
    </row>
    <row r="63" spans="1:11" ht="15" customHeight="1" x14ac:dyDescent="0.2">
      <c r="A63" s="13" t="s">
        <v>3500</v>
      </c>
      <c r="B63" s="13"/>
      <c r="C63" s="13" t="s">
        <v>3477</v>
      </c>
      <c r="D63" s="13"/>
      <c r="E63" s="13"/>
      <c r="F63" s="13"/>
      <c r="G63" s="13"/>
      <c r="H63" s="13"/>
      <c r="I63" s="13"/>
      <c r="J63" s="9"/>
      <c r="K63" s="13"/>
    </row>
    <row r="64" spans="1:11" ht="15" customHeight="1" x14ac:dyDescent="0.2">
      <c r="A64" s="13" t="s">
        <v>3501</v>
      </c>
      <c r="B64" s="13"/>
      <c r="C64" s="13" t="s">
        <v>3479</v>
      </c>
      <c r="D64" s="13"/>
      <c r="E64" s="13"/>
      <c r="F64" s="13"/>
      <c r="G64" s="13"/>
      <c r="H64" s="13"/>
      <c r="I64" s="13"/>
      <c r="J64" s="9"/>
      <c r="K64" s="13"/>
    </row>
    <row r="65" spans="1:11" ht="15" customHeight="1" x14ac:dyDescent="0.2">
      <c r="A65" s="13" t="s">
        <v>3502</v>
      </c>
      <c r="B65" s="13"/>
      <c r="C65" s="13" t="s">
        <v>3479</v>
      </c>
      <c r="D65" s="13"/>
      <c r="E65" s="13"/>
      <c r="F65" s="13"/>
      <c r="G65" s="13"/>
      <c r="H65" s="13"/>
      <c r="I65" s="13"/>
      <c r="J65" s="9"/>
      <c r="K65" s="13"/>
    </row>
    <row r="66" spans="1:11" ht="15" customHeight="1" x14ac:dyDescent="0.2">
      <c r="A66" s="13" t="s">
        <v>3503</v>
      </c>
      <c r="B66" s="13"/>
      <c r="C66" s="13" t="s">
        <v>3504</v>
      </c>
      <c r="D66" s="13"/>
      <c r="E66" s="13"/>
      <c r="F66" s="13"/>
      <c r="G66" s="13"/>
      <c r="H66" s="13"/>
      <c r="I66" s="13"/>
      <c r="J66" s="9"/>
      <c r="K66" s="13"/>
    </row>
    <row r="67" spans="1:11" ht="15" customHeight="1" x14ac:dyDescent="0.2">
      <c r="A67" s="13" t="s">
        <v>3505</v>
      </c>
      <c r="B67" s="13" t="s">
        <v>3506</v>
      </c>
      <c r="C67" s="13" t="s">
        <v>3477</v>
      </c>
      <c r="D67" s="13"/>
      <c r="E67" s="13"/>
      <c r="F67" s="13">
        <v>0</v>
      </c>
      <c r="G67" s="13"/>
      <c r="H67" s="13">
        <v>1215267</v>
      </c>
      <c r="I67" s="13" t="s">
        <v>3507</v>
      </c>
      <c r="J67" s="9" t="s">
        <v>3508</v>
      </c>
      <c r="K67" s="13">
        <v>0</v>
      </c>
    </row>
    <row r="68" spans="1:11" ht="15" customHeight="1" x14ac:dyDescent="0.2">
      <c r="A68" s="13" t="s">
        <v>3509</v>
      </c>
      <c r="B68" s="13" t="s">
        <v>3506</v>
      </c>
      <c r="C68" s="13" t="s">
        <v>3486</v>
      </c>
      <c r="D68" s="13"/>
      <c r="E68" s="13"/>
      <c r="F68" s="13">
        <v>0</v>
      </c>
      <c r="G68" s="13"/>
      <c r="H68" s="13">
        <v>1215267</v>
      </c>
      <c r="I68" s="13" t="s">
        <v>3507</v>
      </c>
      <c r="J68" s="9" t="s">
        <v>3508</v>
      </c>
      <c r="K68" s="13">
        <v>0</v>
      </c>
    </row>
    <row r="69" spans="1:11" ht="15" customHeight="1" x14ac:dyDescent="0.2">
      <c r="A69" s="13" t="s">
        <v>3510</v>
      </c>
      <c r="B69" s="13"/>
      <c r="C69" s="13" t="s">
        <v>3477</v>
      </c>
      <c r="D69" s="13"/>
      <c r="E69" s="13"/>
      <c r="F69" s="13"/>
      <c r="G69" s="13"/>
      <c r="H69" s="13"/>
      <c r="I69" s="13"/>
      <c r="J69" s="9"/>
      <c r="K69" s="13"/>
    </row>
    <row r="70" spans="1:11" ht="15" customHeight="1" x14ac:dyDescent="0.2">
      <c r="A70" s="13" t="s">
        <v>3511</v>
      </c>
      <c r="B70" s="13"/>
      <c r="C70" s="13" t="s">
        <v>3479</v>
      </c>
      <c r="D70" s="13"/>
      <c r="E70" s="13"/>
      <c r="F70" s="13"/>
      <c r="G70" s="13"/>
      <c r="H70" s="13"/>
      <c r="I70" s="13"/>
      <c r="J70" s="9"/>
      <c r="K70" s="13"/>
    </row>
    <row r="71" spans="1:11" ht="15" customHeight="1" x14ac:dyDescent="0.2">
      <c r="A71" s="15" t="s">
        <v>3512</v>
      </c>
      <c r="B71" s="15"/>
      <c r="C71" s="15" t="s">
        <v>3479</v>
      </c>
      <c r="D71" s="15"/>
      <c r="E71" s="15"/>
      <c r="F71" s="15"/>
      <c r="G71" s="15"/>
      <c r="H71" s="15"/>
      <c r="I71" s="15"/>
      <c r="J71" s="10"/>
      <c r="K71" s="15"/>
    </row>
    <row r="72" spans="1:11" ht="15" customHeight="1" x14ac:dyDescent="0.2">
      <c r="A72" s="13" t="s">
        <v>3513</v>
      </c>
      <c r="B72" s="13"/>
      <c r="C72" s="13" t="s">
        <v>3477</v>
      </c>
      <c r="D72" s="13"/>
      <c r="E72" s="13"/>
      <c r="F72" s="13"/>
      <c r="G72" s="13"/>
      <c r="H72" s="13"/>
      <c r="I72" s="13"/>
      <c r="J72" s="9"/>
      <c r="K72" s="13"/>
    </row>
    <row r="73" spans="1:11" ht="15" customHeight="1" x14ac:dyDescent="0.2">
      <c r="A73" s="13" t="s">
        <v>3514</v>
      </c>
      <c r="B73" s="13"/>
      <c r="C73" s="13" t="s">
        <v>3515</v>
      </c>
      <c r="D73" s="13"/>
      <c r="E73" s="13"/>
      <c r="F73" s="13"/>
      <c r="G73" s="13"/>
      <c r="H73" s="13"/>
      <c r="I73" s="13"/>
      <c r="J73" s="9"/>
      <c r="K73" s="13"/>
    </row>
    <row r="74" spans="1:11" ht="15" customHeight="1" x14ac:dyDescent="0.2">
      <c r="A74" s="13" t="s">
        <v>3516</v>
      </c>
      <c r="B74" s="13"/>
      <c r="C74" s="13" t="s">
        <v>3477</v>
      </c>
      <c r="D74" s="13"/>
      <c r="E74" s="13"/>
      <c r="F74" s="13"/>
      <c r="G74" s="13"/>
      <c r="H74" s="13"/>
      <c r="I74" s="13"/>
      <c r="J74" s="9"/>
      <c r="K74" s="13"/>
    </row>
    <row r="75" spans="1:11" ht="15" customHeight="1" x14ac:dyDescent="0.2">
      <c r="A75" s="13" t="s">
        <v>3517</v>
      </c>
      <c r="B75" s="13"/>
      <c r="C75" s="13" t="s">
        <v>3479</v>
      </c>
      <c r="D75" s="13"/>
      <c r="E75" s="13"/>
      <c r="F75" s="13"/>
      <c r="G75" s="13"/>
      <c r="H75" s="13"/>
      <c r="I75" s="13"/>
      <c r="J75" s="9"/>
      <c r="K75" s="13"/>
    </row>
    <row r="76" spans="1:11" ht="15" customHeight="1" x14ac:dyDescent="0.2">
      <c r="A76" s="13" t="s">
        <v>3518</v>
      </c>
      <c r="B76" s="13"/>
      <c r="C76" s="13" t="s">
        <v>3515</v>
      </c>
      <c r="D76" s="13"/>
      <c r="E76" s="13"/>
      <c r="F76" s="13"/>
      <c r="G76" s="13"/>
      <c r="H76" s="13"/>
      <c r="I76" s="13"/>
      <c r="J76" s="9"/>
      <c r="K76" s="13"/>
    </row>
    <row r="77" spans="1:11" ht="15" customHeight="1" x14ac:dyDescent="0.2">
      <c r="A77" s="13" t="s">
        <v>3519</v>
      </c>
      <c r="B77" s="13"/>
      <c r="C77" s="13" t="s">
        <v>3520</v>
      </c>
      <c r="D77" s="13"/>
      <c r="E77" s="13"/>
      <c r="F77" s="13"/>
      <c r="G77" s="13"/>
      <c r="H77" s="13"/>
      <c r="I77" s="13"/>
      <c r="J77" s="9"/>
      <c r="K77" s="13"/>
    </row>
    <row r="78" spans="1:11" ht="15" customHeight="1" x14ac:dyDescent="0.2">
      <c r="A78" s="13" t="s">
        <v>3521</v>
      </c>
      <c r="B78" s="13"/>
      <c r="C78" s="13" t="s">
        <v>3479</v>
      </c>
      <c r="D78" s="13"/>
      <c r="E78" s="13"/>
      <c r="F78" s="13"/>
      <c r="G78" s="13"/>
      <c r="H78" s="13"/>
      <c r="I78" s="13"/>
      <c r="J78" s="9"/>
      <c r="K78" s="13"/>
    </row>
    <row r="79" spans="1:11" ht="15" customHeight="1" x14ac:dyDescent="0.2">
      <c r="A79" s="13" t="s">
        <v>3522</v>
      </c>
      <c r="B79" s="13" t="s">
        <v>3523</v>
      </c>
      <c r="C79" s="13" t="s">
        <v>3524</v>
      </c>
      <c r="D79" s="13" t="s">
        <v>15</v>
      </c>
      <c r="E79" s="13" t="s">
        <v>1270</v>
      </c>
      <c r="F79" s="13">
        <v>3.867</v>
      </c>
      <c r="G79" s="13" t="s">
        <v>86</v>
      </c>
      <c r="H79" s="13">
        <v>93215</v>
      </c>
      <c r="I79" s="13" t="s">
        <v>3525</v>
      </c>
      <c r="J79" s="9"/>
      <c r="K79" s="13">
        <v>31</v>
      </c>
    </row>
    <row r="80" spans="1:11" ht="15" customHeight="1" x14ac:dyDescent="0.2">
      <c r="A80" s="13" t="s">
        <v>3526</v>
      </c>
      <c r="B80" s="13"/>
      <c r="C80" s="13" t="s">
        <v>3527</v>
      </c>
      <c r="D80" s="13"/>
      <c r="E80" s="13"/>
      <c r="F80" s="13"/>
      <c r="G80" s="13"/>
      <c r="H80" s="13"/>
      <c r="I80" s="13"/>
      <c r="J80" s="9"/>
      <c r="K80" s="13"/>
    </row>
    <row r="81" spans="1:11" ht="15" customHeight="1" x14ac:dyDescent="0.2">
      <c r="A81" s="15" t="s">
        <v>3528</v>
      </c>
      <c r="B81" s="15"/>
      <c r="C81" s="15" t="s">
        <v>3477</v>
      </c>
      <c r="D81" s="15"/>
      <c r="E81" s="15"/>
      <c r="F81" s="15"/>
      <c r="G81" s="15"/>
      <c r="H81" s="15"/>
      <c r="I81" s="15"/>
      <c r="J81" s="10"/>
      <c r="K81" s="15"/>
    </row>
    <row r="82" spans="1:11" ht="15" customHeight="1" x14ac:dyDescent="0.2">
      <c r="A82" s="13" t="s">
        <v>3529</v>
      </c>
      <c r="B82" s="13"/>
      <c r="C82" s="13" t="s">
        <v>3479</v>
      </c>
      <c r="D82" s="13"/>
      <c r="E82" s="13"/>
      <c r="F82" s="13"/>
      <c r="G82" s="13"/>
      <c r="H82" s="13"/>
      <c r="I82" s="13"/>
      <c r="J82" s="9"/>
      <c r="K82" s="13"/>
    </row>
    <row r="83" spans="1:11" ht="15" customHeight="1" x14ac:dyDescent="0.2">
      <c r="A83" s="13" t="s">
        <v>3530</v>
      </c>
      <c r="B83" s="13" t="s">
        <v>3531</v>
      </c>
      <c r="C83" s="13" t="s">
        <v>3532</v>
      </c>
      <c r="D83" s="13" t="s">
        <v>2047</v>
      </c>
      <c r="E83" s="13" t="s">
        <v>1270</v>
      </c>
      <c r="F83" s="13">
        <v>6.2</v>
      </c>
      <c r="G83" s="13" t="s">
        <v>46</v>
      </c>
      <c r="H83" s="13">
        <v>11200</v>
      </c>
      <c r="I83" s="13" t="s">
        <v>3533</v>
      </c>
      <c r="J83" s="9" t="s">
        <v>3534</v>
      </c>
      <c r="K83" s="13">
        <v>20</v>
      </c>
    </row>
    <row r="84" spans="1:11" ht="15" customHeight="1" x14ac:dyDescent="0.2">
      <c r="A84" s="13" t="s">
        <v>3535</v>
      </c>
      <c r="B84" s="13" t="s">
        <v>3536</v>
      </c>
      <c r="C84" s="13" t="s">
        <v>3477</v>
      </c>
      <c r="D84" s="13" t="s">
        <v>15</v>
      </c>
      <c r="E84" s="13" t="s">
        <v>1046</v>
      </c>
      <c r="F84" s="13">
        <v>5.5389999999999997</v>
      </c>
      <c r="G84" s="13" t="s">
        <v>46</v>
      </c>
      <c r="H84" s="13">
        <v>399417</v>
      </c>
      <c r="I84" s="13" t="s">
        <v>3537</v>
      </c>
      <c r="J84" s="9" t="s">
        <v>3538</v>
      </c>
      <c r="K84" s="13">
        <v>51</v>
      </c>
    </row>
    <row r="85" spans="1:11" ht="15" customHeight="1" x14ac:dyDescent="0.2">
      <c r="A85" s="13" t="s">
        <v>3539</v>
      </c>
      <c r="B85" s="13" t="s">
        <v>3536</v>
      </c>
      <c r="C85" s="13" t="s">
        <v>3486</v>
      </c>
      <c r="D85" s="13" t="s">
        <v>15</v>
      </c>
      <c r="E85" s="13" t="s">
        <v>1046</v>
      </c>
      <c r="F85" s="13">
        <v>5.5389999999999997</v>
      </c>
      <c r="G85" s="13" t="s">
        <v>46</v>
      </c>
      <c r="H85" s="13">
        <v>399417</v>
      </c>
      <c r="I85" s="13" t="s">
        <v>3537</v>
      </c>
      <c r="J85" s="9" t="s">
        <v>3538</v>
      </c>
      <c r="K85" s="13">
        <v>51</v>
      </c>
    </row>
    <row r="86" spans="1:11" ht="15" customHeight="1" x14ac:dyDescent="0.2">
      <c r="A86" s="13" t="s">
        <v>3540</v>
      </c>
      <c r="B86" s="13" t="s">
        <v>3541</v>
      </c>
      <c r="C86" s="13" t="s">
        <v>3477</v>
      </c>
      <c r="D86" s="13" t="s">
        <v>2047</v>
      </c>
      <c r="E86" s="13" t="s">
        <v>1270</v>
      </c>
      <c r="F86" s="13">
        <v>0</v>
      </c>
      <c r="G86" s="13"/>
      <c r="H86" s="13">
        <v>482211</v>
      </c>
      <c r="I86" s="13" t="s">
        <v>3542</v>
      </c>
      <c r="J86" s="9" t="s">
        <v>3543</v>
      </c>
      <c r="K86" s="13">
        <v>0</v>
      </c>
    </row>
    <row r="87" spans="1:11" ht="15" customHeight="1" x14ac:dyDescent="0.2">
      <c r="A87" s="13" t="s">
        <v>3544</v>
      </c>
      <c r="B87" s="13" t="s">
        <v>3541</v>
      </c>
      <c r="C87" s="13" t="s">
        <v>3545</v>
      </c>
      <c r="D87" s="13" t="s">
        <v>2047</v>
      </c>
      <c r="E87" s="13" t="s">
        <v>1270</v>
      </c>
      <c r="F87" s="13">
        <v>0</v>
      </c>
      <c r="G87" s="13"/>
      <c r="H87" s="13">
        <v>482211</v>
      </c>
      <c r="I87" s="13" t="s">
        <v>3542</v>
      </c>
      <c r="J87" s="9" t="s">
        <v>3543</v>
      </c>
      <c r="K87" s="13">
        <v>0</v>
      </c>
    </row>
    <row r="88" spans="1:11" ht="15" customHeight="1" x14ac:dyDescent="0.2">
      <c r="A88" s="13" t="s">
        <v>3546</v>
      </c>
      <c r="B88" s="13" t="s">
        <v>3547</v>
      </c>
      <c r="C88" s="13" t="s">
        <v>3477</v>
      </c>
      <c r="D88" s="13" t="s">
        <v>2047</v>
      </c>
      <c r="E88" s="13" t="s">
        <v>1196</v>
      </c>
      <c r="F88" s="13">
        <v>0</v>
      </c>
      <c r="G88" s="13"/>
      <c r="H88" s="13">
        <v>1591611</v>
      </c>
      <c r="I88" s="13" t="s">
        <v>3548</v>
      </c>
      <c r="J88" s="9" t="s">
        <v>3549</v>
      </c>
      <c r="K88" s="13">
        <v>0</v>
      </c>
    </row>
    <row r="89" spans="1:11" ht="15" customHeight="1" x14ac:dyDescent="0.2">
      <c r="A89" s="13" t="s">
        <v>3550</v>
      </c>
      <c r="B89" s="13" t="s">
        <v>3547</v>
      </c>
      <c r="C89" s="13" t="s">
        <v>3486</v>
      </c>
      <c r="D89" s="13" t="s">
        <v>2047</v>
      </c>
      <c r="E89" s="13" t="s">
        <v>1196</v>
      </c>
      <c r="F89" s="13">
        <v>0</v>
      </c>
      <c r="G89" s="13"/>
      <c r="H89" s="13">
        <v>1591611</v>
      </c>
      <c r="I89" s="13" t="s">
        <v>3548</v>
      </c>
      <c r="J89" s="9" t="s">
        <v>3549</v>
      </c>
      <c r="K89" s="13">
        <v>0</v>
      </c>
    </row>
    <row r="90" spans="1:11" ht="15" customHeight="1" x14ac:dyDescent="0.2">
      <c r="A90" s="13" t="s">
        <v>3551</v>
      </c>
      <c r="B90" s="13" t="s">
        <v>3552</v>
      </c>
      <c r="C90" s="13" t="s">
        <v>3479</v>
      </c>
      <c r="D90" s="13" t="s">
        <v>2047</v>
      </c>
      <c r="E90" s="13" t="s">
        <v>1270</v>
      </c>
      <c r="F90" s="13">
        <v>0</v>
      </c>
      <c r="G90" s="13"/>
      <c r="H90" s="13">
        <v>613775</v>
      </c>
      <c r="I90" s="13" t="s">
        <v>3553</v>
      </c>
      <c r="J90" s="9" t="s">
        <v>3554</v>
      </c>
      <c r="K90" s="13">
        <v>0</v>
      </c>
    </row>
    <row r="91" spans="1:11" ht="15" customHeight="1" x14ac:dyDescent="0.2">
      <c r="A91" s="15" t="s">
        <v>3555</v>
      </c>
      <c r="B91" s="15" t="s">
        <v>3556</v>
      </c>
      <c r="C91" s="15" t="s">
        <v>3557</v>
      </c>
      <c r="D91" s="15" t="s">
        <v>15</v>
      </c>
      <c r="E91" s="15" t="s">
        <v>3558</v>
      </c>
      <c r="F91" s="15">
        <v>7.9</v>
      </c>
      <c r="G91" s="15" t="s">
        <v>77</v>
      </c>
      <c r="H91" s="15">
        <v>337755</v>
      </c>
      <c r="I91" s="15" t="s">
        <v>3559</v>
      </c>
      <c r="J91" s="10"/>
      <c r="K91" s="15">
        <v>90</v>
      </c>
    </row>
    <row r="92" spans="1:11" ht="15" customHeight="1" x14ac:dyDescent="0.2">
      <c r="A92" s="13" t="s">
        <v>3560</v>
      </c>
      <c r="B92" s="13"/>
      <c r="C92" s="13" t="s">
        <v>3477</v>
      </c>
      <c r="D92" s="13"/>
      <c r="E92" s="13"/>
      <c r="F92" s="13"/>
      <c r="G92" s="13"/>
      <c r="H92" s="13"/>
      <c r="I92" s="13"/>
      <c r="J92" s="9"/>
      <c r="K92" s="13"/>
    </row>
    <row r="93" spans="1:11" ht="15" customHeight="1" x14ac:dyDescent="0.2">
      <c r="A93" s="13" t="s">
        <v>3561</v>
      </c>
      <c r="B93" s="13"/>
      <c r="C93" s="13" t="s">
        <v>3479</v>
      </c>
      <c r="D93" s="13"/>
      <c r="E93" s="13"/>
      <c r="F93" s="13"/>
      <c r="G93" s="13"/>
      <c r="H93" s="13"/>
      <c r="I93" s="13"/>
      <c r="J93" s="9"/>
      <c r="K93" s="13"/>
    </row>
    <row r="94" spans="1:11" ht="15" customHeight="1" x14ac:dyDescent="0.2">
      <c r="A94" s="13" t="s">
        <v>3562</v>
      </c>
      <c r="B94" s="13"/>
      <c r="C94" s="13"/>
      <c r="D94" s="13" t="s">
        <v>3563</v>
      </c>
      <c r="E94" s="13" t="s">
        <v>3564</v>
      </c>
      <c r="F94" s="13"/>
      <c r="G94" s="13"/>
      <c r="H94" s="13"/>
      <c r="I94" s="13"/>
      <c r="J94" s="9"/>
      <c r="K94" s="13"/>
    </row>
    <row r="95" spans="1:11" ht="15" customHeight="1" x14ac:dyDescent="0.2">
      <c r="A95" s="13" t="s">
        <v>3565</v>
      </c>
      <c r="B95" s="13"/>
      <c r="C95" s="13"/>
      <c r="D95" s="13"/>
      <c r="E95" s="13"/>
      <c r="F95" s="13"/>
      <c r="G95" s="13"/>
      <c r="H95" s="13"/>
      <c r="I95" s="13"/>
      <c r="J95" s="9"/>
      <c r="K95" s="13"/>
    </row>
    <row r="96" spans="1:11" ht="15" customHeight="1" x14ac:dyDescent="0.2">
      <c r="A96" s="13" t="s">
        <v>3566</v>
      </c>
      <c r="B96" s="13"/>
      <c r="C96" s="13">
        <v>1986</v>
      </c>
      <c r="D96" s="13" t="s">
        <v>1012</v>
      </c>
      <c r="E96" s="13"/>
      <c r="F96" s="13"/>
      <c r="G96" s="13"/>
      <c r="H96" s="13"/>
      <c r="I96" s="13"/>
      <c r="J96" s="9"/>
      <c r="K96" s="13"/>
    </row>
    <row r="97" spans="1:11" ht="15" customHeight="1" x14ac:dyDescent="0.2">
      <c r="A97" s="13" t="s">
        <v>3567</v>
      </c>
      <c r="B97" s="13"/>
      <c r="C97" s="13">
        <v>1987</v>
      </c>
      <c r="D97" s="13" t="s">
        <v>3563</v>
      </c>
      <c r="E97" s="13"/>
      <c r="F97" s="13"/>
      <c r="G97" s="13"/>
      <c r="H97" s="13"/>
      <c r="I97" s="13"/>
      <c r="J97" s="9"/>
      <c r="K97" s="13"/>
    </row>
    <row r="98" spans="1:11" ht="15" customHeight="1" x14ac:dyDescent="0.2">
      <c r="A98" s="13" t="s">
        <v>3568</v>
      </c>
      <c r="B98" s="13"/>
      <c r="C98" s="13"/>
      <c r="D98" s="13" t="s">
        <v>3179</v>
      </c>
      <c r="E98" s="13" t="s">
        <v>3192</v>
      </c>
      <c r="F98" s="13"/>
      <c r="G98" s="13"/>
      <c r="H98" s="13"/>
      <c r="I98" s="13"/>
      <c r="J98" s="9"/>
      <c r="K98" s="13"/>
    </row>
    <row r="99" spans="1:11" ht="15" customHeight="1" x14ac:dyDescent="0.2">
      <c r="A99" s="13" t="s">
        <v>3569</v>
      </c>
      <c r="B99" s="13"/>
      <c r="C99" s="13">
        <v>1987</v>
      </c>
      <c r="D99" s="13" t="s">
        <v>3167</v>
      </c>
      <c r="E99" s="13" t="s">
        <v>3570</v>
      </c>
      <c r="F99" s="13"/>
      <c r="G99" s="13"/>
      <c r="H99" s="13"/>
      <c r="I99" s="13"/>
      <c r="J99" s="9"/>
      <c r="K99" s="13"/>
    </row>
    <row r="100" spans="1:11" ht="15" customHeight="1" x14ac:dyDescent="0.2">
      <c r="A100" s="13" t="e">
        <f>+jörg schüttauf</f>
        <v>#NAME?</v>
      </c>
      <c r="B100" s="13" t="s">
        <v>3357</v>
      </c>
      <c r="C100" s="13">
        <v>2025</v>
      </c>
      <c r="D100" s="13" t="s">
        <v>3358</v>
      </c>
      <c r="E100" s="13" t="s">
        <v>566</v>
      </c>
      <c r="F100" s="13">
        <v>7.7</v>
      </c>
      <c r="G100" s="13" t="s">
        <v>77</v>
      </c>
      <c r="H100" s="13" t="s">
        <v>3359</v>
      </c>
      <c r="I100" s="13" t="s">
        <v>3360</v>
      </c>
      <c r="J100" s="9" t="s">
        <v>3361</v>
      </c>
      <c r="K100" s="13">
        <v>143</v>
      </c>
    </row>
    <row r="101" spans="1:11" ht="15" customHeight="1" x14ac:dyDescent="0.2">
      <c r="A101" s="15" t="s">
        <v>3571</v>
      </c>
      <c r="B101" s="15" t="s">
        <v>3571</v>
      </c>
      <c r="C101" s="15">
        <v>1985</v>
      </c>
      <c r="D101" s="15" t="s">
        <v>3167</v>
      </c>
      <c r="E101" s="15" t="s">
        <v>1270</v>
      </c>
      <c r="F101" s="15">
        <v>3.25</v>
      </c>
      <c r="G101" s="15" t="s">
        <v>169</v>
      </c>
      <c r="H101" s="15" t="s">
        <v>3572</v>
      </c>
      <c r="I101" s="15" t="s">
        <v>3573</v>
      </c>
      <c r="J101" s="10" t="s">
        <v>3574</v>
      </c>
      <c r="K101" s="15">
        <v>4</v>
      </c>
    </row>
    <row r="102" spans="1:11" ht="15" customHeight="1" x14ac:dyDescent="0.2">
      <c r="A102" s="13" t="s">
        <v>3575</v>
      </c>
      <c r="B102" s="13"/>
      <c r="C102" s="13">
        <v>2012</v>
      </c>
      <c r="D102" s="13" t="s">
        <v>350</v>
      </c>
      <c r="E102" s="13" t="s">
        <v>3345</v>
      </c>
      <c r="F102" s="13"/>
      <c r="G102" s="13"/>
      <c r="H102" s="13"/>
      <c r="I102" s="13"/>
      <c r="J102" s="9" t="s">
        <v>3576</v>
      </c>
      <c r="K102" s="13"/>
    </row>
    <row r="103" spans="1:11" ht="15" customHeight="1" x14ac:dyDescent="0.2">
      <c r="A103" s="13" t="s">
        <v>3577</v>
      </c>
      <c r="B103" s="13" t="s">
        <v>3577</v>
      </c>
      <c r="C103" s="13">
        <v>2005</v>
      </c>
      <c r="D103" s="13" t="s">
        <v>350</v>
      </c>
      <c r="E103" s="13" t="s">
        <v>3345</v>
      </c>
      <c r="F103" s="13">
        <v>6</v>
      </c>
      <c r="G103" s="13" t="s">
        <v>46</v>
      </c>
      <c r="H103" s="13" t="s">
        <v>3578</v>
      </c>
      <c r="I103" s="13" t="s">
        <v>3579</v>
      </c>
      <c r="J103" s="9" t="s">
        <v>3580</v>
      </c>
      <c r="K103" s="13">
        <v>1</v>
      </c>
    </row>
    <row r="104" spans="1:11" ht="15" customHeight="1" x14ac:dyDescent="0.2">
      <c r="A104" s="13" t="e">
        <f>+dresden</f>
        <v>#NAME?</v>
      </c>
      <c r="B104" s="13" t="s">
        <v>3581</v>
      </c>
      <c r="C104" s="13">
        <v>2006</v>
      </c>
      <c r="D104" s="13" t="s">
        <v>2047</v>
      </c>
      <c r="E104" s="13" t="s">
        <v>243</v>
      </c>
      <c r="F104" s="13">
        <v>7.0510000000000002</v>
      </c>
      <c r="G104" s="13" t="s">
        <v>18</v>
      </c>
      <c r="H104" s="13" t="s">
        <v>3582</v>
      </c>
      <c r="I104" s="13" t="s">
        <v>3583</v>
      </c>
      <c r="J104" s="9" t="s">
        <v>3584</v>
      </c>
      <c r="K104" s="13">
        <v>528</v>
      </c>
    </row>
    <row r="105" spans="1:11" ht="15" customHeight="1" x14ac:dyDescent="0.2">
      <c r="A105" s="13" t="s">
        <v>3585</v>
      </c>
      <c r="B105" s="13" t="s">
        <v>3586</v>
      </c>
      <c r="C105" s="13" t="s">
        <v>3587</v>
      </c>
      <c r="D105" s="13" t="s">
        <v>2047</v>
      </c>
      <c r="E105" s="13" t="s">
        <v>3588</v>
      </c>
      <c r="F105" s="13">
        <v>0</v>
      </c>
      <c r="G105" s="13"/>
      <c r="H105" s="13">
        <v>454348</v>
      </c>
      <c r="I105" s="13"/>
      <c r="J105" s="9" t="s">
        <v>3589</v>
      </c>
      <c r="K105" s="13">
        <v>0</v>
      </c>
    </row>
    <row r="106" spans="1:11" ht="15" customHeight="1" x14ac:dyDescent="0.2">
      <c r="A106" s="13" t="s">
        <v>3590</v>
      </c>
      <c r="B106" s="13" t="s">
        <v>3586</v>
      </c>
      <c r="C106" s="13" t="s">
        <v>3591</v>
      </c>
      <c r="D106" s="13" t="s">
        <v>2047</v>
      </c>
      <c r="E106" s="13" t="s">
        <v>3588</v>
      </c>
      <c r="F106" s="13">
        <v>0</v>
      </c>
      <c r="G106" s="13"/>
      <c r="H106" s="13">
        <v>454348</v>
      </c>
      <c r="I106" s="13"/>
      <c r="J106" s="9" t="s">
        <v>3589</v>
      </c>
      <c r="K106" s="13">
        <v>0</v>
      </c>
    </row>
    <row r="107" spans="1:11" ht="15" customHeight="1" x14ac:dyDescent="0.2">
      <c r="A107" s="13" t="s">
        <v>3592</v>
      </c>
      <c r="B107" s="13" t="s">
        <v>3586</v>
      </c>
      <c r="C107" s="13" t="s">
        <v>3593</v>
      </c>
      <c r="D107" s="13" t="s">
        <v>2047</v>
      </c>
      <c r="E107" s="13" t="s">
        <v>3588</v>
      </c>
      <c r="F107" s="13">
        <v>0</v>
      </c>
      <c r="G107" s="13"/>
      <c r="H107" s="13">
        <v>454348</v>
      </c>
      <c r="I107" s="13"/>
      <c r="J107" s="9" t="s">
        <v>3589</v>
      </c>
      <c r="K107" s="13">
        <v>0</v>
      </c>
    </row>
    <row r="108" spans="1:11" ht="15" customHeight="1" x14ac:dyDescent="0.2">
      <c r="A108" s="13" t="e">
        <f>+defa synchronisationen</f>
        <v>#NAME?</v>
      </c>
      <c r="B108" s="13" t="s">
        <v>3357</v>
      </c>
      <c r="C108" s="13">
        <v>2025</v>
      </c>
      <c r="D108" s="13" t="s">
        <v>3358</v>
      </c>
      <c r="E108" s="13" t="s">
        <v>566</v>
      </c>
      <c r="F108" s="13">
        <v>7.7</v>
      </c>
      <c r="G108" s="13" t="s">
        <v>77</v>
      </c>
      <c r="H108" s="13" t="s">
        <v>3359</v>
      </c>
      <c r="I108" s="13" t="s">
        <v>3360</v>
      </c>
      <c r="J108" s="9" t="s">
        <v>3361</v>
      </c>
      <c r="K108" s="13">
        <v>143</v>
      </c>
    </row>
    <row r="109" spans="1:11" ht="15" customHeight="1" x14ac:dyDescent="0.2">
      <c r="A109" s="13" t="s">
        <v>3594</v>
      </c>
      <c r="B109" s="13" t="s">
        <v>3595</v>
      </c>
      <c r="C109" s="13">
        <v>1987</v>
      </c>
      <c r="D109" s="13" t="s">
        <v>3385</v>
      </c>
      <c r="E109" s="13" t="s">
        <v>3596</v>
      </c>
      <c r="F109" s="13">
        <v>6.3</v>
      </c>
      <c r="G109" s="13" t="s">
        <v>46</v>
      </c>
      <c r="H109" s="13" t="s">
        <v>3597</v>
      </c>
      <c r="I109" s="13" t="s">
        <v>3598</v>
      </c>
      <c r="J109" s="9" t="s">
        <v>3599</v>
      </c>
      <c r="K109" s="13">
        <v>29</v>
      </c>
    </row>
    <row r="110" spans="1:11" ht="15" customHeight="1" x14ac:dyDescent="0.2">
      <c r="A110" s="13" t="s">
        <v>3600</v>
      </c>
      <c r="B110" s="13"/>
      <c r="C110" s="13"/>
      <c r="D110" s="13" t="s">
        <v>3601</v>
      </c>
      <c r="E110" s="13" t="s">
        <v>3258</v>
      </c>
      <c r="F110" s="13"/>
      <c r="G110" s="13"/>
      <c r="H110" s="13"/>
      <c r="I110" s="13"/>
      <c r="J110" s="9"/>
      <c r="K110" s="13"/>
    </row>
    <row r="111" spans="1:11" ht="15" customHeight="1" x14ac:dyDescent="0.2">
      <c r="A111" s="15" t="s">
        <v>3602</v>
      </c>
      <c r="B111" s="15"/>
      <c r="C111" s="15"/>
      <c r="D111" s="15" t="s">
        <v>3603</v>
      </c>
      <c r="E111" s="15" t="s">
        <v>3604</v>
      </c>
      <c r="F111" s="15"/>
      <c r="G111" s="15"/>
      <c r="H111" s="15"/>
      <c r="I111" s="15"/>
      <c r="J111" s="10"/>
      <c r="K111" s="15"/>
    </row>
    <row r="112" spans="1:11" ht="15" customHeight="1" x14ac:dyDescent="0.2">
      <c r="A112" s="13" t="s">
        <v>3605</v>
      </c>
      <c r="B112" s="13" t="s">
        <v>3606</v>
      </c>
      <c r="C112" s="13">
        <v>1954</v>
      </c>
      <c r="D112" s="13" t="s">
        <v>3607</v>
      </c>
      <c r="E112" s="13" t="s">
        <v>566</v>
      </c>
      <c r="F112" s="13">
        <v>0</v>
      </c>
      <c r="G112" s="13"/>
      <c r="H112" s="13" t="s">
        <v>3608</v>
      </c>
      <c r="I112" s="13" t="s">
        <v>49</v>
      </c>
      <c r="J112" s="9" t="s">
        <v>3609</v>
      </c>
      <c r="K112" s="13">
        <v>0</v>
      </c>
    </row>
    <row r="113" spans="1:11" ht="15" customHeight="1" x14ac:dyDescent="0.2">
      <c r="A113" s="13" t="s">
        <v>3610</v>
      </c>
      <c r="B113" s="13" t="s">
        <v>3611</v>
      </c>
      <c r="C113" s="13">
        <v>1976</v>
      </c>
      <c r="D113" s="13" t="s">
        <v>3607</v>
      </c>
      <c r="E113" s="13" t="s">
        <v>1270</v>
      </c>
      <c r="F113" s="13">
        <v>6.1</v>
      </c>
      <c r="G113" s="13" t="s">
        <v>46</v>
      </c>
      <c r="H113" s="13" t="s">
        <v>3612</v>
      </c>
      <c r="I113" s="13" t="s">
        <v>3613</v>
      </c>
      <c r="J113" s="9" t="s">
        <v>3614</v>
      </c>
      <c r="K113" s="13">
        <v>87</v>
      </c>
    </row>
    <row r="114" spans="1:11" ht="15" customHeight="1" x14ac:dyDescent="0.2">
      <c r="A114" s="13" t="s">
        <v>3615</v>
      </c>
      <c r="B114" s="13" t="s">
        <v>3615</v>
      </c>
      <c r="C114" s="13">
        <v>1952</v>
      </c>
      <c r="D114" s="13" t="s">
        <v>3616</v>
      </c>
      <c r="E114" s="13" t="s">
        <v>3090</v>
      </c>
      <c r="F114" s="13"/>
      <c r="G114" s="13"/>
      <c r="H114" s="13" t="s">
        <v>3617</v>
      </c>
      <c r="I114" s="13" t="s">
        <v>3615</v>
      </c>
      <c r="J114" s="9"/>
      <c r="K114" s="13"/>
    </row>
    <row r="115" spans="1:11" ht="15" customHeight="1" x14ac:dyDescent="0.2">
      <c r="A115" s="13" t="s">
        <v>3618</v>
      </c>
      <c r="B115" s="13" t="s">
        <v>3618</v>
      </c>
      <c r="C115" s="13">
        <v>1970</v>
      </c>
      <c r="D115" s="13" t="s">
        <v>15</v>
      </c>
      <c r="E115" s="13" t="s">
        <v>566</v>
      </c>
      <c r="F115" s="13">
        <v>0</v>
      </c>
      <c r="G115" s="13"/>
      <c r="H115" s="13" t="s">
        <v>3619</v>
      </c>
      <c r="I115" s="13" t="s">
        <v>3620</v>
      </c>
      <c r="J115" s="9" t="s">
        <v>3621</v>
      </c>
      <c r="K115" s="13">
        <v>0</v>
      </c>
    </row>
    <row r="116" spans="1:11" ht="15" customHeight="1" x14ac:dyDescent="0.2">
      <c r="A116" s="13" t="s">
        <v>3622</v>
      </c>
      <c r="B116" s="13" t="s">
        <v>3623</v>
      </c>
      <c r="C116" s="13">
        <v>1985</v>
      </c>
      <c r="D116" s="13" t="s">
        <v>3624</v>
      </c>
      <c r="E116" s="13" t="s">
        <v>3596</v>
      </c>
      <c r="F116" s="13">
        <v>8.2270000000000003</v>
      </c>
      <c r="G116" s="13" t="s">
        <v>77</v>
      </c>
      <c r="H116" s="13" t="s">
        <v>3625</v>
      </c>
      <c r="I116" s="13" t="s">
        <v>3626</v>
      </c>
      <c r="J116" s="9" t="s">
        <v>3627</v>
      </c>
      <c r="K116" s="13">
        <v>1709</v>
      </c>
    </row>
    <row r="117" spans="1:11" ht="15" customHeight="1" x14ac:dyDescent="0.2">
      <c r="A117" s="13" t="s">
        <v>3628</v>
      </c>
      <c r="B117" s="13" t="s">
        <v>3629</v>
      </c>
      <c r="C117" s="13">
        <v>1937</v>
      </c>
      <c r="D117" s="13" t="s">
        <v>15</v>
      </c>
      <c r="E117" s="13" t="s">
        <v>566</v>
      </c>
      <c r="F117" s="13">
        <v>6.6</v>
      </c>
      <c r="G117" s="13" t="s">
        <v>18</v>
      </c>
      <c r="H117" s="13" t="s">
        <v>3630</v>
      </c>
      <c r="I117" s="13" t="s">
        <v>3631</v>
      </c>
      <c r="J117" s="9" t="s">
        <v>3632</v>
      </c>
      <c r="K117" s="13">
        <v>242</v>
      </c>
    </row>
    <row r="118" spans="1:11" ht="15" customHeight="1" x14ac:dyDescent="0.2">
      <c r="A118" s="13" t="s">
        <v>3633</v>
      </c>
      <c r="B118" s="13"/>
      <c r="C118" s="13">
        <v>1963</v>
      </c>
      <c r="D118" s="13" t="s">
        <v>3634</v>
      </c>
      <c r="E118" s="13" t="s">
        <v>35</v>
      </c>
      <c r="F118" s="13"/>
      <c r="G118" s="13"/>
      <c r="H118" s="13"/>
      <c r="I118" s="13"/>
      <c r="J118" s="9"/>
      <c r="K118" s="13"/>
    </row>
    <row r="119" spans="1:11" ht="15" customHeight="1" x14ac:dyDescent="0.2">
      <c r="A119" s="13" t="s">
        <v>3635</v>
      </c>
      <c r="B119" s="13"/>
      <c r="C119" s="13">
        <v>1959</v>
      </c>
      <c r="D119" s="13" t="s">
        <v>3607</v>
      </c>
      <c r="E119" s="13" t="s">
        <v>1270</v>
      </c>
      <c r="F119" s="13"/>
      <c r="G119" s="13"/>
      <c r="H119" s="13"/>
      <c r="I119" s="13"/>
      <c r="J119" s="9"/>
      <c r="K119" s="13"/>
    </row>
    <row r="120" spans="1:11" ht="15" customHeight="1" x14ac:dyDescent="0.2">
      <c r="A120" s="13" t="s">
        <v>3636</v>
      </c>
      <c r="B120" s="13"/>
      <c r="C120" s="13">
        <v>1983</v>
      </c>
      <c r="D120" s="13" t="s">
        <v>3637</v>
      </c>
      <c r="E120" s="13" t="s">
        <v>35</v>
      </c>
      <c r="F120" s="13"/>
      <c r="G120" s="13"/>
      <c r="H120" s="13"/>
      <c r="I120" s="13"/>
      <c r="J120" s="9"/>
      <c r="K120" s="13"/>
    </row>
    <row r="121" spans="1:11" ht="15" customHeight="1" x14ac:dyDescent="0.2">
      <c r="A121" s="15" t="s">
        <v>3638</v>
      </c>
      <c r="B121" s="15"/>
      <c r="C121" s="15">
        <v>1984</v>
      </c>
      <c r="D121" s="15" t="s">
        <v>3634</v>
      </c>
      <c r="E121" s="15" t="s">
        <v>3215</v>
      </c>
      <c r="F121" s="15"/>
      <c r="G121" s="15"/>
      <c r="H121" s="15"/>
      <c r="I121" s="15"/>
      <c r="J121" s="10"/>
      <c r="K121" s="15"/>
    </row>
    <row r="122" spans="1:11" ht="15" customHeight="1" x14ac:dyDescent="0.2">
      <c r="A122" s="13" t="s">
        <v>3639</v>
      </c>
      <c r="B122" s="13" t="s">
        <v>3640</v>
      </c>
      <c r="C122" s="13">
        <v>1983</v>
      </c>
      <c r="D122" s="13" t="s">
        <v>3641</v>
      </c>
      <c r="E122" s="13" t="s">
        <v>566</v>
      </c>
      <c r="F122" s="13">
        <v>5.8</v>
      </c>
      <c r="G122" s="13" t="s">
        <v>46</v>
      </c>
      <c r="H122" s="13" t="s">
        <v>3642</v>
      </c>
      <c r="I122" s="13" t="s">
        <v>3643</v>
      </c>
      <c r="J122" s="9" t="s">
        <v>3644</v>
      </c>
      <c r="K122" s="13">
        <v>16</v>
      </c>
    </row>
    <row r="123" spans="1:11" ht="15" customHeight="1" x14ac:dyDescent="0.2">
      <c r="A123" s="13" t="s">
        <v>3645</v>
      </c>
      <c r="B123" s="13" t="s">
        <v>3646</v>
      </c>
      <c r="C123" s="13">
        <v>1973</v>
      </c>
      <c r="D123" s="13" t="s">
        <v>282</v>
      </c>
      <c r="E123" s="13" t="s">
        <v>3258</v>
      </c>
      <c r="F123" s="13">
        <v>7.4</v>
      </c>
      <c r="G123" s="13" t="s">
        <v>18</v>
      </c>
      <c r="H123" s="13" t="s">
        <v>3647</v>
      </c>
      <c r="I123" s="13" t="s">
        <v>3648</v>
      </c>
      <c r="J123" s="9" t="s">
        <v>3649</v>
      </c>
      <c r="K123" s="13">
        <v>57</v>
      </c>
    </row>
    <row r="124" spans="1:11" ht="15" customHeight="1" x14ac:dyDescent="0.2">
      <c r="A124" s="13" t="s">
        <v>3650</v>
      </c>
      <c r="B124" s="13" t="s">
        <v>3651</v>
      </c>
      <c r="C124" s="13">
        <v>1954</v>
      </c>
      <c r="D124" s="13" t="s">
        <v>2047</v>
      </c>
      <c r="E124" s="13" t="s">
        <v>3345</v>
      </c>
      <c r="F124" s="13">
        <v>5</v>
      </c>
      <c r="G124" s="13" t="s">
        <v>28</v>
      </c>
      <c r="H124" s="13" t="s">
        <v>3652</v>
      </c>
      <c r="I124" s="13" t="s">
        <v>3653</v>
      </c>
      <c r="J124" s="9" t="s">
        <v>3654</v>
      </c>
      <c r="K124" s="13">
        <v>1</v>
      </c>
    </row>
    <row r="125" spans="1:11" ht="15" customHeight="1" x14ac:dyDescent="0.2">
      <c r="A125" s="13" t="s">
        <v>3655</v>
      </c>
      <c r="B125" s="13"/>
      <c r="C125" s="13">
        <v>1979</v>
      </c>
      <c r="D125" s="13" t="s">
        <v>1316</v>
      </c>
      <c r="E125" s="13" t="s">
        <v>35</v>
      </c>
      <c r="F125" s="13"/>
      <c r="G125" s="13"/>
      <c r="H125" s="13"/>
      <c r="I125" s="13"/>
      <c r="J125" s="9"/>
      <c r="K125" s="13"/>
    </row>
    <row r="126" spans="1:11" ht="15" customHeight="1" x14ac:dyDescent="0.2">
      <c r="A126" s="13" t="s">
        <v>3656</v>
      </c>
      <c r="B126" s="13"/>
      <c r="C126" s="13">
        <v>1979</v>
      </c>
      <c r="D126" s="13" t="s">
        <v>3657</v>
      </c>
      <c r="E126" s="13" t="s">
        <v>84</v>
      </c>
      <c r="F126" s="13"/>
      <c r="G126" s="13"/>
      <c r="H126" s="13"/>
      <c r="I126" s="13"/>
      <c r="J126" s="9" t="s">
        <v>3658</v>
      </c>
      <c r="K126" s="13"/>
    </row>
    <row r="127" spans="1:11" ht="15" customHeight="1" x14ac:dyDescent="0.2">
      <c r="A127" s="13" t="s">
        <v>3659</v>
      </c>
      <c r="B127" s="13" t="s">
        <v>3660</v>
      </c>
      <c r="C127" s="13">
        <v>1983</v>
      </c>
      <c r="D127" s="13" t="s">
        <v>3661</v>
      </c>
      <c r="E127" s="13" t="s">
        <v>35</v>
      </c>
      <c r="F127" s="13">
        <v>5.7</v>
      </c>
      <c r="G127" s="13" t="s">
        <v>46</v>
      </c>
      <c r="H127" s="13" t="s">
        <v>3662</v>
      </c>
      <c r="I127" s="13" t="s">
        <v>3663</v>
      </c>
      <c r="J127" s="9" t="s">
        <v>3664</v>
      </c>
      <c r="K127" s="13">
        <v>29</v>
      </c>
    </row>
    <row r="128" spans="1:11" ht="15" customHeight="1" x14ac:dyDescent="0.2">
      <c r="A128" s="13" t="s">
        <v>3665</v>
      </c>
      <c r="B128" s="13"/>
      <c r="C128" s="13">
        <v>1973</v>
      </c>
      <c r="D128" s="13" t="s">
        <v>3634</v>
      </c>
      <c r="E128" s="13" t="s">
        <v>1270</v>
      </c>
      <c r="F128" s="13"/>
      <c r="G128" s="13"/>
      <c r="H128" s="13"/>
      <c r="I128" s="13"/>
      <c r="J128" s="9"/>
      <c r="K128" s="13"/>
    </row>
    <row r="129" spans="1:11" ht="15" customHeight="1" x14ac:dyDescent="0.2">
      <c r="A129" s="13" t="s">
        <v>3666</v>
      </c>
      <c r="B129" s="13"/>
      <c r="C129" s="13">
        <v>1978</v>
      </c>
      <c r="D129" s="13" t="s">
        <v>3634</v>
      </c>
      <c r="E129" s="13" t="s">
        <v>3215</v>
      </c>
      <c r="F129" s="13"/>
      <c r="G129" s="13"/>
      <c r="H129" s="13"/>
      <c r="I129" s="13"/>
      <c r="J129" s="9"/>
      <c r="K129" s="13"/>
    </row>
    <row r="130" spans="1:11" ht="15" customHeight="1" x14ac:dyDescent="0.2">
      <c r="A130" s="13" t="s">
        <v>3667</v>
      </c>
      <c r="B130" s="13" t="s">
        <v>3668</v>
      </c>
      <c r="C130" s="13">
        <v>1956</v>
      </c>
      <c r="D130" s="13" t="s">
        <v>350</v>
      </c>
      <c r="E130" s="13" t="s">
        <v>3669</v>
      </c>
      <c r="F130" s="13">
        <v>5.4</v>
      </c>
      <c r="G130" s="13" t="s">
        <v>28</v>
      </c>
      <c r="H130" s="13" t="s">
        <v>3670</v>
      </c>
      <c r="I130" s="13" t="s">
        <v>3671</v>
      </c>
      <c r="J130" s="9" t="s">
        <v>3672</v>
      </c>
      <c r="K130" s="13">
        <v>8</v>
      </c>
    </row>
    <row r="131" spans="1:11" ht="15" customHeight="1" x14ac:dyDescent="0.2">
      <c r="A131" s="15" t="s">
        <v>3673</v>
      </c>
      <c r="B131" s="15" t="s">
        <v>3673</v>
      </c>
      <c r="C131" s="15">
        <v>1975</v>
      </c>
      <c r="D131" s="15" t="s">
        <v>3674</v>
      </c>
      <c r="E131" s="15" t="s">
        <v>3675</v>
      </c>
      <c r="F131" s="15">
        <v>6.1669999999999998</v>
      </c>
      <c r="G131" s="15" t="s">
        <v>46</v>
      </c>
      <c r="H131" s="15" t="s">
        <v>3676</v>
      </c>
      <c r="I131" s="15" t="s">
        <v>3677</v>
      </c>
      <c r="J131" s="10" t="s">
        <v>3678</v>
      </c>
      <c r="K131" s="15">
        <v>117</v>
      </c>
    </row>
    <row r="132" spans="1:11" ht="15" customHeight="1" x14ac:dyDescent="0.2">
      <c r="A132" s="13" t="s">
        <v>3679</v>
      </c>
      <c r="B132" s="13" t="s">
        <v>3680</v>
      </c>
      <c r="C132" s="13">
        <v>1968</v>
      </c>
      <c r="D132" s="13" t="s">
        <v>3607</v>
      </c>
      <c r="E132" s="13" t="s">
        <v>3345</v>
      </c>
      <c r="F132" s="13">
        <v>7.0629999999999997</v>
      </c>
      <c r="G132" s="13" t="s">
        <v>18</v>
      </c>
      <c r="H132" s="13" t="s">
        <v>3681</v>
      </c>
      <c r="I132" s="13" t="s">
        <v>3682</v>
      </c>
      <c r="J132" s="9" t="s">
        <v>3683</v>
      </c>
      <c r="K132" s="13">
        <v>112</v>
      </c>
    </row>
    <row r="133" spans="1:11" ht="15" customHeight="1" x14ac:dyDescent="0.2">
      <c r="A133" s="13" t="s">
        <v>3684</v>
      </c>
      <c r="B133" s="13" t="s">
        <v>3685</v>
      </c>
      <c r="C133" s="13">
        <v>1970</v>
      </c>
      <c r="D133" s="13" t="s">
        <v>3641</v>
      </c>
      <c r="E133" s="13" t="s">
        <v>3345</v>
      </c>
      <c r="F133" s="13">
        <v>7.3010000000000002</v>
      </c>
      <c r="G133" s="13" t="s">
        <v>18</v>
      </c>
      <c r="H133" s="13" t="s">
        <v>3686</v>
      </c>
      <c r="I133" s="13" t="s">
        <v>3687</v>
      </c>
      <c r="J133" s="9" t="s">
        <v>3688</v>
      </c>
      <c r="K133" s="13">
        <v>108</v>
      </c>
    </row>
    <row r="134" spans="1:11" ht="15" customHeight="1" x14ac:dyDescent="0.2">
      <c r="A134" s="13" t="s">
        <v>3689</v>
      </c>
      <c r="B134" s="13"/>
      <c r="C134" s="13">
        <v>1974</v>
      </c>
      <c r="D134" s="13" t="s">
        <v>3634</v>
      </c>
      <c r="E134" s="13" t="s">
        <v>35</v>
      </c>
      <c r="F134" s="13"/>
      <c r="G134" s="13"/>
      <c r="H134" s="13"/>
      <c r="I134" s="13"/>
      <c r="J134" s="9"/>
      <c r="K134" s="13"/>
    </row>
    <row r="135" spans="1:11" ht="15" customHeight="1" x14ac:dyDescent="0.2">
      <c r="A135" s="13" t="s">
        <v>3690</v>
      </c>
      <c r="B135" s="13" t="s">
        <v>3691</v>
      </c>
      <c r="C135" s="13"/>
      <c r="D135" s="13" t="s">
        <v>2047</v>
      </c>
      <c r="E135" s="13" t="s">
        <v>566</v>
      </c>
      <c r="F135" s="13">
        <v>6.6</v>
      </c>
      <c r="G135" s="13" t="s">
        <v>18</v>
      </c>
      <c r="H135" s="13">
        <v>304395</v>
      </c>
      <c r="I135" s="13" t="s">
        <v>3692</v>
      </c>
      <c r="J135" s="9" t="s">
        <v>3693</v>
      </c>
      <c r="K135" s="13">
        <v>5</v>
      </c>
    </row>
    <row r="136" spans="1:11" ht="15" customHeight="1" x14ac:dyDescent="0.2">
      <c r="A136" s="13" t="s">
        <v>3694</v>
      </c>
      <c r="B136" s="13" t="s">
        <v>3695</v>
      </c>
      <c r="C136" s="13">
        <v>1980</v>
      </c>
      <c r="D136" s="13" t="s">
        <v>3607</v>
      </c>
      <c r="E136" s="13" t="s">
        <v>1270</v>
      </c>
      <c r="F136" s="13">
        <v>7.1289999999999996</v>
      </c>
      <c r="G136" s="13" t="s">
        <v>18</v>
      </c>
      <c r="H136" s="13" t="s">
        <v>3696</v>
      </c>
      <c r="I136" s="13" t="s">
        <v>3697</v>
      </c>
      <c r="J136" s="9" t="s">
        <v>3698</v>
      </c>
      <c r="K136" s="13">
        <v>485</v>
      </c>
    </row>
    <row r="137" spans="1:11" ht="15" customHeight="1" x14ac:dyDescent="0.2">
      <c r="A137" s="13" t="s">
        <v>3699</v>
      </c>
      <c r="B137" s="13" t="s">
        <v>3700</v>
      </c>
      <c r="C137" s="13">
        <v>1980</v>
      </c>
      <c r="D137" s="13" t="s">
        <v>15</v>
      </c>
      <c r="E137" s="13" t="s">
        <v>35</v>
      </c>
      <c r="F137" s="13">
        <v>5</v>
      </c>
      <c r="G137" s="13" t="s">
        <v>28</v>
      </c>
      <c r="H137" s="13" t="s">
        <v>3701</v>
      </c>
      <c r="I137" s="13" t="s">
        <v>3702</v>
      </c>
      <c r="J137" s="9"/>
      <c r="K137" s="13">
        <v>1</v>
      </c>
    </row>
    <row r="138" spans="1:11" ht="15" customHeight="1" x14ac:dyDescent="0.2">
      <c r="A138" s="13" t="s">
        <v>3703</v>
      </c>
      <c r="B138" s="13" t="s">
        <v>3704</v>
      </c>
      <c r="C138" s="13">
        <v>1969</v>
      </c>
      <c r="D138" s="13" t="s">
        <v>15</v>
      </c>
      <c r="E138" s="13" t="s">
        <v>566</v>
      </c>
      <c r="F138" s="13">
        <v>6</v>
      </c>
      <c r="G138" s="13" t="s">
        <v>46</v>
      </c>
      <c r="H138" s="13" t="s">
        <v>3705</v>
      </c>
      <c r="I138" s="13" t="s">
        <v>3706</v>
      </c>
      <c r="J138" s="9" t="s">
        <v>3707</v>
      </c>
      <c r="K138" s="13">
        <v>65</v>
      </c>
    </row>
    <row r="139" spans="1:11" ht="15" customHeight="1" x14ac:dyDescent="0.2">
      <c r="A139" s="13" t="s">
        <v>3708</v>
      </c>
      <c r="B139" s="13"/>
      <c r="C139" s="13"/>
      <c r="D139" s="13" t="s">
        <v>3709</v>
      </c>
      <c r="E139" s="13" t="s">
        <v>3710</v>
      </c>
      <c r="F139" s="13"/>
      <c r="G139" s="13"/>
      <c r="H139" s="13"/>
      <c r="I139" s="13"/>
      <c r="J139" s="9"/>
      <c r="K139" s="13"/>
    </row>
    <row r="140" spans="1:11" ht="15" customHeight="1" x14ac:dyDescent="0.2">
      <c r="A140" s="13" t="s">
        <v>3711</v>
      </c>
      <c r="B140" s="13" t="s">
        <v>3712</v>
      </c>
      <c r="C140" s="13">
        <v>1976</v>
      </c>
      <c r="D140" s="13" t="s">
        <v>209</v>
      </c>
      <c r="E140" s="13" t="s">
        <v>35</v>
      </c>
      <c r="F140" s="13">
        <v>4.3</v>
      </c>
      <c r="G140" s="13" t="s">
        <v>86</v>
      </c>
      <c r="H140" s="13" t="s">
        <v>3713</v>
      </c>
      <c r="I140" s="13" t="s">
        <v>3714</v>
      </c>
      <c r="J140" s="9" t="s">
        <v>3715</v>
      </c>
      <c r="K140" s="13">
        <v>3</v>
      </c>
    </row>
    <row r="141" spans="1:11" ht="15" customHeight="1" x14ac:dyDescent="0.2">
      <c r="A141" s="15" t="s">
        <v>3716</v>
      </c>
      <c r="B141" s="15"/>
      <c r="C141" s="15">
        <v>1978</v>
      </c>
      <c r="D141" s="15" t="s">
        <v>3717</v>
      </c>
      <c r="E141" s="15" t="s">
        <v>3718</v>
      </c>
      <c r="F141" s="15"/>
      <c r="G141" s="15"/>
      <c r="H141" s="15"/>
      <c r="I141" s="15"/>
      <c r="J141" s="10"/>
      <c r="K141" s="15"/>
    </row>
    <row r="142" spans="1:11" ht="15" customHeight="1" x14ac:dyDescent="0.2">
      <c r="A142" s="13" t="s">
        <v>3719</v>
      </c>
      <c r="B142" s="13" t="s">
        <v>3719</v>
      </c>
      <c r="C142" s="13">
        <v>1930</v>
      </c>
      <c r="D142" s="13" t="s">
        <v>15</v>
      </c>
      <c r="E142" s="13" t="s">
        <v>1270</v>
      </c>
      <c r="F142" s="13">
        <v>4.3</v>
      </c>
      <c r="G142" s="13" t="s">
        <v>86</v>
      </c>
      <c r="H142" s="13" t="s">
        <v>3720</v>
      </c>
      <c r="I142" s="13" t="s">
        <v>3721</v>
      </c>
      <c r="J142" s="9"/>
      <c r="K142" s="13">
        <v>12</v>
      </c>
    </row>
    <row r="143" spans="1:11" ht="15" customHeight="1" x14ac:dyDescent="0.2">
      <c r="A143" s="13" t="e">
        <f>+ddr filme</f>
        <v>#NAME?</v>
      </c>
      <c r="B143" s="13" t="s">
        <v>3357</v>
      </c>
      <c r="C143" s="13">
        <v>2025</v>
      </c>
      <c r="D143" s="13" t="s">
        <v>3358</v>
      </c>
      <c r="E143" s="13" t="s">
        <v>566</v>
      </c>
      <c r="F143" s="13">
        <v>7.7</v>
      </c>
      <c r="G143" s="13" t="s">
        <v>77</v>
      </c>
      <c r="H143" s="13" t="s">
        <v>3359</v>
      </c>
      <c r="I143" s="13" t="s">
        <v>3360</v>
      </c>
      <c r="J143" s="9" t="s">
        <v>3361</v>
      </c>
      <c r="K143" s="13">
        <v>143</v>
      </c>
    </row>
    <row r="144" spans="1:11" ht="15" customHeight="1" x14ac:dyDescent="0.2">
      <c r="A144" s="13" t="s">
        <v>3722</v>
      </c>
      <c r="B144" s="13" t="s">
        <v>3723</v>
      </c>
      <c r="C144" s="13">
        <v>1977</v>
      </c>
      <c r="D144" s="13" t="s">
        <v>3167</v>
      </c>
      <c r="E144" s="13" t="s">
        <v>566</v>
      </c>
      <c r="F144" s="13">
        <v>0</v>
      </c>
      <c r="G144" s="13"/>
      <c r="H144" s="13" t="s">
        <v>3724</v>
      </c>
      <c r="I144" s="13" t="s">
        <v>3725</v>
      </c>
      <c r="J144" s="9" t="s">
        <v>3726</v>
      </c>
      <c r="K144" s="13">
        <v>0</v>
      </c>
    </row>
    <row r="145" spans="1:11" ht="15" customHeight="1" x14ac:dyDescent="0.2">
      <c r="A145" s="13" t="s">
        <v>3727</v>
      </c>
      <c r="B145" s="13" t="s">
        <v>3727</v>
      </c>
      <c r="C145" s="13">
        <v>1979</v>
      </c>
      <c r="D145" s="13" t="s">
        <v>3167</v>
      </c>
      <c r="E145" s="13" t="s">
        <v>566</v>
      </c>
      <c r="F145" s="13">
        <v>4</v>
      </c>
      <c r="G145" s="13" t="s">
        <v>86</v>
      </c>
      <c r="H145" s="13" t="s">
        <v>3728</v>
      </c>
      <c r="I145" s="13" t="s">
        <v>3729</v>
      </c>
      <c r="J145" s="9" t="s">
        <v>3730</v>
      </c>
      <c r="K145" s="13">
        <v>1</v>
      </c>
    </row>
    <row r="146" spans="1:11" ht="15" customHeight="1" x14ac:dyDescent="0.2">
      <c r="A146" s="13" t="s">
        <v>3731</v>
      </c>
      <c r="B146" s="13" t="s">
        <v>1199</v>
      </c>
      <c r="C146" s="13">
        <v>1965</v>
      </c>
      <c r="D146" s="13" t="s">
        <v>3167</v>
      </c>
      <c r="E146" s="13" t="s">
        <v>3596</v>
      </c>
      <c r="F146" s="13">
        <v>7.0419999999999998</v>
      </c>
      <c r="G146" s="13" t="s">
        <v>18</v>
      </c>
      <c r="H146" s="13" t="s">
        <v>1201</v>
      </c>
      <c r="I146" s="13" t="s">
        <v>1202</v>
      </c>
      <c r="J146" s="9" t="s">
        <v>1203</v>
      </c>
      <c r="K146" s="13">
        <v>191</v>
      </c>
    </row>
    <row r="147" spans="1:11" ht="15" customHeight="1" x14ac:dyDescent="0.2">
      <c r="A147" s="13" t="s">
        <v>3732</v>
      </c>
      <c r="B147" s="13" t="s">
        <v>3732</v>
      </c>
      <c r="C147" s="13">
        <v>1988</v>
      </c>
      <c r="D147" s="13" t="s">
        <v>3167</v>
      </c>
      <c r="E147" s="13" t="s">
        <v>3733</v>
      </c>
      <c r="F147" s="13">
        <v>7</v>
      </c>
      <c r="G147" s="13" t="s">
        <v>18</v>
      </c>
      <c r="H147" s="13" t="s">
        <v>3734</v>
      </c>
      <c r="I147" s="13" t="s">
        <v>3735</v>
      </c>
      <c r="J147" s="9" t="s">
        <v>3736</v>
      </c>
      <c r="K147" s="13">
        <v>2</v>
      </c>
    </row>
    <row r="148" spans="1:11" ht="15" customHeight="1" x14ac:dyDescent="0.2">
      <c r="A148" s="13" t="s">
        <v>3737</v>
      </c>
      <c r="B148" s="13" t="s">
        <v>3737</v>
      </c>
      <c r="C148" s="13">
        <v>1985</v>
      </c>
      <c r="D148" s="13" t="s">
        <v>3167</v>
      </c>
      <c r="E148" s="13" t="s">
        <v>3733</v>
      </c>
      <c r="F148" s="13">
        <v>6.2</v>
      </c>
      <c r="G148" s="13" t="s">
        <v>46</v>
      </c>
      <c r="H148" s="13" t="s">
        <v>3738</v>
      </c>
      <c r="I148" s="13" t="s">
        <v>3739</v>
      </c>
      <c r="J148" s="9" t="s">
        <v>3740</v>
      </c>
      <c r="K148" s="13">
        <v>3</v>
      </c>
    </row>
    <row r="149" spans="1:11" ht="15" customHeight="1" x14ac:dyDescent="0.2">
      <c r="A149" s="13" t="s">
        <v>3741</v>
      </c>
      <c r="B149" s="13" t="s">
        <v>3742</v>
      </c>
      <c r="C149" s="13">
        <v>1974</v>
      </c>
      <c r="D149" s="13" t="s">
        <v>3167</v>
      </c>
      <c r="E149" s="13" t="s">
        <v>566</v>
      </c>
      <c r="F149" s="13">
        <v>0</v>
      </c>
      <c r="G149" s="13"/>
      <c r="H149" s="13" t="s">
        <v>3743</v>
      </c>
      <c r="I149" s="13" t="s">
        <v>3744</v>
      </c>
      <c r="J149" s="9" t="s">
        <v>3745</v>
      </c>
      <c r="K149" s="13">
        <v>0</v>
      </c>
    </row>
    <row r="150" spans="1:11" ht="15" customHeight="1" x14ac:dyDescent="0.2">
      <c r="A150" s="13" t="s">
        <v>3746</v>
      </c>
      <c r="B150" s="13" t="s">
        <v>3746</v>
      </c>
      <c r="C150" s="13">
        <v>1987</v>
      </c>
      <c r="D150" s="13" t="s">
        <v>3167</v>
      </c>
      <c r="E150" s="13" t="s">
        <v>1270</v>
      </c>
      <c r="F150" s="13">
        <v>0</v>
      </c>
      <c r="G150" s="13"/>
      <c r="H150" s="13" t="s">
        <v>3747</v>
      </c>
      <c r="I150" s="13" t="s">
        <v>3748</v>
      </c>
      <c r="J150" s="9" t="s">
        <v>3749</v>
      </c>
      <c r="K150" s="13">
        <v>0</v>
      </c>
    </row>
    <row r="151" spans="1:11" ht="15" customHeight="1" x14ac:dyDescent="0.2">
      <c r="A151" s="15" t="s">
        <v>3750</v>
      </c>
      <c r="B151" s="15" t="s">
        <v>3750</v>
      </c>
      <c r="C151" s="15">
        <v>1977</v>
      </c>
      <c r="D151" s="15" t="s">
        <v>3167</v>
      </c>
      <c r="E151" s="15" t="s">
        <v>1270</v>
      </c>
      <c r="F151" s="15">
        <v>8</v>
      </c>
      <c r="G151" s="15" t="s">
        <v>77</v>
      </c>
      <c r="H151" s="15" t="s">
        <v>3751</v>
      </c>
      <c r="I151" s="15" t="s">
        <v>3752</v>
      </c>
      <c r="J151" s="10" t="s">
        <v>3753</v>
      </c>
      <c r="K151" s="15">
        <v>2</v>
      </c>
    </row>
    <row r="152" spans="1:11" ht="15" customHeight="1" x14ac:dyDescent="0.2">
      <c r="A152" s="13" t="s">
        <v>3754</v>
      </c>
      <c r="B152" s="13" t="s">
        <v>3754</v>
      </c>
      <c r="C152" s="13">
        <v>1990</v>
      </c>
      <c r="D152" s="13" t="s">
        <v>3167</v>
      </c>
      <c r="E152" s="13" t="s">
        <v>3755</v>
      </c>
      <c r="F152" s="13">
        <v>5.7</v>
      </c>
      <c r="G152" s="13" t="s">
        <v>46</v>
      </c>
      <c r="H152" s="13" t="s">
        <v>3756</v>
      </c>
      <c r="I152" s="13" t="s">
        <v>3757</v>
      </c>
      <c r="J152" s="9" t="s">
        <v>3758</v>
      </c>
      <c r="K152" s="13">
        <v>14</v>
      </c>
    </row>
    <row r="153" spans="1:11" ht="15" customHeight="1" x14ac:dyDescent="0.2">
      <c r="A153" s="13" t="s">
        <v>3759</v>
      </c>
      <c r="B153" s="13" t="s">
        <v>3759</v>
      </c>
      <c r="C153" s="13">
        <v>1981</v>
      </c>
      <c r="D153" s="13" t="s">
        <v>3167</v>
      </c>
      <c r="E153" s="13" t="s">
        <v>566</v>
      </c>
      <c r="F153" s="13">
        <v>5</v>
      </c>
      <c r="G153" s="13" t="s">
        <v>28</v>
      </c>
      <c r="H153" s="13" t="s">
        <v>3760</v>
      </c>
      <c r="I153" s="13" t="s">
        <v>3761</v>
      </c>
      <c r="J153" s="9" t="s">
        <v>3762</v>
      </c>
      <c r="K153" s="13">
        <v>2</v>
      </c>
    </row>
    <row r="154" spans="1:11" ht="15" customHeight="1" x14ac:dyDescent="0.2">
      <c r="A154" s="13" t="s">
        <v>3763</v>
      </c>
      <c r="B154" s="13" t="s">
        <v>3763</v>
      </c>
      <c r="C154" s="13">
        <v>1983</v>
      </c>
      <c r="D154" s="13" t="s">
        <v>3167</v>
      </c>
      <c r="E154" s="13" t="s">
        <v>1270</v>
      </c>
      <c r="F154" s="13">
        <v>0</v>
      </c>
      <c r="G154" s="13"/>
      <c r="H154" s="13" t="s">
        <v>3764</v>
      </c>
      <c r="I154" s="13" t="s">
        <v>3765</v>
      </c>
      <c r="J154" s="9" t="s">
        <v>3766</v>
      </c>
      <c r="K154" s="13">
        <v>0</v>
      </c>
    </row>
    <row r="155" spans="1:11" ht="15" customHeight="1" x14ac:dyDescent="0.2">
      <c r="A155" s="13" t="s">
        <v>3767</v>
      </c>
      <c r="B155" s="13" t="s">
        <v>3767</v>
      </c>
      <c r="C155" s="13">
        <v>1980</v>
      </c>
      <c r="D155" s="13" t="s">
        <v>3167</v>
      </c>
      <c r="E155" s="13" t="s">
        <v>1270</v>
      </c>
      <c r="F155" s="13">
        <v>4.5999999999999996</v>
      </c>
      <c r="G155" s="13" t="s">
        <v>28</v>
      </c>
      <c r="H155" s="13" t="s">
        <v>3768</v>
      </c>
      <c r="I155" s="13" t="s">
        <v>3769</v>
      </c>
      <c r="J155" s="9" t="s">
        <v>3770</v>
      </c>
      <c r="K155" s="13">
        <v>12</v>
      </c>
    </row>
    <row r="156" spans="1:11" ht="15" customHeight="1" x14ac:dyDescent="0.2">
      <c r="A156" s="13" t="s">
        <v>3771</v>
      </c>
      <c r="B156" s="13" t="s">
        <v>3772</v>
      </c>
      <c r="C156" s="13">
        <v>1987</v>
      </c>
      <c r="D156" s="13" t="s">
        <v>3167</v>
      </c>
      <c r="E156" s="13" t="s">
        <v>3733</v>
      </c>
      <c r="F156" s="13">
        <v>7.3</v>
      </c>
      <c r="G156" s="13" t="s">
        <v>18</v>
      </c>
      <c r="H156" s="13" t="s">
        <v>3773</v>
      </c>
      <c r="I156" s="13" t="s">
        <v>3774</v>
      </c>
      <c r="J156" s="9" t="s">
        <v>3775</v>
      </c>
      <c r="K156" s="13">
        <v>3</v>
      </c>
    </row>
    <row r="157" spans="1:11" ht="15" customHeight="1" x14ac:dyDescent="0.2">
      <c r="A157" s="13" t="s">
        <v>3776</v>
      </c>
      <c r="B157" s="13" t="s">
        <v>3776</v>
      </c>
      <c r="C157" s="13">
        <v>1991</v>
      </c>
      <c r="D157" s="13" t="s">
        <v>3257</v>
      </c>
      <c r="E157" s="13" t="s">
        <v>566</v>
      </c>
      <c r="F157" s="13">
        <v>0</v>
      </c>
      <c r="G157" s="13"/>
      <c r="H157" s="13" t="s">
        <v>3777</v>
      </c>
      <c r="I157" s="13" t="s">
        <v>3778</v>
      </c>
      <c r="J157" s="9" t="s">
        <v>3201</v>
      </c>
      <c r="K157" s="13">
        <v>0</v>
      </c>
    </row>
    <row r="158" spans="1:11" ht="15" customHeight="1" x14ac:dyDescent="0.2">
      <c r="A158" s="13" t="s">
        <v>3779</v>
      </c>
      <c r="B158" s="13" t="s">
        <v>3779</v>
      </c>
      <c r="C158" s="13">
        <v>1977</v>
      </c>
      <c r="D158" s="13" t="s">
        <v>3167</v>
      </c>
      <c r="E158" s="13" t="s">
        <v>3755</v>
      </c>
      <c r="F158" s="13">
        <v>0</v>
      </c>
      <c r="G158" s="13"/>
      <c r="H158" s="13" t="s">
        <v>3780</v>
      </c>
      <c r="I158" s="13" t="s">
        <v>3781</v>
      </c>
      <c r="J158" s="9" t="s">
        <v>3782</v>
      </c>
      <c r="K158" s="13">
        <v>0</v>
      </c>
    </row>
    <row r="159" spans="1:11" ht="15" customHeight="1" x14ac:dyDescent="0.2">
      <c r="A159" s="13" t="s">
        <v>3783</v>
      </c>
      <c r="B159" s="13" t="s">
        <v>3783</v>
      </c>
      <c r="C159" s="13">
        <v>1975</v>
      </c>
      <c r="D159" s="13" t="s">
        <v>3167</v>
      </c>
      <c r="E159" s="13" t="s">
        <v>566</v>
      </c>
      <c r="F159" s="13">
        <v>0</v>
      </c>
      <c r="G159" s="13"/>
      <c r="H159" s="13" t="s">
        <v>3784</v>
      </c>
      <c r="I159" s="13" t="s">
        <v>3785</v>
      </c>
      <c r="J159" s="9" t="s">
        <v>3786</v>
      </c>
      <c r="K159" s="13">
        <v>0</v>
      </c>
    </row>
    <row r="160" spans="1:11" ht="15" customHeight="1" x14ac:dyDescent="0.2">
      <c r="A160" s="13" t="s">
        <v>3787</v>
      </c>
      <c r="B160" s="13" t="s">
        <v>3788</v>
      </c>
      <c r="C160" s="13">
        <v>1987</v>
      </c>
      <c r="D160" s="13" t="s">
        <v>3167</v>
      </c>
      <c r="E160" s="13" t="s">
        <v>3789</v>
      </c>
      <c r="F160" s="13">
        <v>5.25</v>
      </c>
      <c r="G160" s="13" t="s">
        <v>28</v>
      </c>
      <c r="H160" s="13" t="s">
        <v>3790</v>
      </c>
      <c r="I160" s="13" t="s">
        <v>3791</v>
      </c>
      <c r="J160" s="9" t="s">
        <v>3792</v>
      </c>
      <c r="K160" s="13">
        <v>8</v>
      </c>
    </row>
    <row r="161" spans="1:11" ht="15" customHeight="1" x14ac:dyDescent="0.2">
      <c r="A161" s="15" t="s">
        <v>3793</v>
      </c>
      <c r="B161" s="15" t="s">
        <v>3793</v>
      </c>
      <c r="C161" s="15">
        <v>1979</v>
      </c>
      <c r="D161" s="15" t="s">
        <v>3167</v>
      </c>
      <c r="E161" s="15" t="s">
        <v>3794</v>
      </c>
      <c r="F161" s="15">
        <v>0</v>
      </c>
      <c r="G161" s="15"/>
      <c r="H161" s="15" t="s">
        <v>3795</v>
      </c>
      <c r="I161" s="15" t="s">
        <v>3796</v>
      </c>
      <c r="J161" s="10" t="s">
        <v>3797</v>
      </c>
      <c r="K161" s="15">
        <v>0</v>
      </c>
    </row>
    <row r="162" spans="1:11" ht="15" customHeight="1" x14ac:dyDescent="0.2">
      <c r="A162" s="13" t="s">
        <v>3798</v>
      </c>
      <c r="B162" s="13" t="s">
        <v>3798</v>
      </c>
      <c r="C162" s="13">
        <v>1982</v>
      </c>
      <c r="D162" s="13" t="s">
        <v>3167</v>
      </c>
      <c r="E162" s="13" t="s">
        <v>1270</v>
      </c>
      <c r="F162" s="13">
        <v>0</v>
      </c>
      <c r="G162" s="13"/>
      <c r="H162" s="13" t="s">
        <v>3799</v>
      </c>
      <c r="I162" s="13" t="s">
        <v>3800</v>
      </c>
      <c r="J162" s="9" t="s">
        <v>3801</v>
      </c>
      <c r="K162" s="13">
        <v>0</v>
      </c>
    </row>
    <row r="163" spans="1:11" ht="15" customHeight="1" x14ac:dyDescent="0.2">
      <c r="A163" s="13" t="s">
        <v>3802</v>
      </c>
      <c r="B163" s="13" t="s">
        <v>3802</v>
      </c>
      <c r="C163" s="13">
        <v>1976</v>
      </c>
      <c r="D163" s="13" t="s">
        <v>3167</v>
      </c>
      <c r="E163" s="13" t="s">
        <v>3733</v>
      </c>
      <c r="F163" s="13">
        <v>5</v>
      </c>
      <c r="G163" s="13" t="s">
        <v>28</v>
      </c>
      <c r="H163" s="13" t="s">
        <v>3803</v>
      </c>
      <c r="I163" s="13" t="s">
        <v>3804</v>
      </c>
      <c r="J163" s="9" t="s">
        <v>3805</v>
      </c>
      <c r="K163" s="13">
        <v>1</v>
      </c>
    </row>
    <row r="164" spans="1:11" ht="15" customHeight="1" x14ac:dyDescent="0.2">
      <c r="A164" s="13" t="s">
        <v>3806</v>
      </c>
      <c r="B164" s="13"/>
      <c r="C164" s="13"/>
      <c r="D164" s="13"/>
      <c r="E164" s="13"/>
      <c r="F164" s="13"/>
      <c r="G164" s="13"/>
      <c r="H164" s="13"/>
      <c r="I164" s="13"/>
      <c r="J164" s="9"/>
      <c r="K164" s="13"/>
    </row>
    <row r="165" spans="1:11" ht="15" customHeight="1" x14ac:dyDescent="0.2">
      <c r="A165" s="13" t="s">
        <v>3807</v>
      </c>
      <c r="B165" s="13" t="s">
        <v>3807</v>
      </c>
      <c r="C165" s="13">
        <v>1978</v>
      </c>
      <c r="D165" s="13" t="s">
        <v>3167</v>
      </c>
      <c r="E165" s="13" t="s">
        <v>566</v>
      </c>
      <c r="F165" s="13">
        <v>6</v>
      </c>
      <c r="G165" s="13" t="s">
        <v>46</v>
      </c>
      <c r="H165" s="13" t="s">
        <v>3808</v>
      </c>
      <c r="I165" s="13" t="s">
        <v>3809</v>
      </c>
      <c r="J165" s="9" t="s">
        <v>3810</v>
      </c>
      <c r="K165" s="13">
        <v>21</v>
      </c>
    </row>
    <row r="166" spans="1:11" ht="15" customHeight="1" x14ac:dyDescent="0.2">
      <c r="A166" s="13" t="s">
        <v>3811</v>
      </c>
      <c r="B166" s="13" t="s">
        <v>3811</v>
      </c>
      <c r="C166" s="13">
        <v>1980</v>
      </c>
      <c r="D166" s="13" t="s">
        <v>3167</v>
      </c>
      <c r="E166" s="13" t="s">
        <v>566</v>
      </c>
      <c r="F166" s="13">
        <v>5</v>
      </c>
      <c r="G166" s="13" t="s">
        <v>28</v>
      </c>
      <c r="H166" s="13" t="s">
        <v>3812</v>
      </c>
      <c r="I166" s="13" t="s">
        <v>3813</v>
      </c>
      <c r="J166" s="9" t="s">
        <v>3814</v>
      </c>
      <c r="K166" s="13">
        <v>3</v>
      </c>
    </row>
    <row r="167" spans="1:11" ht="15" customHeight="1" x14ac:dyDescent="0.2">
      <c r="A167" s="13" t="s">
        <v>3815</v>
      </c>
      <c r="B167" s="13" t="s">
        <v>3815</v>
      </c>
      <c r="C167" s="13">
        <v>1972</v>
      </c>
      <c r="D167" s="13" t="s">
        <v>3167</v>
      </c>
      <c r="E167" s="13" t="s">
        <v>35</v>
      </c>
      <c r="F167" s="13">
        <v>0</v>
      </c>
      <c r="G167" s="13"/>
      <c r="H167" s="13" t="s">
        <v>3816</v>
      </c>
      <c r="I167" s="13" t="s">
        <v>3817</v>
      </c>
      <c r="J167" s="9" t="s">
        <v>3818</v>
      </c>
      <c r="K167" s="13">
        <v>0</v>
      </c>
    </row>
    <row r="168" spans="1:11" ht="15" customHeight="1" x14ac:dyDescent="0.2">
      <c r="A168" s="13" t="s">
        <v>3819</v>
      </c>
      <c r="B168" s="13" t="s">
        <v>3819</v>
      </c>
      <c r="C168" s="13">
        <v>1975</v>
      </c>
      <c r="D168" s="13" t="s">
        <v>3167</v>
      </c>
      <c r="E168" s="13" t="s">
        <v>1270</v>
      </c>
      <c r="F168" s="13">
        <v>6</v>
      </c>
      <c r="G168" s="13" t="s">
        <v>46</v>
      </c>
      <c r="H168" s="13" t="s">
        <v>3820</v>
      </c>
      <c r="I168" s="13" t="s">
        <v>3821</v>
      </c>
      <c r="J168" s="9" t="s">
        <v>3822</v>
      </c>
      <c r="K168" s="13">
        <v>2</v>
      </c>
    </row>
    <row r="169" spans="1:11" ht="15" customHeight="1" x14ac:dyDescent="0.2">
      <c r="A169" s="13" t="s">
        <v>3823</v>
      </c>
      <c r="B169" s="13" t="s">
        <v>3823</v>
      </c>
      <c r="C169" s="13">
        <v>1992</v>
      </c>
      <c r="D169" s="13" t="s">
        <v>3257</v>
      </c>
      <c r="E169" s="13" t="s">
        <v>566</v>
      </c>
      <c r="F169" s="13">
        <v>0</v>
      </c>
      <c r="G169" s="13"/>
      <c r="H169" s="13" t="s">
        <v>3824</v>
      </c>
      <c r="I169" s="13" t="s">
        <v>3825</v>
      </c>
      <c r="J169" s="9" t="s">
        <v>3826</v>
      </c>
      <c r="K169" s="13">
        <v>0</v>
      </c>
    </row>
    <row r="170" spans="1:11" ht="15" customHeight="1" x14ac:dyDescent="0.2">
      <c r="A170" s="13" t="s">
        <v>3417</v>
      </c>
      <c r="B170" s="13" t="s">
        <v>3417</v>
      </c>
      <c r="C170" s="13">
        <v>1959</v>
      </c>
      <c r="D170" s="13" t="s">
        <v>3167</v>
      </c>
      <c r="E170" s="13" t="s">
        <v>566</v>
      </c>
      <c r="F170" s="13">
        <v>0</v>
      </c>
      <c r="G170" s="13"/>
      <c r="H170" s="13" t="s">
        <v>3418</v>
      </c>
      <c r="I170" s="13" t="s">
        <v>3419</v>
      </c>
      <c r="J170" s="9" t="s">
        <v>3420</v>
      </c>
      <c r="K170" s="13">
        <v>0</v>
      </c>
    </row>
    <row r="171" spans="1:11" ht="15" customHeight="1" x14ac:dyDescent="0.2">
      <c r="A171" s="15" t="s">
        <v>3827</v>
      </c>
      <c r="B171" s="15" t="s">
        <v>3828</v>
      </c>
      <c r="C171" s="15">
        <v>1982</v>
      </c>
      <c r="D171" s="15" t="s">
        <v>3167</v>
      </c>
      <c r="E171" s="15" t="s">
        <v>566</v>
      </c>
      <c r="F171" s="15">
        <v>4.3</v>
      </c>
      <c r="G171" s="15" t="s">
        <v>86</v>
      </c>
      <c r="H171" s="15" t="s">
        <v>3829</v>
      </c>
      <c r="I171" s="15" t="s">
        <v>3830</v>
      </c>
      <c r="J171" s="10" t="s">
        <v>3831</v>
      </c>
      <c r="K171" s="15">
        <v>5</v>
      </c>
    </row>
    <row r="172" spans="1:11" ht="15" customHeight="1" x14ac:dyDescent="0.2">
      <c r="A172" s="13" t="s">
        <v>3832</v>
      </c>
      <c r="B172" s="13" t="s">
        <v>3832</v>
      </c>
      <c r="C172" s="13">
        <v>1973</v>
      </c>
      <c r="D172" s="13" t="s">
        <v>3167</v>
      </c>
      <c r="E172" s="13" t="s">
        <v>2042</v>
      </c>
      <c r="F172" s="13">
        <v>1</v>
      </c>
      <c r="G172" s="13" t="s">
        <v>2087</v>
      </c>
      <c r="H172" s="13" t="s">
        <v>3833</v>
      </c>
      <c r="I172" s="13" t="s">
        <v>3834</v>
      </c>
      <c r="J172" s="9" t="s">
        <v>3835</v>
      </c>
      <c r="K172" s="13">
        <v>2</v>
      </c>
    </row>
    <row r="173" spans="1:11" ht="15" customHeight="1" x14ac:dyDescent="0.2">
      <c r="A173" s="13" t="s">
        <v>3836</v>
      </c>
      <c r="B173" s="13" t="s">
        <v>3836</v>
      </c>
      <c r="C173" s="13">
        <v>1980</v>
      </c>
      <c r="D173" s="13" t="s">
        <v>3167</v>
      </c>
      <c r="E173" s="13" t="s">
        <v>3570</v>
      </c>
      <c r="F173" s="13"/>
      <c r="G173" s="13"/>
      <c r="H173" s="13" t="s">
        <v>3837</v>
      </c>
      <c r="I173" s="13" t="s">
        <v>3838</v>
      </c>
      <c r="J173" s="9" t="s">
        <v>3839</v>
      </c>
      <c r="K173" s="13"/>
    </row>
    <row r="174" spans="1:11" ht="15" customHeight="1" x14ac:dyDescent="0.2">
      <c r="A174" s="13" t="s">
        <v>3840</v>
      </c>
      <c r="B174" s="13"/>
      <c r="C174" s="13">
        <v>1989</v>
      </c>
      <c r="D174" s="13" t="s">
        <v>3167</v>
      </c>
      <c r="E174" s="13" t="s">
        <v>3345</v>
      </c>
      <c r="F174" s="13"/>
      <c r="G174" s="13"/>
      <c r="H174" s="13"/>
      <c r="I174" s="13"/>
      <c r="J174" s="9"/>
      <c r="K174" s="13"/>
    </row>
    <row r="175" spans="1:11" ht="15" customHeight="1" x14ac:dyDescent="0.2">
      <c r="A175" s="13" t="s">
        <v>3841</v>
      </c>
      <c r="B175" s="13"/>
      <c r="C175" s="13">
        <v>1989</v>
      </c>
      <c r="D175" s="13" t="s">
        <v>3167</v>
      </c>
      <c r="E175" s="13" t="s">
        <v>3345</v>
      </c>
      <c r="F175" s="13"/>
      <c r="G175" s="13"/>
      <c r="H175" s="13"/>
      <c r="I175" s="13"/>
      <c r="J175" s="9"/>
      <c r="K175" s="13"/>
    </row>
    <row r="176" spans="1:11" ht="15" customHeight="1" x14ac:dyDescent="0.2">
      <c r="A176" s="13" t="s">
        <v>3842</v>
      </c>
      <c r="B176" s="13"/>
      <c r="C176" s="13">
        <v>1986</v>
      </c>
      <c r="D176" s="13" t="s">
        <v>3167</v>
      </c>
      <c r="E176" s="13" t="s">
        <v>3345</v>
      </c>
      <c r="F176" s="13"/>
      <c r="G176" s="13"/>
      <c r="H176" s="13"/>
      <c r="I176" s="13"/>
      <c r="J176" s="9"/>
      <c r="K176" s="13"/>
    </row>
    <row r="177" spans="1:11" ht="15" customHeight="1" x14ac:dyDescent="0.2">
      <c r="A177" s="13" t="s">
        <v>3843</v>
      </c>
      <c r="B177" s="13" t="s">
        <v>3843</v>
      </c>
      <c r="C177" s="13">
        <v>1979</v>
      </c>
      <c r="D177" s="13" t="s">
        <v>3167</v>
      </c>
      <c r="E177" s="13" t="s">
        <v>1270</v>
      </c>
      <c r="F177" s="13">
        <v>4</v>
      </c>
      <c r="G177" s="13" t="s">
        <v>86</v>
      </c>
      <c r="H177" s="13" t="s">
        <v>3844</v>
      </c>
      <c r="I177" s="13" t="s">
        <v>3845</v>
      </c>
      <c r="J177" s="9" t="s">
        <v>3846</v>
      </c>
      <c r="K177" s="13">
        <v>2</v>
      </c>
    </row>
    <row r="178" spans="1:11" ht="15" customHeight="1" x14ac:dyDescent="0.2">
      <c r="A178" s="13" t="s">
        <v>3847</v>
      </c>
      <c r="B178" s="13" t="s">
        <v>3847</v>
      </c>
      <c r="C178" s="13">
        <v>1976</v>
      </c>
      <c r="D178" s="13" t="s">
        <v>3167</v>
      </c>
      <c r="E178" s="13" t="s">
        <v>3733</v>
      </c>
      <c r="F178" s="13">
        <v>5.5</v>
      </c>
      <c r="G178" s="13" t="s">
        <v>46</v>
      </c>
      <c r="H178" s="13" t="s">
        <v>3848</v>
      </c>
      <c r="I178" s="13" t="s">
        <v>3849</v>
      </c>
      <c r="J178" s="9" t="s">
        <v>3850</v>
      </c>
      <c r="K178" s="13">
        <v>2</v>
      </c>
    </row>
    <row r="179" spans="1:11" ht="15" customHeight="1" x14ac:dyDescent="0.2">
      <c r="A179" s="13" t="s">
        <v>3851</v>
      </c>
      <c r="B179" s="13"/>
      <c r="C179" s="13">
        <v>1990</v>
      </c>
      <c r="D179" s="13" t="s">
        <v>3167</v>
      </c>
      <c r="E179" s="13" t="s">
        <v>566</v>
      </c>
      <c r="F179" s="13"/>
      <c r="G179" s="13"/>
      <c r="H179" s="13"/>
      <c r="I179" s="13"/>
      <c r="J179" s="9"/>
      <c r="K179" s="13"/>
    </row>
    <row r="180" spans="1:11" ht="15" customHeight="1" x14ac:dyDescent="0.2">
      <c r="A180" s="13" t="s">
        <v>3852</v>
      </c>
      <c r="B180" s="13" t="s">
        <v>3853</v>
      </c>
      <c r="C180" s="13">
        <v>1960</v>
      </c>
      <c r="D180" s="13" t="s">
        <v>3167</v>
      </c>
      <c r="E180" s="13" t="s">
        <v>1270</v>
      </c>
      <c r="F180" s="13">
        <v>0</v>
      </c>
      <c r="G180" s="13"/>
      <c r="H180" s="13" t="s">
        <v>3854</v>
      </c>
      <c r="I180" s="13" t="s">
        <v>3855</v>
      </c>
      <c r="J180" s="9" t="s">
        <v>3856</v>
      </c>
      <c r="K180" s="13">
        <v>0</v>
      </c>
    </row>
    <row r="181" spans="1:11" ht="15" customHeight="1" x14ac:dyDescent="0.2">
      <c r="A181" s="15" t="s">
        <v>3857</v>
      </c>
      <c r="B181" s="15" t="s">
        <v>3858</v>
      </c>
      <c r="C181" s="15">
        <v>1978</v>
      </c>
      <c r="D181" s="15" t="s">
        <v>3167</v>
      </c>
      <c r="E181" s="15" t="s">
        <v>1270</v>
      </c>
      <c r="F181" s="15">
        <v>6.5</v>
      </c>
      <c r="G181" s="15" t="s">
        <v>46</v>
      </c>
      <c r="H181" s="15" t="s">
        <v>3859</v>
      </c>
      <c r="I181" s="15" t="s">
        <v>3860</v>
      </c>
      <c r="J181" s="10" t="s">
        <v>3861</v>
      </c>
      <c r="K181" s="15">
        <v>2</v>
      </c>
    </row>
    <row r="182" spans="1:11" ht="15" customHeight="1" x14ac:dyDescent="0.2">
      <c r="A182" s="13" t="s">
        <v>3862</v>
      </c>
      <c r="B182" s="13" t="s">
        <v>3862</v>
      </c>
      <c r="C182" s="13">
        <v>1980</v>
      </c>
      <c r="D182" s="13" t="s">
        <v>3167</v>
      </c>
      <c r="E182" s="13" t="s">
        <v>1270</v>
      </c>
      <c r="F182" s="13">
        <v>4</v>
      </c>
      <c r="G182" s="13" t="s">
        <v>86</v>
      </c>
      <c r="H182" s="13" t="s">
        <v>3863</v>
      </c>
      <c r="I182" s="13" t="s">
        <v>3864</v>
      </c>
      <c r="J182" s="9" t="s">
        <v>3865</v>
      </c>
      <c r="K182" s="13">
        <v>2</v>
      </c>
    </row>
    <row r="183" spans="1:11" ht="15" customHeight="1" x14ac:dyDescent="0.2">
      <c r="A183" s="13" t="s">
        <v>3866</v>
      </c>
      <c r="B183" s="13" t="s">
        <v>3866</v>
      </c>
      <c r="C183" s="13">
        <v>1995</v>
      </c>
      <c r="D183" s="13" t="s">
        <v>350</v>
      </c>
      <c r="E183" s="13" t="s">
        <v>566</v>
      </c>
      <c r="F183" s="13">
        <v>3.6669999999999998</v>
      </c>
      <c r="G183" s="13" t="s">
        <v>86</v>
      </c>
      <c r="H183" s="13" t="s">
        <v>3867</v>
      </c>
      <c r="I183" s="13" t="s">
        <v>3868</v>
      </c>
      <c r="J183" s="9" t="s">
        <v>3869</v>
      </c>
      <c r="K183" s="13">
        <v>3</v>
      </c>
    </row>
    <row r="184" spans="1:11" ht="15" customHeight="1" x14ac:dyDescent="0.2">
      <c r="A184" s="13" t="s">
        <v>3870</v>
      </c>
      <c r="B184" s="13" t="s">
        <v>3871</v>
      </c>
      <c r="C184" s="13">
        <v>1979</v>
      </c>
      <c r="D184" s="13" t="s">
        <v>3167</v>
      </c>
      <c r="E184" s="13" t="s">
        <v>3733</v>
      </c>
      <c r="F184" s="13"/>
      <c r="G184" s="13"/>
      <c r="H184" s="13" t="s">
        <v>3872</v>
      </c>
      <c r="I184" s="13" t="s">
        <v>3873</v>
      </c>
      <c r="J184" s="9"/>
      <c r="K184" s="13"/>
    </row>
    <row r="185" spans="1:11" ht="15" customHeight="1" x14ac:dyDescent="0.2">
      <c r="A185" s="13" t="s">
        <v>3874</v>
      </c>
      <c r="B185" s="13" t="s">
        <v>3874</v>
      </c>
      <c r="C185" s="13">
        <v>1974</v>
      </c>
      <c r="D185" s="13" t="s">
        <v>3167</v>
      </c>
      <c r="E185" s="13" t="s">
        <v>1270</v>
      </c>
      <c r="F185" s="13">
        <v>5</v>
      </c>
      <c r="G185" s="13" t="s">
        <v>28</v>
      </c>
      <c r="H185" s="13" t="s">
        <v>3875</v>
      </c>
      <c r="I185" s="13" t="s">
        <v>3876</v>
      </c>
      <c r="J185" s="9" t="s">
        <v>3877</v>
      </c>
      <c r="K185" s="13">
        <v>3</v>
      </c>
    </row>
    <row r="186" spans="1:11" ht="15" customHeight="1" x14ac:dyDescent="0.2">
      <c r="A186" s="13" t="s">
        <v>3878</v>
      </c>
      <c r="B186" s="13" t="s">
        <v>3878</v>
      </c>
      <c r="C186" s="13">
        <v>1984</v>
      </c>
      <c r="D186" s="13" t="s">
        <v>3167</v>
      </c>
      <c r="E186" s="13" t="s">
        <v>3733</v>
      </c>
      <c r="F186" s="13">
        <v>6</v>
      </c>
      <c r="G186" s="13" t="s">
        <v>46</v>
      </c>
      <c r="H186" s="13" t="s">
        <v>3879</v>
      </c>
      <c r="I186" s="13" t="s">
        <v>3880</v>
      </c>
      <c r="J186" s="9" t="s">
        <v>3881</v>
      </c>
      <c r="K186" s="13">
        <v>6</v>
      </c>
    </row>
    <row r="187" spans="1:11" ht="15" customHeight="1" x14ac:dyDescent="0.2">
      <c r="A187" s="13" t="s">
        <v>3882</v>
      </c>
      <c r="B187" s="13" t="s">
        <v>3882</v>
      </c>
      <c r="C187" s="13">
        <v>1984</v>
      </c>
      <c r="D187" s="13" t="s">
        <v>3167</v>
      </c>
      <c r="E187" s="13" t="s">
        <v>2042</v>
      </c>
      <c r="F187" s="13">
        <v>0</v>
      </c>
      <c r="G187" s="13"/>
      <c r="H187" s="13" t="s">
        <v>3883</v>
      </c>
      <c r="I187" s="13" t="s">
        <v>3884</v>
      </c>
      <c r="J187" s="9" t="s">
        <v>3201</v>
      </c>
      <c r="K187" s="13">
        <v>0</v>
      </c>
    </row>
    <row r="188" spans="1:11" ht="15" customHeight="1" x14ac:dyDescent="0.2">
      <c r="A188" s="13" t="s">
        <v>3885</v>
      </c>
      <c r="B188" s="13" t="s">
        <v>3886</v>
      </c>
      <c r="C188" s="13">
        <v>1980</v>
      </c>
      <c r="D188" s="13" t="s">
        <v>3167</v>
      </c>
      <c r="E188" s="13" t="s">
        <v>3596</v>
      </c>
      <c r="F188" s="13">
        <v>1</v>
      </c>
      <c r="G188" s="13" t="s">
        <v>2087</v>
      </c>
      <c r="H188" s="13" t="s">
        <v>3887</v>
      </c>
      <c r="I188" s="13" t="s">
        <v>3888</v>
      </c>
      <c r="J188" s="9" t="s">
        <v>3889</v>
      </c>
      <c r="K188" s="13">
        <v>2</v>
      </c>
    </row>
    <row r="189" spans="1:11" ht="15" customHeight="1" x14ac:dyDescent="0.2">
      <c r="A189" s="13" t="s">
        <v>3890</v>
      </c>
      <c r="B189" s="13" t="s">
        <v>3890</v>
      </c>
      <c r="C189" s="13">
        <v>1979</v>
      </c>
      <c r="D189" s="13" t="s">
        <v>3167</v>
      </c>
      <c r="E189" s="13" t="s">
        <v>566</v>
      </c>
      <c r="F189" s="13">
        <v>3</v>
      </c>
      <c r="G189" s="13" t="s">
        <v>169</v>
      </c>
      <c r="H189" s="13" t="s">
        <v>3891</v>
      </c>
      <c r="I189" s="13" t="s">
        <v>3892</v>
      </c>
      <c r="J189" s="9" t="s">
        <v>3893</v>
      </c>
      <c r="K189" s="13">
        <v>3</v>
      </c>
    </row>
    <row r="190" spans="1:11" ht="15" customHeight="1" x14ac:dyDescent="0.2">
      <c r="A190" s="13" t="s">
        <v>3894</v>
      </c>
      <c r="B190" s="13" t="s">
        <v>3894</v>
      </c>
      <c r="C190" s="13">
        <v>1974</v>
      </c>
      <c r="D190" s="13" t="s">
        <v>3167</v>
      </c>
      <c r="E190" s="13" t="s">
        <v>3755</v>
      </c>
      <c r="F190" s="13">
        <v>5.2</v>
      </c>
      <c r="G190" s="13" t="s">
        <v>28</v>
      </c>
      <c r="H190" s="13" t="s">
        <v>3895</v>
      </c>
      <c r="I190" s="13" t="s">
        <v>3896</v>
      </c>
      <c r="J190" s="9" t="s">
        <v>3897</v>
      </c>
      <c r="K190" s="13">
        <v>3</v>
      </c>
    </row>
    <row r="191" spans="1:11" ht="15" customHeight="1" x14ac:dyDescent="0.2">
      <c r="A191" s="15" t="s">
        <v>3898</v>
      </c>
      <c r="B191" s="15" t="s">
        <v>3899</v>
      </c>
      <c r="C191" s="15">
        <v>1989</v>
      </c>
      <c r="D191" s="15" t="s">
        <v>3563</v>
      </c>
      <c r="E191" s="15" t="s">
        <v>3900</v>
      </c>
      <c r="F191" s="15">
        <v>0</v>
      </c>
      <c r="G191" s="15"/>
      <c r="H191" s="15" t="s">
        <v>3901</v>
      </c>
      <c r="I191" s="15" t="s">
        <v>3902</v>
      </c>
      <c r="J191" s="10" t="s">
        <v>3903</v>
      </c>
      <c r="K191" s="15">
        <v>0</v>
      </c>
    </row>
    <row r="192" spans="1:11" ht="15" customHeight="1" x14ac:dyDescent="0.2">
      <c r="A192" s="13" t="s">
        <v>3904</v>
      </c>
      <c r="B192" s="13" t="s">
        <v>3904</v>
      </c>
      <c r="C192" s="13">
        <v>1982</v>
      </c>
      <c r="D192" s="13" t="s">
        <v>3167</v>
      </c>
      <c r="E192" s="13" t="s">
        <v>566</v>
      </c>
      <c r="F192" s="13">
        <v>0</v>
      </c>
      <c r="G192" s="13"/>
      <c r="H192" s="13" t="s">
        <v>3905</v>
      </c>
      <c r="I192" s="13" t="s">
        <v>3906</v>
      </c>
      <c r="J192" s="9" t="s">
        <v>3201</v>
      </c>
      <c r="K192" s="13">
        <v>0</v>
      </c>
    </row>
    <row r="193" spans="1:11" ht="15" customHeight="1" x14ac:dyDescent="0.2">
      <c r="A193" s="13" t="s">
        <v>3907</v>
      </c>
      <c r="B193" s="13" t="s">
        <v>3907</v>
      </c>
      <c r="C193" s="13">
        <v>1984</v>
      </c>
      <c r="D193" s="13" t="s">
        <v>3167</v>
      </c>
      <c r="E193" s="13" t="s">
        <v>3345</v>
      </c>
      <c r="F193" s="13">
        <v>7</v>
      </c>
      <c r="G193" s="13" t="s">
        <v>18</v>
      </c>
      <c r="H193" s="13" t="s">
        <v>3908</v>
      </c>
      <c r="I193" s="13" t="s">
        <v>3909</v>
      </c>
      <c r="J193" s="9" t="s">
        <v>3910</v>
      </c>
      <c r="K193" s="13">
        <v>1</v>
      </c>
    </row>
    <row r="194" spans="1:11" ht="15" customHeight="1" x14ac:dyDescent="0.2">
      <c r="A194" s="13" t="s">
        <v>3911</v>
      </c>
      <c r="B194" s="13" t="s">
        <v>3911</v>
      </c>
      <c r="C194" s="13">
        <v>1988</v>
      </c>
      <c r="D194" s="13" t="s">
        <v>3167</v>
      </c>
      <c r="E194" s="13" t="s">
        <v>3733</v>
      </c>
      <c r="F194" s="13">
        <v>6</v>
      </c>
      <c r="G194" s="13" t="s">
        <v>46</v>
      </c>
      <c r="H194" s="13" t="s">
        <v>3912</v>
      </c>
      <c r="I194" s="13" t="s">
        <v>3913</v>
      </c>
      <c r="J194" s="9" t="s">
        <v>3914</v>
      </c>
      <c r="K194" s="13">
        <v>5</v>
      </c>
    </row>
    <row r="195" spans="1:11" ht="15" customHeight="1" x14ac:dyDescent="0.2">
      <c r="A195" s="13" t="s">
        <v>3915</v>
      </c>
      <c r="B195" s="13" t="s">
        <v>3915</v>
      </c>
      <c r="C195" s="13">
        <v>1986</v>
      </c>
      <c r="D195" s="13" t="s">
        <v>3167</v>
      </c>
      <c r="E195" s="13" t="s">
        <v>566</v>
      </c>
      <c r="F195" s="13">
        <v>0</v>
      </c>
      <c r="G195" s="13"/>
      <c r="H195" s="13" t="s">
        <v>3916</v>
      </c>
      <c r="I195" s="13" t="s">
        <v>3917</v>
      </c>
      <c r="J195" s="9" t="s">
        <v>3918</v>
      </c>
      <c r="K195" s="13">
        <v>0</v>
      </c>
    </row>
    <row r="196" spans="1:11" ht="15" customHeight="1" x14ac:dyDescent="0.2">
      <c r="A196" s="13" t="s">
        <v>3919</v>
      </c>
      <c r="B196" s="13" t="s">
        <v>3919</v>
      </c>
      <c r="C196" s="13">
        <v>1984</v>
      </c>
      <c r="D196" s="13" t="s">
        <v>3167</v>
      </c>
      <c r="E196" s="13" t="s">
        <v>566</v>
      </c>
      <c r="F196" s="13">
        <v>0</v>
      </c>
      <c r="G196" s="13"/>
      <c r="H196" s="13" t="s">
        <v>3920</v>
      </c>
      <c r="I196" s="13" t="s">
        <v>3921</v>
      </c>
      <c r="J196" s="9" t="s">
        <v>3922</v>
      </c>
      <c r="K196" s="13">
        <v>0</v>
      </c>
    </row>
    <row r="197" spans="1:11" ht="15" customHeight="1" x14ac:dyDescent="0.2">
      <c r="A197" s="13" t="s">
        <v>3923</v>
      </c>
      <c r="B197" s="13" t="s">
        <v>3923</v>
      </c>
      <c r="C197" s="13">
        <v>1983</v>
      </c>
      <c r="D197" s="13" t="s">
        <v>3167</v>
      </c>
      <c r="E197" s="13" t="s">
        <v>566</v>
      </c>
      <c r="F197" s="13">
        <v>6.8</v>
      </c>
      <c r="G197" s="13" t="s">
        <v>18</v>
      </c>
      <c r="H197" s="13" t="s">
        <v>3924</v>
      </c>
      <c r="I197" s="13" t="s">
        <v>3925</v>
      </c>
      <c r="J197" s="9" t="s">
        <v>3926</v>
      </c>
      <c r="K197" s="13">
        <v>6</v>
      </c>
    </row>
    <row r="198" spans="1:11" ht="15" customHeight="1" x14ac:dyDescent="0.2">
      <c r="A198" s="13" t="s">
        <v>3927</v>
      </c>
      <c r="B198" s="13" t="s">
        <v>3928</v>
      </c>
      <c r="C198" s="13">
        <v>1979</v>
      </c>
      <c r="D198" s="13" t="s">
        <v>3167</v>
      </c>
      <c r="E198" s="13" t="s">
        <v>3733</v>
      </c>
      <c r="F198" s="13">
        <v>0</v>
      </c>
      <c r="G198" s="13"/>
      <c r="H198" s="13" t="s">
        <v>3929</v>
      </c>
      <c r="I198" s="13" t="s">
        <v>3930</v>
      </c>
      <c r="J198" s="9" t="s">
        <v>3931</v>
      </c>
      <c r="K198" s="13">
        <v>0</v>
      </c>
    </row>
    <row r="199" spans="1:11" ht="15" customHeight="1" x14ac:dyDescent="0.2">
      <c r="A199" s="13" t="s">
        <v>3927</v>
      </c>
      <c r="B199" s="13" t="s">
        <v>3928</v>
      </c>
      <c r="C199" s="13">
        <v>1979</v>
      </c>
      <c r="D199" s="13" t="s">
        <v>3167</v>
      </c>
      <c r="E199" s="13" t="s">
        <v>566</v>
      </c>
      <c r="F199" s="13">
        <v>0</v>
      </c>
      <c r="G199" s="13"/>
      <c r="H199" s="13" t="s">
        <v>3929</v>
      </c>
      <c r="I199" s="13" t="s">
        <v>3930</v>
      </c>
      <c r="J199" s="9" t="s">
        <v>3931</v>
      </c>
      <c r="K199" s="13">
        <v>0</v>
      </c>
    </row>
    <row r="200" spans="1:11" ht="15" customHeight="1" x14ac:dyDescent="0.2">
      <c r="A200" s="13" t="s">
        <v>3932</v>
      </c>
      <c r="B200" s="13" t="s">
        <v>3932</v>
      </c>
      <c r="C200" s="13">
        <v>1968</v>
      </c>
      <c r="D200" s="13" t="s">
        <v>3167</v>
      </c>
      <c r="E200" s="13" t="s">
        <v>3596</v>
      </c>
      <c r="F200" s="13">
        <v>7.2889999999999997</v>
      </c>
      <c r="G200" s="13" t="s">
        <v>18</v>
      </c>
      <c r="H200" s="13" t="s">
        <v>3933</v>
      </c>
      <c r="I200" s="13" t="s">
        <v>3934</v>
      </c>
      <c r="J200" s="9" t="s">
        <v>3935</v>
      </c>
      <c r="K200" s="13">
        <v>19</v>
      </c>
    </row>
    <row r="201" spans="1:11" ht="15" customHeight="1" x14ac:dyDescent="0.2">
      <c r="A201" s="15" t="s">
        <v>3936</v>
      </c>
      <c r="B201" s="15" t="s">
        <v>3936</v>
      </c>
      <c r="C201" s="15">
        <v>1977</v>
      </c>
      <c r="D201" s="15" t="s">
        <v>3167</v>
      </c>
      <c r="E201" s="15" t="s">
        <v>1270</v>
      </c>
      <c r="F201" s="15"/>
      <c r="G201" s="15"/>
      <c r="H201" s="15" t="s">
        <v>3937</v>
      </c>
      <c r="I201" s="15" t="s">
        <v>3182</v>
      </c>
      <c r="J201" s="10" t="s">
        <v>3938</v>
      </c>
      <c r="K201" s="15"/>
    </row>
    <row r="202" spans="1:11" ht="15" customHeight="1" x14ac:dyDescent="0.2">
      <c r="A202" s="13" t="s">
        <v>3939</v>
      </c>
      <c r="B202" s="13" t="s">
        <v>3939</v>
      </c>
      <c r="C202" s="13">
        <v>1979</v>
      </c>
      <c r="D202" s="13" t="s">
        <v>3167</v>
      </c>
      <c r="E202" s="13" t="s">
        <v>566</v>
      </c>
      <c r="F202" s="13">
        <v>0</v>
      </c>
      <c r="G202" s="13"/>
      <c r="H202" s="13" t="s">
        <v>3940</v>
      </c>
      <c r="I202" s="13" t="s">
        <v>3941</v>
      </c>
      <c r="J202" s="9" t="s">
        <v>3942</v>
      </c>
      <c r="K202" s="13">
        <v>0</v>
      </c>
    </row>
    <row r="203" spans="1:11" ht="15" customHeight="1" x14ac:dyDescent="0.2">
      <c r="A203" s="13" t="s">
        <v>3943</v>
      </c>
      <c r="B203" s="13" t="s">
        <v>3944</v>
      </c>
      <c r="C203" s="13">
        <v>1977</v>
      </c>
      <c r="D203" s="13" t="s">
        <v>3167</v>
      </c>
      <c r="E203" s="13" t="s">
        <v>3945</v>
      </c>
      <c r="F203" s="13">
        <v>5</v>
      </c>
      <c r="G203" s="13" t="s">
        <v>28</v>
      </c>
      <c r="H203" s="13" t="s">
        <v>3946</v>
      </c>
      <c r="I203" s="13" t="s">
        <v>3947</v>
      </c>
      <c r="J203" s="9" t="s">
        <v>3948</v>
      </c>
      <c r="K203" s="13">
        <v>4</v>
      </c>
    </row>
    <row r="204" spans="1:11" ht="15" customHeight="1" x14ac:dyDescent="0.2">
      <c r="A204" s="13" t="s">
        <v>3949</v>
      </c>
      <c r="B204" s="13" t="s">
        <v>3950</v>
      </c>
      <c r="C204" s="13">
        <v>1974</v>
      </c>
      <c r="D204" s="13" t="s">
        <v>3167</v>
      </c>
      <c r="E204" s="13" t="s">
        <v>3951</v>
      </c>
      <c r="F204" s="13">
        <v>7</v>
      </c>
      <c r="G204" s="13" t="s">
        <v>18</v>
      </c>
      <c r="H204" s="13" t="s">
        <v>3952</v>
      </c>
      <c r="I204" s="13" t="s">
        <v>3953</v>
      </c>
      <c r="J204" s="9" t="s">
        <v>3954</v>
      </c>
      <c r="K204" s="13">
        <v>1</v>
      </c>
    </row>
    <row r="205" spans="1:11" ht="15" customHeight="1" x14ac:dyDescent="0.2">
      <c r="A205" s="13" t="s">
        <v>3955</v>
      </c>
      <c r="B205" s="13" t="s">
        <v>3955</v>
      </c>
      <c r="C205" s="13">
        <v>1970</v>
      </c>
      <c r="D205" s="13" t="s">
        <v>3167</v>
      </c>
      <c r="E205" s="13" t="s">
        <v>1270</v>
      </c>
      <c r="F205" s="13">
        <v>0</v>
      </c>
      <c r="G205" s="13"/>
      <c r="H205" s="13" t="s">
        <v>3956</v>
      </c>
      <c r="I205" s="13" t="s">
        <v>3957</v>
      </c>
      <c r="J205" s="9" t="s">
        <v>3958</v>
      </c>
      <c r="K205" s="13">
        <v>0</v>
      </c>
    </row>
    <row r="206" spans="1:11" ht="15" customHeight="1" x14ac:dyDescent="0.2">
      <c r="A206" s="13" t="s">
        <v>3959</v>
      </c>
      <c r="B206" s="13" t="s">
        <v>3959</v>
      </c>
      <c r="C206" s="13">
        <v>1989</v>
      </c>
      <c r="D206" s="13" t="s">
        <v>3167</v>
      </c>
      <c r="E206" s="13" t="s">
        <v>2042</v>
      </c>
      <c r="F206" s="13">
        <v>4.625</v>
      </c>
      <c r="G206" s="13" t="s">
        <v>28</v>
      </c>
      <c r="H206" s="13" t="s">
        <v>3960</v>
      </c>
      <c r="I206" s="13" t="s">
        <v>3961</v>
      </c>
      <c r="J206" s="9" t="s">
        <v>3962</v>
      </c>
      <c r="K206" s="13">
        <v>8</v>
      </c>
    </row>
    <row r="207" spans="1:11" ht="15" customHeight="1" x14ac:dyDescent="0.2">
      <c r="A207" s="13" t="s">
        <v>3963</v>
      </c>
      <c r="B207" s="13" t="s">
        <v>3963</v>
      </c>
      <c r="C207" s="13">
        <v>1968</v>
      </c>
      <c r="D207" s="13" t="s">
        <v>3167</v>
      </c>
      <c r="E207" s="13" t="s">
        <v>1270</v>
      </c>
      <c r="F207" s="13">
        <v>5.5</v>
      </c>
      <c r="G207" s="13" t="s">
        <v>46</v>
      </c>
      <c r="H207" s="13" t="s">
        <v>3964</v>
      </c>
      <c r="I207" s="13" t="s">
        <v>3965</v>
      </c>
      <c r="J207" s="9" t="s">
        <v>3966</v>
      </c>
      <c r="K207" s="13">
        <v>4</v>
      </c>
    </row>
    <row r="208" spans="1:11" ht="15" customHeight="1" x14ac:dyDescent="0.2">
      <c r="A208" s="13" t="s">
        <v>3967</v>
      </c>
      <c r="B208" s="13" t="s">
        <v>3967</v>
      </c>
      <c r="C208" s="13">
        <v>1975</v>
      </c>
      <c r="D208" s="13" t="s">
        <v>3167</v>
      </c>
      <c r="E208" s="13" t="s">
        <v>566</v>
      </c>
      <c r="F208" s="13">
        <v>7</v>
      </c>
      <c r="G208" s="13" t="s">
        <v>18</v>
      </c>
      <c r="H208" s="13" t="s">
        <v>3968</v>
      </c>
      <c r="I208" s="13" t="s">
        <v>3969</v>
      </c>
      <c r="J208" s="9" t="s">
        <v>3970</v>
      </c>
      <c r="K208" s="13">
        <v>2</v>
      </c>
    </row>
    <row r="209" spans="1:11" ht="15" customHeight="1" x14ac:dyDescent="0.2">
      <c r="A209" s="13" t="s">
        <v>3971</v>
      </c>
      <c r="B209" s="13" t="s">
        <v>3971</v>
      </c>
      <c r="C209" s="13">
        <v>1990</v>
      </c>
      <c r="D209" s="13" t="s">
        <v>3167</v>
      </c>
      <c r="E209" s="13" t="s">
        <v>566</v>
      </c>
      <c r="F209" s="13">
        <v>0.5</v>
      </c>
      <c r="G209" s="13"/>
      <c r="H209" s="13" t="s">
        <v>3972</v>
      </c>
      <c r="I209" s="13" t="s">
        <v>3973</v>
      </c>
      <c r="J209" s="9" t="s">
        <v>3974</v>
      </c>
      <c r="K209" s="13">
        <v>1</v>
      </c>
    </row>
    <row r="210" spans="1:11" ht="15" customHeight="1" x14ac:dyDescent="0.2">
      <c r="A210" s="13" t="s">
        <v>3975</v>
      </c>
      <c r="B210" s="13" t="s">
        <v>3975</v>
      </c>
      <c r="C210" s="13">
        <v>1979</v>
      </c>
      <c r="D210" s="13" t="s">
        <v>3167</v>
      </c>
      <c r="E210" s="13" t="s">
        <v>566</v>
      </c>
      <c r="F210" s="13">
        <v>5.5</v>
      </c>
      <c r="G210" s="13" t="s">
        <v>46</v>
      </c>
      <c r="H210" s="13" t="s">
        <v>3976</v>
      </c>
      <c r="I210" s="13" t="s">
        <v>3977</v>
      </c>
      <c r="J210" s="9" t="s">
        <v>3978</v>
      </c>
      <c r="K210" s="13">
        <v>3</v>
      </c>
    </row>
    <row r="211" spans="1:11" ht="15" customHeight="1" x14ac:dyDescent="0.2">
      <c r="A211" s="15" t="s">
        <v>3979</v>
      </c>
      <c r="B211" s="15" t="s">
        <v>3979</v>
      </c>
      <c r="C211" s="15">
        <v>1983</v>
      </c>
      <c r="D211" s="15" t="s">
        <v>3167</v>
      </c>
      <c r="E211" s="15" t="s">
        <v>1270</v>
      </c>
      <c r="F211" s="15">
        <v>5</v>
      </c>
      <c r="G211" s="15" t="s">
        <v>28</v>
      </c>
      <c r="H211" s="15" t="s">
        <v>3980</v>
      </c>
      <c r="I211" s="15" t="s">
        <v>3981</v>
      </c>
      <c r="J211" s="10" t="s">
        <v>3982</v>
      </c>
      <c r="K211" s="15">
        <v>2</v>
      </c>
    </row>
    <row r="212" spans="1:11" ht="15" customHeight="1" x14ac:dyDescent="0.2">
      <c r="A212" s="13" t="s">
        <v>3983</v>
      </c>
      <c r="B212" s="13" t="s">
        <v>3983</v>
      </c>
      <c r="C212" s="13">
        <v>1966</v>
      </c>
      <c r="D212" s="13" t="s">
        <v>3167</v>
      </c>
      <c r="E212" s="13" t="s">
        <v>566</v>
      </c>
      <c r="F212" s="13">
        <v>8</v>
      </c>
      <c r="G212" s="13" t="s">
        <v>77</v>
      </c>
      <c r="H212" s="13" t="s">
        <v>3984</v>
      </c>
      <c r="I212" s="13" t="s">
        <v>3985</v>
      </c>
      <c r="J212" s="9" t="s">
        <v>3986</v>
      </c>
      <c r="K212" s="13">
        <v>0</v>
      </c>
    </row>
    <row r="213" spans="1:11" ht="15" customHeight="1" x14ac:dyDescent="0.2">
      <c r="A213" s="13" t="s">
        <v>3987</v>
      </c>
      <c r="B213" s="13" t="s">
        <v>3987</v>
      </c>
      <c r="C213" s="13">
        <v>1972</v>
      </c>
      <c r="D213" s="13" t="s">
        <v>3167</v>
      </c>
      <c r="E213" s="13" t="s">
        <v>1270</v>
      </c>
      <c r="F213" s="13">
        <v>6.1</v>
      </c>
      <c r="G213" s="13" t="s">
        <v>46</v>
      </c>
      <c r="H213" s="13" t="s">
        <v>3988</v>
      </c>
      <c r="I213" s="13" t="s">
        <v>3989</v>
      </c>
      <c r="J213" s="9" t="s">
        <v>3990</v>
      </c>
      <c r="K213" s="13">
        <v>7</v>
      </c>
    </row>
    <row r="214" spans="1:11" ht="15" customHeight="1" x14ac:dyDescent="0.2">
      <c r="A214" s="13" t="s">
        <v>3991</v>
      </c>
      <c r="B214" s="13" t="s">
        <v>3991</v>
      </c>
      <c r="C214" s="13">
        <v>1978</v>
      </c>
      <c r="D214" s="13" t="s">
        <v>3167</v>
      </c>
      <c r="E214" s="13" t="s">
        <v>566</v>
      </c>
      <c r="F214" s="13">
        <v>0</v>
      </c>
      <c r="G214" s="13"/>
      <c r="H214" s="13" t="s">
        <v>3992</v>
      </c>
      <c r="I214" s="13" t="s">
        <v>3993</v>
      </c>
      <c r="J214" s="9" t="s">
        <v>3994</v>
      </c>
      <c r="K214" s="13">
        <v>0</v>
      </c>
    </row>
    <row r="215" spans="1:11" ht="15" customHeight="1" x14ac:dyDescent="0.2">
      <c r="A215" s="13" t="s">
        <v>3273</v>
      </c>
      <c r="B215" s="13" t="s">
        <v>3273</v>
      </c>
      <c r="C215" s="13">
        <v>1975</v>
      </c>
      <c r="D215" s="13" t="s">
        <v>3167</v>
      </c>
      <c r="E215" s="13" t="s">
        <v>1270</v>
      </c>
      <c r="F215" s="13">
        <v>5.5</v>
      </c>
      <c r="G215" s="13" t="s">
        <v>46</v>
      </c>
      <c r="H215" s="13" t="s">
        <v>3275</v>
      </c>
      <c r="I215" s="13" t="s">
        <v>3995</v>
      </c>
      <c r="J215" s="9" t="s">
        <v>3277</v>
      </c>
      <c r="K215" s="13">
        <v>2</v>
      </c>
    </row>
    <row r="216" spans="1:11" ht="15" customHeight="1" x14ac:dyDescent="0.2">
      <c r="A216" s="13" t="s">
        <v>3996</v>
      </c>
      <c r="B216" s="13" t="s">
        <v>3996</v>
      </c>
      <c r="C216" s="13">
        <v>1989</v>
      </c>
      <c r="D216" s="13" t="s">
        <v>3167</v>
      </c>
      <c r="E216" s="13" t="s">
        <v>3733</v>
      </c>
      <c r="F216" s="13">
        <v>0</v>
      </c>
      <c r="G216" s="13"/>
      <c r="H216" s="13" t="s">
        <v>3997</v>
      </c>
      <c r="I216" s="13" t="s">
        <v>3998</v>
      </c>
      <c r="J216" s="9" t="s">
        <v>3999</v>
      </c>
      <c r="K216" s="13">
        <v>0</v>
      </c>
    </row>
    <row r="217" spans="1:11" ht="15" customHeight="1" x14ac:dyDescent="0.2">
      <c r="A217" s="13" t="s">
        <v>4000</v>
      </c>
      <c r="B217" s="13" t="s">
        <v>4000</v>
      </c>
      <c r="C217" s="13">
        <v>1982</v>
      </c>
      <c r="D217" s="13" t="s">
        <v>3167</v>
      </c>
      <c r="E217" s="13" t="s">
        <v>566</v>
      </c>
      <c r="F217" s="13">
        <v>0</v>
      </c>
      <c r="G217" s="13"/>
      <c r="H217" s="13" t="s">
        <v>4001</v>
      </c>
      <c r="I217" s="13" t="s">
        <v>4002</v>
      </c>
      <c r="J217" s="9" t="s">
        <v>4003</v>
      </c>
      <c r="K217" s="13">
        <v>0</v>
      </c>
    </row>
    <row r="218" spans="1:11" ht="15" customHeight="1" x14ac:dyDescent="0.2">
      <c r="A218" s="13" t="s">
        <v>4004</v>
      </c>
      <c r="B218" s="13"/>
      <c r="C218" s="13">
        <v>1973</v>
      </c>
      <c r="D218" s="13" t="s">
        <v>3167</v>
      </c>
      <c r="E218" s="13" t="s">
        <v>3945</v>
      </c>
      <c r="F218" s="13"/>
      <c r="G218" s="13"/>
      <c r="H218" s="13"/>
      <c r="I218" s="13"/>
      <c r="J218" s="9"/>
      <c r="K218" s="13"/>
    </row>
    <row r="219" spans="1:11" ht="15" customHeight="1" x14ac:dyDescent="0.2">
      <c r="A219" s="13" t="s">
        <v>4005</v>
      </c>
      <c r="B219" s="13" t="s">
        <v>4005</v>
      </c>
      <c r="C219" s="13">
        <v>1980</v>
      </c>
      <c r="D219" s="13" t="s">
        <v>3167</v>
      </c>
      <c r="E219" s="13" t="s">
        <v>566</v>
      </c>
      <c r="F219" s="13">
        <v>0</v>
      </c>
      <c r="G219" s="13"/>
      <c r="H219" s="13" t="s">
        <v>4006</v>
      </c>
      <c r="I219" s="13" t="s">
        <v>4007</v>
      </c>
      <c r="J219" s="9" t="s">
        <v>3201</v>
      </c>
      <c r="K219" s="13">
        <v>0</v>
      </c>
    </row>
    <row r="220" spans="1:11" ht="15" customHeight="1" x14ac:dyDescent="0.2">
      <c r="A220" s="13" t="s">
        <v>4008</v>
      </c>
      <c r="B220" s="13" t="s">
        <v>4008</v>
      </c>
      <c r="C220" s="13">
        <v>1979</v>
      </c>
      <c r="D220" s="13" t="s">
        <v>3167</v>
      </c>
      <c r="E220" s="13" t="s">
        <v>1270</v>
      </c>
      <c r="F220" s="13">
        <v>4.8570000000000002</v>
      </c>
      <c r="G220" s="13" t="s">
        <v>28</v>
      </c>
      <c r="H220" s="13" t="s">
        <v>4009</v>
      </c>
      <c r="I220" s="13" t="s">
        <v>4010</v>
      </c>
      <c r="J220" s="9" t="s">
        <v>4011</v>
      </c>
      <c r="K220" s="13">
        <v>7</v>
      </c>
    </row>
    <row r="221" spans="1:11" ht="15" customHeight="1" x14ac:dyDescent="0.2">
      <c r="A221" s="15" t="s">
        <v>4012</v>
      </c>
      <c r="B221" s="15" t="s">
        <v>4012</v>
      </c>
      <c r="C221" s="15">
        <v>1989</v>
      </c>
      <c r="D221" s="15" t="s">
        <v>3167</v>
      </c>
      <c r="E221" s="15" t="s">
        <v>1270</v>
      </c>
      <c r="F221" s="15">
        <v>5</v>
      </c>
      <c r="G221" s="15" t="s">
        <v>28</v>
      </c>
      <c r="H221" s="15" t="s">
        <v>4013</v>
      </c>
      <c r="I221" s="15" t="s">
        <v>4014</v>
      </c>
      <c r="J221" s="10" t="s">
        <v>4015</v>
      </c>
      <c r="K221" s="15">
        <v>1</v>
      </c>
    </row>
    <row r="222" spans="1:11" ht="15" customHeight="1" x14ac:dyDescent="0.2">
      <c r="A222" s="13" t="s">
        <v>4016</v>
      </c>
      <c r="B222" s="13" t="s">
        <v>4016</v>
      </c>
      <c r="C222" s="13">
        <v>1977</v>
      </c>
      <c r="D222" s="13" t="s">
        <v>3167</v>
      </c>
      <c r="E222" s="13" t="s">
        <v>1270</v>
      </c>
      <c r="F222" s="13">
        <v>2</v>
      </c>
      <c r="G222" s="13" t="s">
        <v>1310</v>
      </c>
      <c r="H222" s="13" t="s">
        <v>4017</v>
      </c>
      <c r="I222" s="13" t="s">
        <v>4018</v>
      </c>
      <c r="J222" s="9" t="s">
        <v>4019</v>
      </c>
      <c r="K222" s="13">
        <v>3</v>
      </c>
    </row>
    <row r="223" spans="1:11" ht="15" customHeight="1" x14ac:dyDescent="0.2">
      <c r="A223" s="13" t="s">
        <v>4020</v>
      </c>
      <c r="B223" s="13"/>
      <c r="C223" s="13">
        <v>1976</v>
      </c>
      <c r="D223" s="13" t="s">
        <v>3167</v>
      </c>
      <c r="E223" s="13" t="s">
        <v>3945</v>
      </c>
      <c r="F223" s="13"/>
      <c r="G223" s="13"/>
      <c r="H223" s="13"/>
      <c r="I223" s="13"/>
      <c r="J223" s="9" t="s">
        <v>4021</v>
      </c>
      <c r="K223" s="13"/>
    </row>
    <row r="224" spans="1:11" ht="15" customHeight="1" x14ac:dyDescent="0.2">
      <c r="A224" s="13" t="s">
        <v>4022</v>
      </c>
      <c r="B224" s="13" t="s">
        <v>4022</v>
      </c>
      <c r="C224" s="13">
        <v>1986</v>
      </c>
      <c r="D224" s="13" t="s">
        <v>3167</v>
      </c>
      <c r="E224" s="13" t="s">
        <v>566</v>
      </c>
      <c r="F224" s="13">
        <v>7</v>
      </c>
      <c r="G224" s="13" t="s">
        <v>18</v>
      </c>
      <c r="H224" s="13" t="s">
        <v>4023</v>
      </c>
      <c r="I224" s="13" t="s">
        <v>4024</v>
      </c>
      <c r="J224" s="9" t="s">
        <v>4025</v>
      </c>
      <c r="K224" s="13">
        <v>2</v>
      </c>
    </row>
    <row r="225" spans="1:11" ht="15" customHeight="1" x14ac:dyDescent="0.2">
      <c r="A225" s="13" t="s">
        <v>4026</v>
      </c>
      <c r="B225" s="13" t="s">
        <v>4027</v>
      </c>
      <c r="C225" s="13">
        <v>1990</v>
      </c>
      <c r="D225" s="13" t="s">
        <v>3167</v>
      </c>
      <c r="E225" s="13" t="s">
        <v>566</v>
      </c>
      <c r="F225" s="13">
        <v>5.3</v>
      </c>
      <c r="G225" s="13" t="s">
        <v>28</v>
      </c>
      <c r="H225" s="13" t="s">
        <v>4028</v>
      </c>
      <c r="I225" s="13" t="s">
        <v>49</v>
      </c>
      <c r="J225" s="9" t="s">
        <v>4029</v>
      </c>
      <c r="K225" s="13">
        <v>6</v>
      </c>
    </row>
    <row r="226" spans="1:11" ht="15" customHeight="1" x14ac:dyDescent="0.2">
      <c r="A226" s="13" t="s">
        <v>4030</v>
      </c>
      <c r="B226" s="13" t="s">
        <v>4031</v>
      </c>
      <c r="C226" s="13">
        <v>1968</v>
      </c>
      <c r="D226" s="13" t="s">
        <v>3167</v>
      </c>
      <c r="E226" s="13" t="s">
        <v>3596</v>
      </c>
      <c r="F226" s="13">
        <v>5.2</v>
      </c>
      <c r="G226" s="13" t="s">
        <v>28</v>
      </c>
      <c r="H226" s="13" t="s">
        <v>4032</v>
      </c>
      <c r="I226" s="13" t="s">
        <v>49</v>
      </c>
      <c r="J226" s="9" t="s">
        <v>4033</v>
      </c>
      <c r="K226" s="13">
        <v>8</v>
      </c>
    </row>
    <row r="227" spans="1:11" ht="15" customHeight="1" x14ac:dyDescent="0.2">
      <c r="A227" s="13" t="s">
        <v>4034</v>
      </c>
      <c r="B227" s="13" t="s">
        <v>4034</v>
      </c>
      <c r="C227" s="13">
        <v>1962</v>
      </c>
      <c r="D227" s="13" t="s">
        <v>3167</v>
      </c>
      <c r="E227" s="13" t="s">
        <v>3733</v>
      </c>
      <c r="F227" s="13">
        <v>0</v>
      </c>
      <c r="G227" s="13"/>
      <c r="H227" s="13" t="s">
        <v>4035</v>
      </c>
      <c r="I227" s="13" t="s">
        <v>4036</v>
      </c>
      <c r="J227" s="9" t="s">
        <v>4037</v>
      </c>
      <c r="K227" s="13">
        <v>0</v>
      </c>
    </row>
    <row r="228" spans="1:11" ht="15" customHeight="1" x14ac:dyDescent="0.2">
      <c r="A228" s="13" t="s">
        <v>4038</v>
      </c>
      <c r="B228" s="13" t="s">
        <v>4039</v>
      </c>
      <c r="C228" s="13"/>
      <c r="D228" s="13" t="s">
        <v>2047</v>
      </c>
      <c r="E228" s="13"/>
      <c r="F228" s="13">
        <v>0</v>
      </c>
      <c r="G228" s="13"/>
      <c r="H228" s="13">
        <v>562675</v>
      </c>
      <c r="I228" s="13"/>
      <c r="J228" s="9"/>
      <c r="K228" s="13">
        <v>0</v>
      </c>
    </row>
    <row r="229" spans="1:11" ht="15" customHeight="1" x14ac:dyDescent="0.2">
      <c r="A229" s="13" t="s">
        <v>4040</v>
      </c>
      <c r="B229" s="13" t="s">
        <v>4040</v>
      </c>
      <c r="C229" s="13">
        <v>1982</v>
      </c>
      <c r="D229" s="13" t="s">
        <v>3167</v>
      </c>
      <c r="E229" s="13" t="s">
        <v>3733</v>
      </c>
      <c r="F229" s="13">
        <v>5.625</v>
      </c>
      <c r="G229" s="13" t="s">
        <v>46</v>
      </c>
      <c r="H229" s="13" t="s">
        <v>4041</v>
      </c>
      <c r="I229" s="13" t="s">
        <v>4042</v>
      </c>
      <c r="J229" s="9" t="s">
        <v>4043</v>
      </c>
      <c r="K229" s="13">
        <v>8</v>
      </c>
    </row>
    <row r="230" spans="1:11" ht="15" customHeight="1" x14ac:dyDescent="0.2">
      <c r="A230" s="13" t="s">
        <v>4044</v>
      </c>
      <c r="B230" s="13" t="s">
        <v>4044</v>
      </c>
      <c r="C230" s="13">
        <v>1988</v>
      </c>
      <c r="D230" s="13" t="s">
        <v>3167</v>
      </c>
      <c r="E230" s="13" t="s">
        <v>566</v>
      </c>
      <c r="F230" s="13">
        <v>0</v>
      </c>
      <c r="G230" s="13"/>
      <c r="H230" s="13" t="s">
        <v>4045</v>
      </c>
      <c r="I230" s="13" t="s">
        <v>4046</v>
      </c>
      <c r="J230" s="9" t="s">
        <v>4047</v>
      </c>
      <c r="K230" s="13">
        <v>0</v>
      </c>
    </row>
    <row r="231" spans="1:11" ht="15" customHeight="1" x14ac:dyDescent="0.2">
      <c r="A231" s="15" t="s">
        <v>4048</v>
      </c>
      <c r="B231" s="15"/>
      <c r="C231" s="15">
        <v>1978</v>
      </c>
      <c r="D231" s="15" t="s">
        <v>3167</v>
      </c>
      <c r="E231" s="15" t="s">
        <v>3945</v>
      </c>
      <c r="F231" s="15"/>
      <c r="G231" s="15"/>
      <c r="H231" s="15"/>
      <c r="I231" s="15"/>
      <c r="J231" s="10"/>
      <c r="K231" s="15"/>
    </row>
    <row r="232" spans="1:11" ht="15" customHeight="1" x14ac:dyDescent="0.2">
      <c r="A232" s="13" t="s">
        <v>4049</v>
      </c>
      <c r="B232" s="13" t="s">
        <v>4049</v>
      </c>
      <c r="C232" s="13">
        <v>1990</v>
      </c>
      <c r="D232" s="13" t="s">
        <v>3167</v>
      </c>
      <c r="E232" s="13" t="s">
        <v>566</v>
      </c>
      <c r="F232" s="13">
        <v>3.7</v>
      </c>
      <c r="G232" s="13" t="s">
        <v>86</v>
      </c>
      <c r="H232" s="13" t="s">
        <v>4050</v>
      </c>
      <c r="I232" s="13" t="s">
        <v>4051</v>
      </c>
      <c r="J232" s="9" t="s">
        <v>4052</v>
      </c>
      <c r="K232" s="13">
        <v>3</v>
      </c>
    </row>
    <row r="233" spans="1:11" ht="15" customHeight="1" x14ac:dyDescent="0.2">
      <c r="A233" s="13" t="s">
        <v>4053</v>
      </c>
      <c r="B233" s="13" t="s">
        <v>4053</v>
      </c>
      <c r="C233" s="13">
        <v>1965</v>
      </c>
      <c r="D233" s="13" t="s">
        <v>3167</v>
      </c>
      <c r="E233" s="13" t="s">
        <v>1270</v>
      </c>
      <c r="F233" s="13">
        <v>7</v>
      </c>
      <c r="G233" s="13" t="s">
        <v>18</v>
      </c>
      <c r="H233" s="13" t="s">
        <v>4054</v>
      </c>
      <c r="I233" s="13" t="s">
        <v>4055</v>
      </c>
      <c r="J233" s="9" t="s">
        <v>4056</v>
      </c>
      <c r="K233" s="13">
        <v>3</v>
      </c>
    </row>
    <row r="234" spans="1:11" ht="15" customHeight="1" x14ac:dyDescent="0.2">
      <c r="A234" s="13" t="s">
        <v>4057</v>
      </c>
      <c r="B234" s="13" t="s">
        <v>4057</v>
      </c>
      <c r="C234" s="13">
        <v>1981</v>
      </c>
      <c r="D234" s="13" t="s">
        <v>3167</v>
      </c>
      <c r="E234" s="13" t="s">
        <v>3945</v>
      </c>
      <c r="F234" s="13">
        <v>0</v>
      </c>
      <c r="G234" s="13"/>
      <c r="H234" s="13" t="s">
        <v>4058</v>
      </c>
      <c r="I234" s="13" t="s">
        <v>4059</v>
      </c>
      <c r="J234" s="9" t="s">
        <v>3201</v>
      </c>
      <c r="K234" s="13">
        <v>0</v>
      </c>
    </row>
    <row r="235" spans="1:11" ht="15" customHeight="1" x14ac:dyDescent="0.2">
      <c r="A235" s="13" t="s">
        <v>4060</v>
      </c>
      <c r="B235" s="13" t="s">
        <v>4060</v>
      </c>
      <c r="C235" s="13">
        <v>1965</v>
      </c>
      <c r="D235" s="13" t="s">
        <v>3167</v>
      </c>
      <c r="E235" s="13" t="s">
        <v>566</v>
      </c>
      <c r="F235" s="13">
        <v>5.6</v>
      </c>
      <c r="G235" s="13" t="s">
        <v>46</v>
      </c>
      <c r="H235" s="13" t="s">
        <v>4061</v>
      </c>
      <c r="I235" s="13" t="s">
        <v>4062</v>
      </c>
      <c r="J235" s="9"/>
      <c r="K235" s="13">
        <v>4</v>
      </c>
    </row>
    <row r="236" spans="1:11" ht="15" customHeight="1" x14ac:dyDescent="0.2">
      <c r="A236" s="13" t="s">
        <v>4063</v>
      </c>
      <c r="B236" s="13" t="s">
        <v>4064</v>
      </c>
      <c r="C236" s="13"/>
      <c r="D236" s="13" t="s">
        <v>4065</v>
      </c>
      <c r="E236" s="13" t="s">
        <v>566</v>
      </c>
      <c r="F236" s="13">
        <v>7.2</v>
      </c>
      <c r="G236" s="13" t="s">
        <v>18</v>
      </c>
      <c r="H236" s="13">
        <v>278790</v>
      </c>
      <c r="I236" s="13" t="s">
        <v>4066</v>
      </c>
      <c r="J236" s="9" t="s">
        <v>4067</v>
      </c>
      <c r="K236" s="13">
        <v>8</v>
      </c>
    </row>
    <row r="237" spans="1:11" ht="15" customHeight="1" x14ac:dyDescent="0.2">
      <c r="A237" s="13" t="s">
        <v>4068</v>
      </c>
      <c r="B237" s="13"/>
      <c r="C237" s="13"/>
      <c r="D237" s="13"/>
      <c r="E237" s="13"/>
      <c r="F237" s="13"/>
      <c r="G237" s="13"/>
      <c r="H237" s="13"/>
      <c r="I237" s="13"/>
      <c r="J237" s="9"/>
      <c r="K237" s="13"/>
    </row>
    <row r="238" spans="1:11" ht="15" customHeight="1" x14ac:dyDescent="0.2">
      <c r="A238" s="13" t="s">
        <v>4069</v>
      </c>
      <c r="B238" s="13"/>
      <c r="C238" s="13">
        <v>1984</v>
      </c>
      <c r="D238" s="13" t="s">
        <v>3167</v>
      </c>
      <c r="E238" s="13" t="s">
        <v>2042</v>
      </c>
      <c r="F238" s="13"/>
      <c r="G238" s="13"/>
      <c r="H238" s="13"/>
      <c r="I238" s="13"/>
      <c r="J238" s="9"/>
      <c r="K238" s="13"/>
    </row>
    <row r="239" spans="1:11" ht="15" customHeight="1" x14ac:dyDescent="0.2">
      <c r="A239" s="13" t="s">
        <v>4070</v>
      </c>
      <c r="B239" s="13" t="s">
        <v>4070</v>
      </c>
      <c r="C239" s="13">
        <v>1982</v>
      </c>
      <c r="D239" s="13" t="s">
        <v>3167</v>
      </c>
      <c r="E239" s="13" t="s">
        <v>566</v>
      </c>
      <c r="F239" s="13">
        <v>3.3330000000000002</v>
      </c>
      <c r="G239" s="13" t="s">
        <v>169</v>
      </c>
      <c r="H239" s="13" t="s">
        <v>4071</v>
      </c>
      <c r="I239" s="13" t="s">
        <v>4072</v>
      </c>
      <c r="J239" s="9" t="s">
        <v>4073</v>
      </c>
      <c r="K239" s="13">
        <v>3</v>
      </c>
    </row>
    <row r="240" spans="1:11" ht="15" customHeight="1" x14ac:dyDescent="0.2">
      <c r="A240" s="13" t="s">
        <v>4074</v>
      </c>
      <c r="B240" s="13" t="s">
        <v>4074</v>
      </c>
      <c r="C240" s="13">
        <v>1991</v>
      </c>
      <c r="D240" s="13" t="s">
        <v>3167</v>
      </c>
      <c r="E240" s="13" t="s">
        <v>566</v>
      </c>
      <c r="F240" s="13">
        <v>5.5</v>
      </c>
      <c r="G240" s="13" t="s">
        <v>46</v>
      </c>
      <c r="H240" s="13" t="s">
        <v>4075</v>
      </c>
      <c r="I240" s="13" t="s">
        <v>4076</v>
      </c>
      <c r="J240" s="9" t="s">
        <v>4077</v>
      </c>
      <c r="K240" s="13">
        <v>6</v>
      </c>
    </row>
    <row r="241" spans="1:11" ht="15" customHeight="1" x14ac:dyDescent="0.2">
      <c r="A241" s="15" t="s">
        <v>4078</v>
      </c>
      <c r="B241" s="15" t="s">
        <v>4078</v>
      </c>
      <c r="C241" s="15">
        <v>1989</v>
      </c>
      <c r="D241" s="15" t="s">
        <v>3167</v>
      </c>
      <c r="E241" s="15" t="s">
        <v>3345</v>
      </c>
      <c r="F241" s="15">
        <v>0</v>
      </c>
      <c r="G241" s="15"/>
      <c r="H241" s="15" t="s">
        <v>4079</v>
      </c>
      <c r="I241" s="15" t="s">
        <v>4080</v>
      </c>
      <c r="J241" s="10" t="s">
        <v>4081</v>
      </c>
      <c r="K241" s="15">
        <v>0</v>
      </c>
    </row>
    <row r="242" spans="1:11" ht="15" customHeight="1" x14ac:dyDescent="0.2">
      <c r="A242" s="13" t="s">
        <v>4082</v>
      </c>
      <c r="B242" s="13" t="s">
        <v>4083</v>
      </c>
      <c r="C242" s="13"/>
      <c r="D242" s="13" t="s">
        <v>4084</v>
      </c>
      <c r="E242" s="13" t="s">
        <v>1024</v>
      </c>
      <c r="F242" s="13">
        <v>6.4779999999999998</v>
      </c>
      <c r="G242" s="13" t="s">
        <v>46</v>
      </c>
      <c r="H242" s="13">
        <v>36672</v>
      </c>
      <c r="I242" s="13" t="s">
        <v>4085</v>
      </c>
      <c r="J242" s="9" t="s">
        <v>4086</v>
      </c>
      <c r="K242" s="13">
        <v>45</v>
      </c>
    </row>
    <row r="243" spans="1:11" ht="15" customHeight="1" x14ac:dyDescent="0.2">
      <c r="A243" s="13" t="s">
        <v>4087</v>
      </c>
      <c r="B243" s="13" t="s">
        <v>4087</v>
      </c>
      <c r="C243" s="13">
        <v>1977</v>
      </c>
      <c r="D243" s="13" t="s">
        <v>3167</v>
      </c>
      <c r="E243" s="13" t="s">
        <v>1270</v>
      </c>
      <c r="F243" s="13">
        <v>5.3</v>
      </c>
      <c r="G243" s="13" t="s">
        <v>28</v>
      </c>
      <c r="H243" s="13" t="s">
        <v>4088</v>
      </c>
      <c r="I243" s="13" t="s">
        <v>4089</v>
      </c>
      <c r="J243" s="9" t="s">
        <v>4090</v>
      </c>
      <c r="K243" s="13">
        <v>3</v>
      </c>
    </row>
    <row r="244" spans="1:11" ht="15" customHeight="1" x14ac:dyDescent="0.2">
      <c r="A244" s="13" t="s">
        <v>4091</v>
      </c>
      <c r="B244" s="13" t="s">
        <v>4092</v>
      </c>
      <c r="C244" s="13">
        <v>1979</v>
      </c>
      <c r="D244" s="13" t="s">
        <v>3167</v>
      </c>
      <c r="E244" s="13" t="s">
        <v>566</v>
      </c>
      <c r="F244" s="13">
        <v>3.8330000000000002</v>
      </c>
      <c r="G244" s="13" t="s">
        <v>86</v>
      </c>
      <c r="H244" s="13" t="s">
        <v>4093</v>
      </c>
      <c r="I244" s="13" t="s">
        <v>4094</v>
      </c>
      <c r="J244" s="9" t="s">
        <v>4095</v>
      </c>
      <c r="K244" s="13">
        <v>6</v>
      </c>
    </row>
    <row r="245" spans="1:11" ht="15" customHeight="1" x14ac:dyDescent="0.2">
      <c r="A245" s="13" t="s">
        <v>3223</v>
      </c>
      <c r="B245" s="13" t="s">
        <v>3223</v>
      </c>
      <c r="C245" s="13">
        <v>1982</v>
      </c>
      <c r="D245" s="13" t="s">
        <v>3167</v>
      </c>
      <c r="E245" s="13" t="s">
        <v>1270</v>
      </c>
      <c r="F245" s="13">
        <v>1</v>
      </c>
      <c r="G245" s="13" t="s">
        <v>2087</v>
      </c>
      <c r="H245" s="13" t="s">
        <v>3225</v>
      </c>
      <c r="I245" s="13" t="s">
        <v>4096</v>
      </c>
      <c r="J245" s="9" t="s">
        <v>3227</v>
      </c>
      <c r="K245" s="13">
        <v>2</v>
      </c>
    </row>
    <row r="246" spans="1:11" ht="15" customHeight="1" x14ac:dyDescent="0.2">
      <c r="A246" s="13" t="s">
        <v>4097</v>
      </c>
      <c r="B246" s="13"/>
      <c r="C246" s="13">
        <v>1965</v>
      </c>
      <c r="D246" s="13" t="s">
        <v>3167</v>
      </c>
      <c r="E246" s="13" t="s">
        <v>1270</v>
      </c>
      <c r="F246" s="13"/>
      <c r="G246" s="13"/>
      <c r="H246" s="13"/>
      <c r="I246" s="13" t="s">
        <v>4098</v>
      </c>
      <c r="J246" s="9"/>
      <c r="K246" s="13"/>
    </row>
    <row r="247" spans="1:11" ht="15" customHeight="1" x14ac:dyDescent="0.2">
      <c r="A247" s="13" t="s">
        <v>4099</v>
      </c>
      <c r="B247" s="13" t="s">
        <v>4100</v>
      </c>
      <c r="C247" s="13">
        <v>1978</v>
      </c>
      <c r="D247" s="13" t="s">
        <v>3167</v>
      </c>
      <c r="E247" s="13" t="s">
        <v>1270</v>
      </c>
      <c r="F247" s="13">
        <v>0</v>
      </c>
      <c r="G247" s="13"/>
      <c r="H247" s="13" t="s">
        <v>4101</v>
      </c>
      <c r="I247" s="13" t="s">
        <v>4102</v>
      </c>
      <c r="J247" s="9" t="s">
        <v>4103</v>
      </c>
      <c r="K247" s="13">
        <v>0</v>
      </c>
    </row>
    <row r="248" spans="1:11" ht="15" customHeight="1" x14ac:dyDescent="0.2">
      <c r="A248" s="13" t="s">
        <v>4104</v>
      </c>
      <c r="B248" s="13" t="s">
        <v>4105</v>
      </c>
      <c r="C248" s="13">
        <v>1980</v>
      </c>
      <c r="D248" s="13" t="s">
        <v>3167</v>
      </c>
      <c r="E248" s="13" t="s">
        <v>566</v>
      </c>
      <c r="F248" s="13">
        <v>0</v>
      </c>
      <c r="G248" s="13"/>
      <c r="H248" s="13" t="s">
        <v>4106</v>
      </c>
      <c r="I248" s="13" t="s">
        <v>4107</v>
      </c>
      <c r="J248" s="9" t="s">
        <v>4108</v>
      </c>
      <c r="K248" s="13">
        <v>0</v>
      </c>
    </row>
    <row r="249" spans="1:11" ht="15" customHeight="1" x14ac:dyDescent="0.2">
      <c r="A249" s="13" t="s">
        <v>4109</v>
      </c>
      <c r="B249" s="13" t="s">
        <v>4110</v>
      </c>
      <c r="C249" s="13">
        <v>1974</v>
      </c>
      <c r="D249" s="13" t="s">
        <v>3167</v>
      </c>
      <c r="E249" s="13" t="s">
        <v>566</v>
      </c>
      <c r="F249" s="13">
        <v>0</v>
      </c>
      <c r="G249" s="13"/>
      <c r="H249" s="13" t="s">
        <v>4111</v>
      </c>
      <c r="I249" s="13" t="s">
        <v>4112</v>
      </c>
      <c r="J249" s="9" t="s">
        <v>4113</v>
      </c>
      <c r="K249" s="13">
        <v>0</v>
      </c>
    </row>
    <row r="250" spans="1:11" ht="15" customHeight="1" x14ac:dyDescent="0.2">
      <c r="A250" s="13" t="s">
        <v>4114</v>
      </c>
      <c r="B250" s="13" t="s">
        <v>4115</v>
      </c>
      <c r="C250" s="13"/>
      <c r="D250" s="13" t="s">
        <v>15</v>
      </c>
      <c r="E250" s="13" t="s">
        <v>1052</v>
      </c>
      <c r="F250" s="13">
        <v>6.1</v>
      </c>
      <c r="G250" s="13" t="s">
        <v>46</v>
      </c>
      <c r="H250" s="13">
        <v>99492</v>
      </c>
      <c r="I250" s="13" t="s">
        <v>4116</v>
      </c>
      <c r="J250" s="9"/>
      <c r="K250" s="13">
        <v>9</v>
      </c>
    </row>
    <row r="251" spans="1:11" ht="15" customHeight="1" x14ac:dyDescent="0.2">
      <c r="A251" s="15" t="s">
        <v>4117</v>
      </c>
      <c r="B251" s="15" t="s">
        <v>4117</v>
      </c>
      <c r="C251" s="15">
        <v>1980</v>
      </c>
      <c r="D251" s="15" t="s">
        <v>3167</v>
      </c>
      <c r="E251" s="15" t="s">
        <v>1270</v>
      </c>
      <c r="F251" s="15">
        <v>7.5</v>
      </c>
      <c r="G251" s="15" t="s">
        <v>77</v>
      </c>
      <c r="H251" s="15" t="s">
        <v>4118</v>
      </c>
      <c r="I251" s="15" t="s">
        <v>4119</v>
      </c>
      <c r="J251" s="10" t="s">
        <v>4120</v>
      </c>
      <c r="K251" s="15">
        <v>1</v>
      </c>
    </row>
    <row r="252" spans="1:11" ht="15" customHeight="1" x14ac:dyDescent="0.2">
      <c r="A252" s="13" t="s">
        <v>4121</v>
      </c>
      <c r="B252" s="13" t="s">
        <v>4121</v>
      </c>
      <c r="C252" s="13">
        <v>1990</v>
      </c>
      <c r="D252" s="13" t="s">
        <v>3257</v>
      </c>
      <c r="E252" s="13" t="s">
        <v>1036</v>
      </c>
      <c r="F252" s="13">
        <v>0</v>
      </c>
      <c r="G252" s="13"/>
      <c r="H252" s="13" t="s">
        <v>4122</v>
      </c>
      <c r="I252" s="13" t="s">
        <v>4123</v>
      </c>
      <c r="J252" s="9" t="s">
        <v>4124</v>
      </c>
      <c r="K252" s="13">
        <v>0</v>
      </c>
    </row>
    <row r="253" spans="1:11" ht="15" customHeight="1" x14ac:dyDescent="0.2">
      <c r="A253" s="13" t="s">
        <v>4125</v>
      </c>
      <c r="B253" s="13" t="s">
        <v>4125</v>
      </c>
      <c r="C253" s="13">
        <v>1984</v>
      </c>
      <c r="D253" s="13" t="s">
        <v>3167</v>
      </c>
      <c r="E253" s="13" t="s">
        <v>1270</v>
      </c>
      <c r="F253" s="13">
        <v>0</v>
      </c>
      <c r="G253" s="13"/>
      <c r="H253" s="13" t="s">
        <v>4126</v>
      </c>
      <c r="I253" s="13" t="s">
        <v>4127</v>
      </c>
      <c r="J253" s="9" t="s">
        <v>4128</v>
      </c>
      <c r="K253" s="13">
        <v>0</v>
      </c>
    </row>
    <row r="254" spans="1:11" ht="15" customHeight="1" x14ac:dyDescent="0.2">
      <c r="A254" s="13" t="s">
        <v>4129</v>
      </c>
      <c r="B254" s="13" t="s">
        <v>4129</v>
      </c>
      <c r="C254" s="13">
        <v>1990</v>
      </c>
      <c r="D254" s="13" t="s">
        <v>3167</v>
      </c>
      <c r="E254" s="13" t="s">
        <v>566</v>
      </c>
      <c r="F254" s="13">
        <v>2.5</v>
      </c>
      <c r="G254" s="13" t="s">
        <v>1310</v>
      </c>
      <c r="H254" s="13" t="s">
        <v>4130</v>
      </c>
      <c r="I254" s="13" t="s">
        <v>4131</v>
      </c>
      <c r="J254" s="9" t="s">
        <v>4132</v>
      </c>
      <c r="K254" s="13">
        <v>4</v>
      </c>
    </row>
    <row r="255" spans="1:11" ht="15" customHeight="1" x14ac:dyDescent="0.2">
      <c r="A255" s="13" t="s">
        <v>4133</v>
      </c>
      <c r="B255" s="13" t="s">
        <v>4133</v>
      </c>
      <c r="C255" s="13">
        <v>1976</v>
      </c>
      <c r="D255" s="13" t="s">
        <v>3167</v>
      </c>
      <c r="E255" s="13" t="s">
        <v>566</v>
      </c>
      <c r="F255" s="13">
        <v>0</v>
      </c>
      <c r="G255" s="13"/>
      <c r="H255" s="13" t="s">
        <v>4134</v>
      </c>
      <c r="I255" s="13" t="s">
        <v>4135</v>
      </c>
      <c r="J255" s="9" t="s">
        <v>4136</v>
      </c>
      <c r="K255" s="13">
        <v>0</v>
      </c>
    </row>
    <row r="256" spans="1:11" ht="15" customHeight="1" x14ac:dyDescent="0.2">
      <c r="A256" s="13" t="s">
        <v>4137</v>
      </c>
      <c r="B256" s="13" t="s">
        <v>4137</v>
      </c>
      <c r="C256" s="13">
        <v>1985</v>
      </c>
      <c r="D256" s="13" t="s">
        <v>3167</v>
      </c>
      <c r="E256" s="13" t="s">
        <v>566</v>
      </c>
      <c r="F256" s="13">
        <v>0</v>
      </c>
      <c r="G256" s="13"/>
      <c r="H256" s="13" t="s">
        <v>4138</v>
      </c>
      <c r="I256" s="13" t="s">
        <v>4139</v>
      </c>
      <c r="J256" s="9" t="s">
        <v>4140</v>
      </c>
      <c r="K256" s="13">
        <v>0</v>
      </c>
    </row>
    <row r="257" spans="1:11" ht="15" customHeight="1" x14ac:dyDescent="0.2">
      <c r="A257" s="13" t="e">
        <f>+alfred struwe</f>
        <v>#NAME?</v>
      </c>
      <c r="B257" s="13" t="s">
        <v>3357</v>
      </c>
      <c r="C257" s="13">
        <v>2025</v>
      </c>
      <c r="D257" s="13" t="s">
        <v>3358</v>
      </c>
      <c r="E257" s="13" t="s">
        <v>566</v>
      </c>
      <c r="F257" s="13">
        <v>7.7</v>
      </c>
      <c r="G257" s="13" t="s">
        <v>77</v>
      </c>
      <c r="H257" s="13" t="s">
        <v>3359</v>
      </c>
      <c r="I257" s="13" t="s">
        <v>3360</v>
      </c>
      <c r="J257" s="9" t="s">
        <v>3361</v>
      </c>
      <c r="K257" s="13">
        <v>143</v>
      </c>
    </row>
    <row r="258" spans="1:11" ht="15" customHeight="1" x14ac:dyDescent="0.2">
      <c r="A258" s="13" t="s">
        <v>3205</v>
      </c>
      <c r="B258" s="13" t="s">
        <v>3205</v>
      </c>
      <c r="C258" s="13">
        <v>1986</v>
      </c>
      <c r="D258" s="13" t="s">
        <v>3167</v>
      </c>
      <c r="E258" s="13" t="s">
        <v>3189</v>
      </c>
      <c r="F258" s="13">
        <v>0</v>
      </c>
      <c r="G258" s="13"/>
      <c r="H258" s="13" t="s">
        <v>4141</v>
      </c>
      <c r="I258" s="13" t="s">
        <v>3200</v>
      </c>
      <c r="J258" s="9" t="s">
        <v>3207</v>
      </c>
      <c r="K258" s="13">
        <v>0</v>
      </c>
    </row>
    <row r="259" spans="1:11" ht="15" customHeight="1" x14ac:dyDescent="0.2">
      <c r="A259" s="13" t="s">
        <v>4142</v>
      </c>
      <c r="B259" s="13" t="s">
        <v>4142</v>
      </c>
      <c r="C259" s="13">
        <v>1997</v>
      </c>
      <c r="D259" s="13" t="s">
        <v>350</v>
      </c>
      <c r="E259" s="13" t="s">
        <v>566</v>
      </c>
      <c r="F259" s="13">
        <v>0</v>
      </c>
      <c r="G259" s="13"/>
      <c r="H259" s="13" t="s">
        <v>4143</v>
      </c>
      <c r="I259" s="13" t="s">
        <v>4144</v>
      </c>
      <c r="J259" s="9" t="s">
        <v>4145</v>
      </c>
      <c r="K259" s="13">
        <v>0</v>
      </c>
    </row>
    <row r="260" spans="1:11" ht="15" customHeight="1" x14ac:dyDescent="0.2">
      <c r="A260" s="13" t="s">
        <v>3199</v>
      </c>
      <c r="B260" s="13" t="s">
        <v>3199</v>
      </c>
      <c r="C260" s="13">
        <v>1977</v>
      </c>
      <c r="D260" s="13" t="s">
        <v>350</v>
      </c>
      <c r="E260" s="13" t="s">
        <v>3189</v>
      </c>
      <c r="F260" s="13">
        <v>0</v>
      </c>
      <c r="G260" s="13"/>
      <c r="H260" s="13" t="s">
        <v>4146</v>
      </c>
      <c r="I260" s="13" t="s">
        <v>3195</v>
      </c>
      <c r="J260" s="9" t="s">
        <v>3201</v>
      </c>
      <c r="K260" s="13">
        <v>0</v>
      </c>
    </row>
    <row r="261" spans="1:11" ht="15" customHeight="1" x14ac:dyDescent="0.2">
      <c r="A261" s="15" t="s">
        <v>4147</v>
      </c>
      <c r="B261" s="15"/>
      <c r="C261" s="15"/>
      <c r="D261" s="15"/>
      <c r="E261" s="15"/>
      <c r="F261" s="15"/>
      <c r="G261" s="15"/>
      <c r="H261" s="15"/>
      <c r="I261" s="15"/>
      <c r="J261" s="10"/>
      <c r="K261" s="15"/>
    </row>
    <row r="262" spans="1:11" ht="15" customHeight="1" x14ac:dyDescent="0.2">
      <c r="A262" s="13" t="s">
        <v>4148</v>
      </c>
      <c r="B262" s="13"/>
      <c r="C262" s="13">
        <v>1989</v>
      </c>
      <c r="D262" s="13" t="s">
        <v>3167</v>
      </c>
      <c r="E262" s="13"/>
      <c r="F262" s="13"/>
      <c r="G262" s="13"/>
      <c r="H262" s="13"/>
      <c r="I262" s="13"/>
      <c r="J262" s="9"/>
      <c r="K262" s="13"/>
    </row>
    <row r="263" spans="1:11" ht="15" customHeight="1" x14ac:dyDescent="0.2">
      <c r="A263" s="13" t="s">
        <v>3979</v>
      </c>
      <c r="B263" s="13" t="s">
        <v>3979</v>
      </c>
      <c r="C263" s="13">
        <v>1983</v>
      </c>
      <c r="D263" s="13" t="s">
        <v>3167</v>
      </c>
      <c r="E263" s="13" t="s">
        <v>1270</v>
      </c>
      <c r="F263" s="13">
        <v>5</v>
      </c>
      <c r="G263" s="13" t="s">
        <v>28</v>
      </c>
      <c r="H263" s="13" t="s">
        <v>3980</v>
      </c>
      <c r="I263" s="13" t="s">
        <v>3981</v>
      </c>
      <c r="J263" s="9" t="s">
        <v>3982</v>
      </c>
      <c r="K263" s="13">
        <v>2</v>
      </c>
    </row>
    <row r="264" spans="1:11" ht="15" customHeight="1" x14ac:dyDescent="0.2">
      <c r="A264" s="13" t="s">
        <v>4149</v>
      </c>
      <c r="B264" s="13" t="s">
        <v>4149</v>
      </c>
      <c r="C264" s="13">
        <v>1968</v>
      </c>
      <c r="D264" s="13" t="s">
        <v>2047</v>
      </c>
      <c r="E264" s="13" t="s">
        <v>3345</v>
      </c>
      <c r="F264" s="13">
        <v>0</v>
      </c>
      <c r="G264" s="13"/>
      <c r="H264" s="13" t="s">
        <v>4150</v>
      </c>
      <c r="I264" s="13" t="s">
        <v>4151</v>
      </c>
      <c r="J264" s="9"/>
      <c r="K264" s="13">
        <v>0</v>
      </c>
    </row>
    <row r="265" spans="1:11" ht="15" customHeight="1" x14ac:dyDescent="0.2">
      <c r="A265" s="13" t="s">
        <v>4152</v>
      </c>
      <c r="B265" s="13"/>
      <c r="C265" s="13"/>
      <c r="D265" s="13"/>
      <c r="E265" s="13"/>
      <c r="F265" s="13"/>
      <c r="G265" s="13"/>
      <c r="H265" s="13"/>
      <c r="I265" s="13"/>
      <c r="J265" s="9"/>
      <c r="K265" s="13"/>
    </row>
    <row r="266" spans="1:11" ht="15" customHeight="1" x14ac:dyDescent="0.2">
      <c r="A266" s="13" t="e">
        <v>#NAME?</v>
      </c>
      <c r="B266" s="13" t="s">
        <v>4153</v>
      </c>
      <c r="C266" s="13">
        <v>2016</v>
      </c>
      <c r="D266" s="13" t="s">
        <v>4154</v>
      </c>
      <c r="E266" s="13" t="s">
        <v>4155</v>
      </c>
      <c r="F266" s="13">
        <v>8.48</v>
      </c>
      <c r="G266" s="13" t="s">
        <v>77</v>
      </c>
      <c r="H266" s="13" t="s">
        <v>4156</v>
      </c>
      <c r="I266" s="13" t="s">
        <v>4157</v>
      </c>
      <c r="J266" s="9" t="s">
        <v>4158</v>
      </c>
      <c r="K266" s="13">
        <v>12151</v>
      </c>
    </row>
    <row r="267" spans="1:11" ht="15" customHeight="1" x14ac:dyDescent="0.2">
      <c r="A267" s="13" t="e">
        <f>+ddr filme</f>
        <v>#NAME?</v>
      </c>
      <c r="B267" s="13" t="s">
        <v>3357</v>
      </c>
      <c r="C267" s="13">
        <v>2025</v>
      </c>
      <c r="D267" s="13" t="s">
        <v>3358</v>
      </c>
      <c r="E267" s="13" t="s">
        <v>566</v>
      </c>
      <c r="F267" s="13">
        <v>7.7</v>
      </c>
      <c r="G267" s="13" t="s">
        <v>77</v>
      </c>
      <c r="H267" s="13" t="s">
        <v>3359</v>
      </c>
      <c r="I267" s="13" t="s">
        <v>3360</v>
      </c>
      <c r="J267" s="9" t="s">
        <v>3361</v>
      </c>
      <c r="K267" s="13">
        <v>143</v>
      </c>
    </row>
    <row r="268" spans="1:11" ht="15" customHeight="1" x14ac:dyDescent="0.2">
      <c r="A268" s="13" t="e">
        <f>+zwillinge oder nimm dir ein beispiel an evelin</f>
        <v>#NAME?</v>
      </c>
      <c r="B268" s="13" t="s">
        <v>4159</v>
      </c>
      <c r="C268" s="13">
        <v>1979</v>
      </c>
      <c r="D268" s="13" t="s">
        <v>3167</v>
      </c>
      <c r="E268" s="13" t="s">
        <v>566</v>
      </c>
      <c r="F268" s="13">
        <v>6.9</v>
      </c>
      <c r="G268" s="13" t="s">
        <v>18</v>
      </c>
      <c r="H268" s="13" t="s">
        <v>4160</v>
      </c>
      <c r="I268" s="13" t="s">
        <v>4161</v>
      </c>
      <c r="J268" s="9" t="s">
        <v>4162</v>
      </c>
      <c r="K268" s="13">
        <v>12</v>
      </c>
    </row>
    <row r="269" spans="1:11" ht="15" customHeight="1" x14ac:dyDescent="0.2">
      <c r="A269" s="13" t="e">
        <f>+verlobung in hullerbusch</f>
        <v>#NAME?</v>
      </c>
      <c r="B269" s="13" t="s">
        <v>4159</v>
      </c>
      <c r="C269" s="13">
        <v>1979</v>
      </c>
      <c r="D269" s="13" t="s">
        <v>3167</v>
      </c>
      <c r="E269" s="13" t="s">
        <v>2042</v>
      </c>
      <c r="F269" s="13">
        <v>6.9</v>
      </c>
      <c r="G269" s="13" t="s">
        <v>18</v>
      </c>
      <c r="H269" s="13" t="s">
        <v>4160</v>
      </c>
      <c r="I269" s="13" t="s">
        <v>4163</v>
      </c>
      <c r="J269" s="9" t="s">
        <v>4164</v>
      </c>
      <c r="K269" s="13">
        <v>12</v>
      </c>
    </row>
    <row r="270" spans="1:11" ht="15" customHeight="1" x14ac:dyDescent="0.2">
      <c r="A270" s="13" t="e">
        <f>+seitensprung</f>
        <v>#NAME?</v>
      </c>
      <c r="B270" s="13" t="s">
        <v>4165</v>
      </c>
      <c r="C270" s="13">
        <v>1979</v>
      </c>
      <c r="D270" s="13" t="s">
        <v>3167</v>
      </c>
      <c r="E270" s="13" t="s">
        <v>566</v>
      </c>
      <c r="F270" s="13">
        <v>6.6</v>
      </c>
      <c r="G270" s="13" t="s">
        <v>18</v>
      </c>
      <c r="H270" s="13" t="s">
        <v>4166</v>
      </c>
      <c r="I270" s="13" t="s">
        <v>4167</v>
      </c>
      <c r="J270" s="9" t="s">
        <v>4168</v>
      </c>
      <c r="K270" s="13">
        <v>15</v>
      </c>
    </row>
  </sheetData>
  <dataValidations count="1">
    <dataValidation type="list" allowBlank="1" showDropDown="1" showInputMessage="1" showErrorMessage="1" sqref="D2:D8 D10:D19 D21:D29 D31:D38 D40:D50 I2:I8 I10:I19 I21:I29 I31:I38 I40:I50" xr:uid="{00000000-0002-0000-0600-000000000000}">
      <formula1>#REF!</formula1>
      <formula2>0</formula2>
    </dataValidation>
  </dataValidations>
  <pageMargins left="0.74791666666666701" right="0.74791666666666701" top="0.98402777777777795" bottom="0.9840277777777779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Tabelle8">
    <outlinePr summaryBelow="0"/>
  </sheetPr>
  <dimension ref="A1:AC213"/>
  <sheetViews>
    <sheetView zoomScaleNormal="100" workbookViewId="0">
      <pane ySplit="1" topLeftCell="A29" activePane="bottomLeft" state="frozen"/>
      <selection pane="bottomLeft" activeCell="A45" sqref="A45"/>
    </sheetView>
  </sheetViews>
  <sheetFormatPr baseColWidth="10" defaultColWidth="12.5703125" defaultRowHeight="15" customHeight="1" x14ac:dyDescent="0.2"/>
  <cols>
    <col min="1" max="1" width="47.42578125" style="2" customWidth="1"/>
    <col min="2" max="2" width="18.5703125" style="2" customWidth="1"/>
    <col min="3" max="3" width="8.140625" style="2" customWidth="1"/>
    <col min="4" max="4" width="7" style="2" customWidth="1"/>
    <col min="5" max="5" width="11.42578125" style="2" customWidth="1"/>
    <col min="6" max="6" width="6.42578125" style="2" bestFit="1" customWidth="1"/>
    <col min="7" max="7" width="11.42578125" style="2" customWidth="1"/>
    <col min="8" max="8" width="15.42578125" style="2" customWidth="1"/>
    <col min="9" max="9" width="44.7109375" style="2" customWidth="1"/>
    <col min="10" max="10" width="43" style="2" customWidth="1"/>
    <col min="11" max="12" width="18.5703125" style="2" customWidth="1"/>
    <col min="13" max="13" width="18.140625" style="2" customWidth="1"/>
    <col min="14" max="14" width="11.42578125" style="2" customWidth="1"/>
    <col min="15" max="15" width="24.5703125" style="2" customWidth="1"/>
    <col min="16" max="16" width="25.7109375" style="2" customWidth="1"/>
    <col min="17" max="21" width="11.42578125" style="2" customWidth="1"/>
    <col min="22" max="22" width="46.28515625" style="2" customWidth="1"/>
    <col min="23" max="23" width="106.7109375" style="2" customWidth="1"/>
    <col min="24" max="24" width="126.5703125" style="2" customWidth="1"/>
    <col min="25" max="25" width="8.140625" style="2" customWidth="1"/>
    <col min="26" max="26" width="32.140625" style="2" customWidth="1"/>
    <col min="27" max="27" width="16.42578125" style="2" customWidth="1"/>
    <col min="28" max="28" width="14.140625" style="2" customWidth="1"/>
    <col min="29" max="29" width="11.42578125" style="2" customWidth="1"/>
  </cols>
  <sheetData>
    <row r="1" spans="1:11" s="1" customFormat="1" ht="16.5" customHeight="1" x14ac:dyDescent="0.25">
      <c r="A1" s="11" t="s">
        <v>0</v>
      </c>
      <c r="B1" s="11" t="s">
        <v>1</v>
      </c>
      <c r="C1" s="11" t="s">
        <v>2</v>
      </c>
      <c r="D1" s="11" t="s">
        <v>3</v>
      </c>
      <c r="E1" s="11" t="s">
        <v>4</v>
      </c>
      <c r="F1" s="11" t="s">
        <v>5</v>
      </c>
      <c r="G1" s="11" t="s">
        <v>6</v>
      </c>
      <c r="H1" s="11" t="s">
        <v>7</v>
      </c>
      <c r="I1" s="11" t="s">
        <v>8</v>
      </c>
      <c r="J1" s="11" t="s">
        <v>9</v>
      </c>
      <c r="K1" s="11" t="s">
        <v>10</v>
      </c>
    </row>
    <row r="2" spans="1:11" ht="15" customHeight="1" x14ac:dyDescent="0.2">
      <c r="A2" s="13" t="s">
        <v>4169</v>
      </c>
      <c r="B2" s="13" t="s">
        <v>4170</v>
      </c>
      <c r="C2" s="13">
        <v>2021</v>
      </c>
      <c r="D2" s="13" t="s">
        <v>15</v>
      </c>
      <c r="E2" s="13" t="s">
        <v>566</v>
      </c>
      <c r="F2" s="13">
        <v>7.1</v>
      </c>
      <c r="G2" s="13" t="s">
        <v>18</v>
      </c>
      <c r="H2" s="13" t="s">
        <v>4171</v>
      </c>
      <c r="I2" s="13" t="s">
        <v>4172</v>
      </c>
      <c r="J2" s="9" t="s">
        <v>4173</v>
      </c>
      <c r="K2" s="13">
        <v>368</v>
      </c>
    </row>
    <row r="3" spans="1:11" ht="15" customHeight="1" x14ac:dyDescent="0.2">
      <c r="A3" s="13" t="s">
        <v>4174</v>
      </c>
      <c r="B3" s="13" t="s">
        <v>4175</v>
      </c>
      <c r="C3" s="13">
        <v>2007</v>
      </c>
      <c r="D3" s="13" t="s">
        <v>350</v>
      </c>
      <c r="E3" s="13" t="s">
        <v>566</v>
      </c>
      <c r="F3" s="13">
        <v>6.3</v>
      </c>
      <c r="G3" s="13" t="s">
        <v>46</v>
      </c>
      <c r="H3" s="13" t="s">
        <v>4176</v>
      </c>
      <c r="I3" s="13" t="s">
        <v>4177</v>
      </c>
      <c r="J3" s="9" t="s">
        <v>4178</v>
      </c>
      <c r="K3" s="13">
        <v>7</v>
      </c>
    </row>
    <row r="4" spans="1:11" ht="15" customHeight="1" x14ac:dyDescent="0.2">
      <c r="A4" s="13" t="s">
        <v>4179</v>
      </c>
      <c r="B4" s="13" t="s">
        <v>4179</v>
      </c>
      <c r="C4" s="13">
        <v>2013</v>
      </c>
      <c r="D4" s="13" t="s">
        <v>15</v>
      </c>
      <c r="E4" s="13" t="s">
        <v>566</v>
      </c>
      <c r="F4" s="13">
        <v>7.9340000000000002</v>
      </c>
      <c r="G4" s="13" t="s">
        <v>77</v>
      </c>
      <c r="H4" s="13" t="s">
        <v>4180</v>
      </c>
      <c r="I4" s="13" t="s">
        <v>4181</v>
      </c>
      <c r="J4" s="9" t="s">
        <v>4182</v>
      </c>
      <c r="K4" s="13">
        <v>11713</v>
      </c>
    </row>
    <row r="5" spans="1:11" ht="15" customHeight="1" x14ac:dyDescent="0.2">
      <c r="A5" s="13" t="s">
        <v>4183</v>
      </c>
      <c r="B5" s="13" t="s">
        <v>4183</v>
      </c>
      <c r="C5" s="13">
        <v>2016</v>
      </c>
      <c r="D5" s="13" t="s">
        <v>350</v>
      </c>
      <c r="E5" s="13" t="s">
        <v>566</v>
      </c>
      <c r="F5" s="13">
        <v>6.4550000000000001</v>
      </c>
      <c r="G5" s="13" t="s">
        <v>46</v>
      </c>
      <c r="H5" s="13" t="s">
        <v>4184</v>
      </c>
      <c r="I5" s="13" t="s">
        <v>4185</v>
      </c>
      <c r="J5" s="9" t="s">
        <v>4186</v>
      </c>
      <c r="K5" s="13">
        <v>44</v>
      </c>
    </row>
    <row r="6" spans="1:11" ht="15" customHeight="1" x14ac:dyDescent="0.2">
      <c r="A6" s="13" t="s">
        <v>4187</v>
      </c>
      <c r="B6" s="13" t="s">
        <v>4187</v>
      </c>
      <c r="C6" s="13">
        <v>2011</v>
      </c>
      <c r="D6" s="13" t="s">
        <v>15</v>
      </c>
      <c r="E6" s="13" t="s">
        <v>566</v>
      </c>
      <c r="F6" s="13"/>
      <c r="G6" s="13"/>
      <c r="H6" s="13" t="s">
        <v>4188</v>
      </c>
      <c r="I6" s="13" t="s">
        <v>4189</v>
      </c>
      <c r="J6" s="9" t="s">
        <v>4190</v>
      </c>
      <c r="K6" s="13"/>
    </row>
    <row r="7" spans="1:11" ht="15" customHeight="1" x14ac:dyDescent="0.2">
      <c r="A7" s="13" t="s">
        <v>4191</v>
      </c>
      <c r="B7" s="13" t="s">
        <v>4192</v>
      </c>
      <c r="C7" s="13">
        <v>2019</v>
      </c>
      <c r="D7" s="13" t="s">
        <v>15</v>
      </c>
      <c r="E7" s="13" t="s">
        <v>4193</v>
      </c>
      <c r="F7" s="13">
        <v>6.7</v>
      </c>
      <c r="G7" s="13" t="s">
        <v>18</v>
      </c>
      <c r="H7" s="13" t="s">
        <v>4194</v>
      </c>
      <c r="I7" s="13" t="s">
        <v>4195</v>
      </c>
      <c r="J7" s="9" t="s">
        <v>4196</v>
      </c>
      <c r="K7" s="13">
        <v>190</v>
      </c>
    </row>
    <row r="8" spans="1:11" ht="15" customHeight="1" x14ac:dyDescent="0.2">
      <c r="A8" s="13" t="s">
        <v>4197</v>
      </c>
      <c r="B8" s="13" t="s">
        <v>4197</v>
      </c>
      <c r="C8" s="13">
        <v>2022</v>
      </c>
      <c r="D8" s="13" t="s">
        <v>15</v>
      </c>
      <c r="E8" s="13" t="s">
        <v>566</v>
      </c>
      <c r="F8" s="13">
        <v>7.6740000000000004</v>
      </c>
      <c r="G8" s="13" t="s">
        <v>77</v>
      </c>
      <c r="H8" s="13" t="s">
        <v>4198</v>
      </c>
      <c r="I8" s="13" t="s">
        <v>4199</v>
      </c>
      <c r="J8" s="9" t="s">
        <v>4200</v>
      </c>
      <c r="K8" s="13">
        <v>1684</v>
      </c>
    </row>
    <row r="9" spans="1:11" ht="15" customHeight="1" x14ac:dyDescent="0.2">
      <c r="A9" s="13" t="s">
        <v>4201</v>
      </c>
      <c r="B9" s="13" t="s">
        <v>4201</v>
      </c>
      <c r="C9" s="13">
        <v>1998</v>
      </c>
      <c r="D9" s="13" t="s">
        <v>15</v>
      </c>
      <c r="E9" s="13" t="s">
        <v>1900</v>
      </c>
      <c r="F9" s="13">
        <v>8.33</v>
      </c>
      <c r="G9" s="13" t="s">
        <v>77</v>
      </c>
      <c r="H9" s="13" t="s">
        <v>4202</v>
      </c>
      <c r="I9" s="13" t="s">
        <v>4203</v>
      </c>
      <c r="J9" s="9" t="s">
        <v>4204</v>
      </c>
      <c r="K9" s="13">
        <v>12201</v>
      </c>
    </row>
    <row r="10" spans="1:11" ht="15" customHeight="1" x14ac:dyDescent="0.2">
      <c r="A10" s="13" t="s">
        <v>4205</v>
      </c>
      <c r="B10" s="13" t="s">
        <v>4205</v>
      </c>
      <c r="C10" s="13">
        <v>1979</v>
      </c>
      <c r="D10" s="13" t="s">
        <v>15</v>
      </c>
      <c r="E10" s="13" t="s">
        <v>3789</v>
      </c>
      <c r="F10" s="13">
        <v>8.27</v>
      </c>
      <c r="G10" s="13" t="s">
        <v>77</v>
      </c>
      <c r="H10" s="13" t="s">
        <v>4206</v>
      </c>
      <c r="I10" s="13" t="s">
        <v>4207</v>
      </c>
      <c r="J10" s="9" t="s">
        <v>4208</v>
      </c>
      <c r="K10" s="13">
        <v>8760</v>
      </c>
    </row>
    <row r="11" spans="1:11" ht="15" customHeight="1" x14ac:dyDescent="0.2">
      <c r="A11" s="15" t="s">
        <v>4209</v>
      </c>
      <c r="B11" s="15" t="s">
        <v>4210</v>
      </c>
      <c r="C11" s="15">
        <v>1997</v>
      </c>
      <c r="D11" s="15" t="s">
        <v>15</v>
      </c>
      <c r="E11" s="15" t="s">
        <v>566</v>
      </c>
      <c r="F11" s="15">
        <v>6.298</v>
      </c>
      <c r="G11" s="15" t="s">
        <v>46</v>
      </c>
      <c r="H11" s="15" t="s">
        <v>4211</v>
      </c>
      <c r="I11" s="15" t="s">
        <v>4212</v>
      </c>
      <c r="J11" s="10" t="s">
        <v>4213</v>
      </c>
      <c r="K11" s="15">
        <v>151</v>
      </c>
    </row>
    <row r="12" spans="1:11" ht="15" customHeight="1" x14ac:dyDescent="0.2">
      <c r="A12" s="13" t="s">
        <v>4214</v>
      </c>
      <c r="B12" s="13" t="s">
        <v>4214</v>
      </c>
      <c r="C12" s="13">
        <v>2018</v>
      </c>
      <c r="D12" s="13" t="s">
        <v>15</v>
      </c>
      <c r="E12" s="13" t="s">
        <v>566</v>
      </c>
      <c r="F12" s="13">
        <v>6.5309999999999997</v>
      </c>
      <c r="G12" s="13" t="s">
        <v>18</v>
      </c>
      <c r="H12" s="13" t="s">
        <v>4215</v>
      </c>
      <c r="I12" s="13" t="s">
        <v>4216</v>
      </c>
      <c r="J12" s="9" t="s">
        <v>4217</v>
      </c>
      <c r="K12" s="13">
        <v>1308</v>
      </c>
    </row>
    <row r="13" spans="1:11" ht="15" customHeight="1" x14ac:dyDescent="0.2">
      <c r="A13" s="13" t="s">
        <v>4218</v>
      </c>
      <c r="B13" s="13" t="s">
        <v>4218</v>
      </c>
      <c r="C13" s="13">
        <v>2018</v>
      </c>
      <c r="D13" s="13" t="s">
        <v>15</v>
      </c>
      <c r="E13" s="13" t="s">
        <v>566</v>
      </c>
      <c r="F13" s="13">
        <v>7.5460000000000003</v>
      </c>
      <c r="G13" s="13" t="s">
        <v>77</v>
      </c>
      <c r="H13" s="13" t="s">
        <v>4219</v>
      </c>
      <c r="I13" s="13" t="s">
        <v>4220</v>
      </c>
      <c r="J13" s="9" t="s">
        <v>4221</v>
      </c>
      <c r="K13" s="13">
        <v>2765</v>
      </c>
    </row>
    <row r="14" spans="1:11" ht="15" customHeight="1" x14ac:dyDescent="0.2">
      <c r="A14" s="13" t="s">
        <v>4222</v>
      </c>
      <c r="B14" s="13" t="s">
        <v>4223</v>
      </c>
      <c r="C14" s="13">
        <v>2022</v>
      </c>
      <c r="D14" s="13" t="s">
        <v>15</v>
      </c>
      <c r="E14" s="13" t="s">
        <v>566</v>
      </c>
      <c r="F14" s="13">
        <v>6.7060000000000004</v>
      </c>
      <c r="G14" s="13" t="s">
        <v>18</v>
      </c>
      <c r="H14" s="13" t="s">
        <v>4224</v>
      </c>
      <c r="I14" s="13" t="s">
        <v>4225</v>
      </c>
      <c r="J14" s="9" t="s">
        <v>4226</v>
      </c>
      <c r="K14" s="13">
        <v>364</v>
      </c>
    </row>
    <row r="15" spans="1:11" ht="15" customHeight="1" x14ac:dyDescent="0.2">
      <c r="A15" s="13" t="s">
        <v>4227</v>
      </c>
      <c r="B15" s="13" t="s">
        <v>4227</v>
      </c>
      <c r="C15" s="13">
        <v>2013</v>
      </c>
      <c r="D15" s="13" t="s">
        <v>15</v>
      </c>
      <c r="E15" s="13" t="s">
        <v>566</v>
      </c>
      <c r="F15" s="13">
        <v>7.5019999999999998</v>
      </c>
      <c r="G15" s="13" t="s">
        <v>77</v>
      </c>
      <c r="H15" s="13" t="s">
        <v>4228</v>
      </c>
      <c r="I15" s="13" t="s">
        <v>4229</v>
      </c>
      <c r="J15" s="9" t="s">
        <v>4230</v>
      </c>
      <c r="K15" s="13">
        <v>2593</v>
      </c>
    </row>
    <row r="16" spans="1:11" ht="15" customHeight="1" x14ac:dyDescent="0.2">
      <c r="A16" s="13" t="s">
        <v>4231</v>
      </c>
      <c r="B16" s="13" t="s">
        <v>4232</v>
      </c>
      <c r="C16" s="13">
        <v>2009</v>
      </c>
      <c r="D16" s="13" t="s">
        <v>15</v>
      </c>
      <c r="E16" s="13" t="s">
        <v>566</v>
      </c>
      <c r="F16" s="13">
        <v>7.3730000000000002</v>
      </c>
      <c r="G16" s="13" t="s">
        <v>18</v>
      </c>
      <c r="H16" s="13" t="s">
        <v>4233</v>
      </c>
      <c r="I16" s="13" t="s">
        <v>4234</v>
      </c>
      <c r="J16" s="9" t="s">
        <v>4235</v>
      </c>
      <c r="K16" s="13">
        <v>2195</v>
      </c>
    </row>
    <row r="17" spans="1:11" ht="15" customHeight="1" x14ac:dyDescent="0.2">
      <c r="A17" s="13" t="s">
        <v>4236</v>
      </c>
      <c r="B17" s="13" t="s">
        <v>4237</v>
      </c>
      <c r="C17" s="13">
        <v>2018</v>
      </c>
      <c r="D17" s="13" t="s">
        <v>15</v>
      </c>
      <c r="E17" s="13" t="s">
        <v>566</v>
      </c>
      <c r="F17" s="13">
        <v>6.5979999999999999</v>
      </c>
      <c r="G17" s="13" t="s">
        <v>18</v>
      </c>
      <c r="H17" s="13" t="s">
        <v>4238</v>
      </c>
      <c r="I17" s="13" t="s">
        <v>4239</v>
      </c>
      <c r="J17" s="9" t="s">
        <v>4240</v>
      </c>
      <c r="K17" s="13">
        <v>950</v>
      </c>
    </row>
    <row r="18" spans="1:11" ht="15" customHeight="1" x14ac:dyDescent="0.2">
      <c r="A18" s="13" t="s">
        <v>4241</v>
      </c>
      <c r="B18" s="13" t="s">
        <v>4242</v>
      </c>
      <c r="C18" s="13">
        <v>1994</v>
      </c>
      <c r="D18" s="13" t="s">
        <v>15</v>
      </c>
      <c r="E18" s="13" t="s">
        <v>566</v>
      </c>
      <c r="F18" s="13">
        <v>7.2789999999999999</v>
      </c>
      <c r="G18" s="13" t="s">
        <v>18</v>
      </c>
      <c r="H18" s="13" t="s">
        <v>4243</v>
      </c>
      <c r="I18" s="13" t="s">
        <v>4244</v>
      </c>
      <c r="J18" s="9" t="s">
        <v>4245</v>
      </c>
      <c r="K18" s="13">
        <v>1295</v>
      </c>
    </row>
    <row r="19" spans="1:11" ht="15" customHeight="1" x14ac:dyDescent="0.2">
      <c r="A19" s="13" t="s">
        <v>4246</v>
      </c>
      <c r="B19" s="13" t="s">
        <v>4246</v>
      </c>
      <c r="C19" s="13">
        <v>2023</v>
      </c>
      <c r="D19" s="13" t="s">
        <v>15</v>
      </c>
      <c r="E19" s="13" t="s">
        <v>566</v>
      </c>
      <c r="F19" s="13">
        <v>5.5739999999999998</v>
      </c>
      <c r="G19" s="13" t="s">
        <v>46</v>
      </c>
      <c r="H19" s="13" t="s">
        <v>4247</v>
      </c>
      <c r="I19" s="13" t="s">
        <v>4248</v>
      </c>
      <c r="J19" s="9" t="s">
        <v>4249</v>
      </c>
      <c r="K19" s="13">
        <v>27</v>
      </c>
    </row>
    <row r="20" spans="1:11" ht="15" customHeight="1" x14ac:dyDescent="0.2">
      <c r="A20" s="13" t="s">
        <v>4250</v>
      </c>
      <c r="B20" s="13" t="s">
        <v>4251</v>
      </c>
      <c r="C20" s="13">
        <v>2021</v>
      </c>
      <c r="D20" s="13" t="s">
        <v>15</v>
      </c>
      <c r="E20" s="13" t="s">
        <v>566</v>
      </c>
      <c r="F20" s="13">
        <v>7.3319999999999999</v>
      </c>
      <c r="G20" s="13" t="s">
        <v>18</v>
      </c>
      <c r="H20" s="13" t="s">
        <v>4252</v>
      </c>
      <c r="I20" s="13" t="s">
        <v>4253</v>
      </c>
      <c r="J20" s="9" t="s">
        <v>4254</v>
      </c>
      <c r="K20" s="13">
        <v>1368</v>
      </c>
    </row>
    <row r="21" spans="1:11" ht="15" customHeight="1" x14ac:dyDescent="0.2">
      <c r="A21" s="15" t="s">
        <v>4255</v>
      </c>
      <c r="B21" s="15" t="s">
        <v>4256</v>
      </c>
      <c r="C21" s="15">
        <v>2019</v>
      </c>
      <c r="D21" s="15" t="s">
        <v>15</v>
      </c>
      <c r="E21" s="15" t="s">
        <v>566</v>
      </c>
      <c r="F21" s="15">
        <v>6.7670000000000003</v>
      </c>
      <c r="G21" s="15" t="s">
        <v>18</v>
      </c>
      <c r="H21" s="15" t="s">
        <v>4257</v>
      </c>
      <c r="I21" s="15" t="s">
        <v>4258</v>
      </c>
      <c r="J21" s="10" t="s">
        <v>4259</v>
      </c>
      <c r="K21" s="15">
        <v>215</v>
      </c>
    </row>
    <row r="22" spans="1:11" ht="15" customHeight="1" x14ac:dyDescent="0.2">
      <c r="A22" s="13" t="s">
        <v>4260</v>
      </c>
      <c r="B22" s="13" t="s">
        <v>4261</v>
      </c>
      <c r="C22" s="13">
        <v>1993</v>
      </c>
      <c r="D22" s="13" t="s">
        <v>15</v>
      </c>
      <c r="E22" s="13" t="s">
        <v>566</v>
      </c>
      <c r="F22" s="13">
        <v>8.1340000000000003</v>
      </c>
      <c r="G22" s="13" t="s">
        <v>77</v>
      </c>
      <c r="H22" s="13" t="s">
        <v>4262</v>
      </c>
      <c r="I22" s="13" t="s">
        <v>4263</v>
      </c>
      <c r="J22" s="9" t="s">
        <v>4264</v>
      </c>
      <c r="K22" s="13">
        <v>1466</v>
      </c>
    </row>
    <row r="23" spans="1:11" ht="15" customHeight="1" x14ac:dyDescent="0.2">
      <c r="A23" s="13" t="s">
        <v>4265</v>
      </c>
      <c r="B23" s="13" t="s">
        <v>4265</v>
      </c>
      <c r="C23" s="13">
        <v>2013</v>
      </c>
      <c r="D23" s="13" t="s">
        <v>15</v>
      </c>
      <c r="E23" s="13" t="s">
        <v>566</v>
      </c>
      <c r="F23" s="13">
        <v>6.9790000000000001</v>
      </c>
      <c r="G23" s="13" t="s">
        <v>18</v>
      </c>
      <c r="H23" s="13" t="s">
        <v>4266</v>
      </c>
      <c r="I23" s="13" t="s">
        <v>4267</v>
      </c>
      <c r="J23" s="9" t="s">
        <v>4268</v>
      </c>
      <c r="K23" s="13">
        <v>3560</v>
      </c>
    </row>
    <row r="24" spans="1:11" ht="15" customHeight="1" x14ac:dyDescent="0.2">
      <c r="A24" s="13" t="s">
        <v>4269</v>
      </c>
      <c r="B24" s="13" t="s">
        <v>4270</v>
      </c>
      <c r="C24" s="13">
        <v>2019</v>
      </c>
      <c r="D24" s="13" t="s">
        <v>2463</v>
      </c>
      <c r="E24" s="13" t="s">
        <v>566</v>
      </c>
      <c r="F24" s="13">
        <v>6.7839999999999998</v>
      </c>
      <c r="G24" s="13" t="s">
        <v>18</v>
      </c>
      <c r="H24" s="13" t="s">
        <v>4271</v>
      </c>
      <c r="I24" s="13" t="s">
        <v>4272</v>
      </c>
      <c r="J24" s="9" t="s">
        <v>4273</v>
      </c>
      <c r="K24" s="13">
        <v>3117</v>
      </c>
    </row>
    <row r="25" spans="1:11" ht="15" customHeight="1" x14ac:dyDescent="0.2">
      <c r="A25" s="13" t="s">
        <v>1415</v>
      </c>
      <c r="B25" s="13" t="s">
        <v>1415</v>
      </c>
      <c r="C25" s="13">
        <v>2021</v>
      </c>
      <c r="D25" s="13" t="s">
        <v>15</v>
      </c>
      <c r="E25" s="13" t="s">
        <v>566</v>
      </c>
      <c r="F25" s="13">
        <v>6.9930000000000003</v>
      </c>
      <c r="G25" s="13" t="s">
        <v>18</v>
      </c>
      <c r="H25" s="13" t="s">
        <v>1417</v>
      </c>
      <c r="I25" s="13" t="s">
        <v>1418</v>
      </c>
      <c r="J25" s="9" t="s">
        <v>1419</v>
      </c>
      <c r="K25" s="13">
        <v>134</v>
      </c>
    </row>
    <row r="26" spans="1:11" ht="15" customHeight="1" x14ac:dyDescent="0.2">
      <c r="A26" s="13" t="s">
        <v>4274</v>
      </c>
      <c r="B26" s="13" t="s">
        <v>4275</v>
      </c>
      <c r="C26" s="13">
        <v>2019</v>
      </c>
      <c r="D26" s="13" t="s">
        <v>15</v>
      </c>
      <c r="E26" s="13" t="s">
        <v>566</v>
      </c>
      <c r="F26" s="13">
        <v>7.6390000000000002</v>
      </c>
      <c r="G26" s="13" t="s">
        <v>77</v>
      </c>
      <c r="H26" s="13" t="s">
        <v>4276</v>
      </c>
      <c r="I26" s="13" t="s">
        <v>4277</v>
      </c>
      <c r="J26" s="9" t="s">
        <v>4278</v>
      </c>
      <c r="K26" s="13">
        <v>1130</v>
      </c>
    </row>
    <row r="27" spans="1:11" ht="15" customHeight="1" x14ac:dyDescent="0.2">
      <c r="A27" s="13" t="s">
        <v>4279</v>
      </c>
      <c r="B27" s="13" t="s">
        <v>4279</v>
      </c>
      <c r="C27" s="13">
        <v>1997</v>
      </c>
      <c r="D27" s="13" t="s">
        <v>15</v>
      </c>
      <c r="E27" s="13" t="s">
        <v>566</v>
      </c>
      <c r="F27" s="13">
        <v>5.8</v>
      </c>
      <c r="G27" s="13" t="s">
        <v>46</v>
      </c>
      <c r="H27" s="13" t="s">
        <v>4280</v>
      </c>
      <c r="I27" s="13" t="s">
        <v>4281</v>
      </c>
      <c r="J27" s="9" t="s">
        <v>4282</v>
      </c>
      <c r="K27" s="13">
        <v>73</v>
      </c>
    </row>
    <row r="28" spans="1:11" ht="15" customHeight="1" x14ac:dyDescent="0.2">
      <c r="A28" s="13" t="s">
        <v>4283</v>
      </c>
      <c r="B28" s="13" t="s">
        <v>4284</v>
      </c>
      <c r="C28" s="13">
        <v>2018</v>
      </c>
      <c r="D28" s="13" t="s">
        <v>4285</v>
      </c>
      <c r="E28" s="13" t="s">
        <v>566</v>
      </c>
      <c r="F28" s="13">
        <v>8.1440000000000001</v>
      </c>
      <c r="G28" s="13" t="s">
        <v>77</v>
      </c>
      <c r="H28" s="13" t="s">
        <v>4286</v>
      </c>
      <c r="I28" s="13" t="s">
        <v>4287</v>
      </c>
      <c r="J28" s="9" t="s">
        <v>4288</v>
      </c>
      <c r="K28" s="13">
        <v>1884</v>
      </c>
    </row>
    <row r="29" spans="1:11" ht="15" customHeight="1" x14ac:dyDescent="0.2">
      <c r="A29" s="13" t="s">
        <v>4289</v>
      </c>
      <c r="B29" s="13" t="s">
        <v>4289</v>
      </c>
      <c r="C29" s="13">
        <v>2003</v>
      </c>
      <c r="D29" s="13" t="s">
        <v>15</v>
      </c>
      <c r="E29" s="13" t="s">
        <v>566</v>
      </c>
      <c r="F29" s="13">
        <v>7.5759999999999996</v>
      </c>
      <c r="G29" s="13" t="s">
        <v>77</v>
      </c>
      <c r="H29" s="13" t="s">
        <v>4290</v>
      </c>
      <c r="I29" s="13" t="s">
        <v>4291</v>
      </c>
      <c r="J29" s="9" t="s">
        <v>4292</v>
      </c>
      <c r="K29" s="13">
        <v>583</v>
      </c>
    </row>
    <row r="30" spans="1:11" ht="15" customHeight="1" x14ac:dyDescent="0.2">
      <c r="A30" s="13" t="s">
        <v>4293</v>
      </c>
      <c r="B30" s="13" t="s">
        <v>4294</v>
      </c>
      <c r="C30" s="13">
        <v>1993</v>
      </c>
      <c r="D30" s="13" t="s">
        <v>15</v>
      </c>
      <c r="E30" s="13" t="s">
        <v>566</v>
      </c>
      <c r="F30" s="13">
        <v>7.827</v>
      </c>
      <c r="G30" s="13" t="s">
        <v>77</v>
      </c>
      <c r="H30" s="13" t="s">
        <v>4295</v>
      </c>
      <c r="I30" s="13" t="s">
        <v>4296</v>
      </c>
      <c r="J30" s="9" t="s">
        <v>4297</v>
      </c>
      <c r="K30" s="13">
        <v>3348</v>
      </c>
    </row>
    <row r="31" spans="1:11" ht="15" customHeight="1" x14ac:dyDescent="0.2">
      <c r="A31" s="15" t="s">
        <v>4298</v>
      </c>
      <c r="B31" s="15" t="s">
        <v>4298</v>
      </c>
      <c r="C31" s="15">
        <v>2002</v>
      </c>
      <c r="D31" s="15" t="s">
        <v>15</v>
      </c>
      <c r="E31" s="15" t="s">
        <v>566</v>
      </c>
      <c r="F31" s="15">
        <v>7.9779999999999998</v>
      </c>
      <c r="G31" s="15" t="s">
        <v>77</v>
      </c>
      <c r="H31" s="15" t="s">
        <v>4299</v>
      </c>
      <c r="I31" s="15" t="s">
        <v>4300</v>
      </c>
      <c r="J31" s="10" t="s">
        <v>4301</v>
      </c>
      <c r="K31" s="15">
        <v>16556</v>
      </c>
    </row>
    <row r="32" spans="1:11" ht="15" customHeight="1" x14ac:dyDescent="0.2">
      <c r="A32" s="13" t="s">
        <v>4302</v>
      </c>
      <c r="B32" s="13" t="s">
        <v>4303</v>
      </c>
      <c r="C32" s="13">
        <v>1988</v>
      </c>
      <c r="D32" s="13" t="s">
        <v>15</v>
      </c>
      <c r="E32" s="13" t="s">
        <v>566</v>
      </c>
      <c r="F32" s="13">
        <v>5.4470000000000001</v>
      </c>
      <c r="G32" s="13" t="s">
        <v>28</v>
      </c>
      <c r="H32" s="13" t="s">
        <v>4304</v>
      </c>
      <c r="I32" s="13" t="s">
        <v>4305</v>
      </c>
      <c r="J32" s="9" t="s">
        <v>4306</v>
      </c>
      <c r="K32" s="13">
        <v>57</v>
      </c>
    </row>
    <row r="33" spans="1:11" ht="15" customHeight="1" x14ac:dyDescent="0.2">
      <c r="A33" s="13" t="s">
        <v>4307</v>
      </c>
      <c r="B33" s="13" t="s">
        <v>4308</v>
      </c>
      <c r="C33" s="13">
        <v>2019</v>
      </c>
      <c r="D33" s="13" t="s">
        <v>15</v>
      </c>
      <c r="E33" s="13" t="s">
        <v>566</v>
      </c>
      <c r="F33" s="13">
        <v>6.5</v>
      </c>
      <c r="G33" s="13" t="s">
        <v>46</v>
      </c>
      <c r="H33" s="13" t="s">
        <v>4309</v>
      </c>
      <c r="I33" s="13" t="s">
        <v>4310</v>
      </c>
      <c r="J33" s="9" t="s">
        <v>4311</v>
      </c>
      <c r="K33" s="13">
        <v>83</v>
      </c>
    </row>
    <row r="34" spans="1:11" ht="15" customHeight="1" x14ac:dyDescent="0.2">
      <c r="A34" s="13" t="s">
        <v>4312</v>
      </c>
      <c r="B34" s="13" t="s">
        <v>4313</v>
      </c>
      <c r="C34" s="13">
        <v>2023</v>
      </c>
      <c r="D34" s="13" t="s">
        <v>15</v>
      </c>
      <c r="E34" s="13" t="s">
        <v>566</v>
      </c>
      <c r="F34" s="13">
        <v>5.55</v>
      </c>
      <c r="G34" s="13" t="s">
        <v>46</v>
      </c>
      <c r="H34" s="13" t="s">
        <v>4314</v>
      </c>
      <c r="I34" s="13" t="s">
        <v>4315</v>
      </c>
      <c r="J34" s="9" t="s">
        <v>4316</v>
      </c>
      <c r="K34" s="13">
        <v>30</v>
      </c>
    </row>
    <row r="35" spans="1:11" ht="15" customHeight="1" x14ac:dyDescent="0.2">
      <c r="A35" s="13" t="s">
        <v>4317</v>
      </c>
      <c r="B35" s="13" t="s">
        <v>4317</v>
      </c>
      <c r="C35" s="13">
        <v>2006</v>
      </c>
      <c r="D35" s="13" t="s">
        <v>4318</v>
      </c>
      <c r="E35" s="13" t="s">
        <v>4319</v>
      </c>
      <c r="F35" s="13">
        <v>6.0970000000000004</v>
      </c>
      <c r="G35" s="13" t="s">
        <v>46</v>
      </c>
      <c r="H35" s="13" t="s">
        <v>4320</v>
      </c>
      <c r="I35" s="13" t="s">
        <v>4321</v>
      </c>
      <c r="J35" s="9" t="s">
        <v>4322</v>
      </c>
      <c r="K35" s="13">
        <v>7473</v>
      </c>
    </row>
    <row r="36" spans="1:11" ht="15" customHeight="1" x14ac:dyDescent="0.2">
      <c r="A36" s="13" t="s">
        <v>4323</v>
      </c>
      <c r="B36" s="13" t="s">
        <v>4324</v>
      </c>
      <c r="C36" s="13">
        <v>2018</v>
      </c>
      <c r="D36" s="13" t="s">
        <v>4325</v>
      </c>
      <c r="E36" s="13" t="s">
        <v>1024</v>
      </c>
      <c r="F36" s="13">
        <v>7</v>
      </c>
      <c r="G36" s="13" t="s">
        <v>18</v>
      </c>
      <c r="H36" s="13" t="s">
        <v>4326</v>
      </c>
      <c r="I36" s="13" t="s">
        <v>4327</v>
      </c>
      <c r="J36" s="9" t="s">
        <v>4328</v>
      </c>
      <c r="K36" s="13">
        <v>216</v>
      </c>
    </row>
    <row r="37" spans="1:11" ht="15" customHeight="1" x14ac:dyDescent="0.2">
      <c r="A37" s="13" t="s">
        <v>4329</v>
      </c>
      <c r="B37" s="13" t="s">
        <v>4330</v>
      </c>
      <c r="C37" s="13">
        <v>2005</v>
      </c>
      <c r="D37" s="13" t="s">
        <v>15</v>
      </c>
      <c r="E37" s="13" t="s">
        <v>566</v>
      </c>
      <c r="F37" s="13">
        <v>4</v>
      </c>
      <c r="G37" s="13" t="s">
        <v>86</v>
      </c>
      <c r="H37" s="13" t="s">
        <v>4331</v>
      </c>
      <c r="I37" s="13" t="s">
        <v>4332</v>
      </c>
      <c r="J37" s="9" t="s">
        <v>4333</v>
      </c>
      <c r="K37" s="13">
        <v>2</v>
      </c>
    </row>
    <row r="38" spans="1:11" ht="15" customHeight="1" x14ac:dyDescent="0.2">
      <c r="A38" s="13" t="s">
        <v>4334</v>
      </c>
      <c r="B38" s="13"/>
      <c r="C38" s="13">
        <v>1994</v>
      </c>
      <c r="D38" s="13" t="s">
        <v>15</v>
      </c>
      <c r="E38" s="13" t="s">
        <v>566</v>
      </c>
      <c r="F38" s="13"/>
      <c r="G38" s="13"/>
      <c r="H38" s="13"/>
      <c r="I38" s="13"/>
      <c r="J38" s="9"/>
      <c r="K38" s="13"/>
    </row>
    <row r="39" spans="1:11" ht="15" customHeight="1" x14ac:dyDescent="0.2">
      <c r="A39" s="13" t="s">
        <v>4335</v>
      </c>
      <c r="B39" s="13"/>
      <c r="C39" s="13">
        <v>1983</v>
      </c>
      <c r="D39" s="13" t="s">
        <v>15</v>
      </c>
      <c r="E39" s="13" t="s">
        <v>566</v>
      </c>
      <c r="F39" s="13"/>
      <c r="G39" s="13"/>
      <c r="H39" s="13"/>
      <c r="I39" s="13"/>
      <c r="J39" s="9" t="s">
        <v>4336</v>
      </c>
      <c r="K39" s="13"/>
    </row>
    <row r="40" spans="1:11" ht="15" customHeight="1" x14ac:dyDescent="0.2">
      <c r="A40" s="13" t="s">
        <v>4337</v>
      </c>
      <c r="B40" s="13" t="s">
        <v>4338</v>
      </c>
      <c r="C40" s="13">
        <v>2016</v>
      </c>
      <c r="D40" s="13" t="s">
        <v>969</v>
      </c>
      <c r="E40" s="13" t="s">
        <v>566</v>
      </c>
      <c r="F40" s="13">
        <v>5.8</v>
      </c>
      <c r="G40" s="13" t="s">
        <v>46</v>
      </c>
      <c r="H40" s="13" t="s">
        <v>4339</v>
      </c>
      <c r="I40" s="13" t="s">
        <v>4340</v>
      </c>
      <c r="J40" s="9" t="s">
        <v>4341</v>
      </c>
      <c r="K40" s="13">
        <v>338</v>
      </c>
    </row>
    <row r="41" spans="1:11" ht="15" customHeight="1" x14ac:dyDescent="0.2">
      <c r="A41" s="15" t="s">
        <v>4342</v>
      </c>
      <c r="B41" s="15" t="s">
        <v>4343</v>
      </c>
      <c r="C41" s="15">
        <v>2014</v>
      </c>
      <c r="D41" s="15" t="s">
        <v>15</v>
      </c>
      <c r="E41" s="15" t="s">
        <v>566</v>
      </c>
      <c r="F41" s="15">
        <v>7.391</v>
      </c>
      <c r="G41" s="15" t="s">
        <v>18</v>
      </c>
      <c r="H41" s="15" t="s">
        <v>4344</v>
      </c>
      <c r="I41" s="15" t="s">
        <v>4345</v>
      </c>
      <c r="J41" s="10" t="s">
        <v>4346</v>
      </c>
      <c r="K41" s="15">
        <v>820</v>
      </c>
    </row>
    <row r="42" spans="1:11" ht="15" customHeight="1" x14ac:dyDescent="0.2">
      <c r="A42" s="13" t="s">
        <v>4347</v>
      </c>
      <c r="B42" s="13" t="s">
        <v>4348</v>
      </c>
      <c r="C42" s="13">
        <v>2019</v>
      </c>
      <c r="D42" s="13" t="s">
        <v>15</v>
      </c>
      <c r="E42" s="13" t="s">
        <v>566</v>
      </c>
      <c r="F42" s="13">
        <v>7.4189999999999996</v>
      </c>
      <c r="G42" s="13" t="s">
        <v>18</v>
      </c>
      <c r="H42" s="13" t="s">
        <v>4349</v>
      </c>
      <c r="I42" s="13" t="s">
        <v>4350</v>
      </c>
      <c r="J42" s="9" t="s">
        <v>4351</v>
      </c>
      <c r="K42" s="13">
        <v>2641</v>
      </c>
    </row>
    <row r="43" spans="1:11" ht="15" customHeight="1" x14ac:dyDescent="0.2">
      <c r="A43" s="13" t="s">
        <v>4352</v>
      </c>
      <c r="B43" s="13" t="s">
        <v>4353</v>
      </c>
      <c r="C43" s="13">
        <v>2022</v>
      </c>
      <c r="D43" s="13" t="s">
        <v>15</v>
      </c>
      <c r="E43" s="13" t="s">
        <v>566</v>
      </c>
      <c r="F43" s="13">
        <v>7.5339999999999998</v>
      </c>
      <c r="G43" s="13" t="s">
        <v>77</v>
      </c>
      <c r="H43" s="13" t="s">
        <v>4354</v>
      </c>
      <c r="I43" s="13" t="s">
        <v>4355</v>
      </c>
      <c r="J43" s="9" t="s">
        <v>4356</v>
      </c>
      <c r="K43" s="13">
        <v>2119</v>
      </c>
    </row>
    <row r="44" spans="1:11" ht="15" customHeight="1" x14ac:dyDescent="0.2">
      <c r="A44" s="13" t="s">
        <v>4357</v>
      </c>
      <c r="B44" s="13" t="s">
        <v>4358</v>
      </c>
      <c r="C44" s="13">
        <v>2013</v>
      </c>
      <c r="D44" s="13" t="s">
        <v>15</v>
      </c>
      <c r="E44" s="13" t="s">
        <v>566</v>
      </c>
      <c r="F44" s="13">
        <v>6.9</v>
      </c>
      <c r="G44" s="13" t="s">
        <v>18</v>
      </c>
      <c r="H44" s="13" t="s">
        <v>4359</v>
      </c>
      <c r="I44" s="13" t="s">
        <v>4360</v>
      </c>
      <c r="J44" s="9" t="s">
        <v>4361</v>
      </c>
      <c r="K44" s="13">
        <v>8</v>
      </c>
    </row>
    <row r="45" spans="1:11" ht="15" customHeight="1" x14ac:dyDescent="0.2">
      <c r="A45" s="13" t="s">
        <v>4362</v>
      </c>
      <c r="B45" s="13" t="s">
        <v>4363</v>
      </c>
      <c r="C45" s="13">
        <v>1984</v>
      </c>
      <c r="D45" s="13" t="s">
        <v>15</v>
      </c>
      <c r="E45" s="13" t="s">
        <v>566</v>
      </c>
      <c r="F45" s="13">
        <v>6.6559999999999997</v>
      </c>
      <c r="G45" s="13" t="s">
        <v>18</v>
      </c>
      <c r="H45" s="13" t="s">
        <v>4364</v>
      </c>
      <c r="I45" s="13" t="s">
        <v>4365</v>
      </c>
      <c r="J45" s="9" t="s">
        <v>4366</v>
      </c>
      <c r="K45" s="13">
        <v>387</v>
      </c>
    </row>
    <row r="46" spans="1:11" ht="15" customHeight="1" x14ac:dyDescent="0.2">
      <c r="A46" s="13" t="s">
        <v>2623</v>
      </c>
      <c r="B46" s="13" t="s">
        <v>2624</v>
      </c>
      <c r="C46" s="13">
        <v>2015</v>
      </c>
      <c r="D46" s="13" t="s">
        <v>15</v>
      </c>
      <c r="E46" s="13" t="s">
        <v>566</v>
      </c>
      <c r="F46" s="13">
        <v>6.5</v>
      </c>
      <c r="G46" s="13" t="s">
        <v>46</v>
      </c>
      <c r="H46" s="13" t="s">
        <v>2625</v>
      </c>
      <c r="I46" s="13" t="s">
        <v>2626</v>
      </c>
      <c r="J46" s="9" t="s">
        <v>2627</v>
      </c>
      <c r="K46" s="13">
        <v>514</v>
      </c>
    </row>
    <row r="47" spans="1:11" ht="15" customHeight="1" x14ac:dyDescent="0.2">
      <c r="A47" s="13" t="s">
        <v>2259</v>
      </c>
      <c r="B47" s="13" t="s">
        <v>2259</v>
      </c>
      <c r="C47" s="13">
        <v>1997</v>
      </c>
      <c r="D47" s="13" t="s">
        <v>1163</v>
      </c>
      <c r="E47" s="13" t="s">
        <v>566</v>
      </c>
      <c r="F47" s="13">
        <v>0</v>
      </c>
      <c r="G47" s="13"/>
      <c r="H47" s="13" t="s">
        <v>2260</v>
      </c>
      <c r="I47" s="13" t="s">
        <v>2261</v>
      </c>
      <c r="J47" s="9" t="s">
        <v>4367</v>
      </c>
      <c r="K47" s="13">
        <v>0</v>
      </c>
    </row>
    <row r="48" spans="1:11" ht="15" customHeight="1" x14ac:dyDescent="0.2">
      <c r="A48" s="13" t="s">
        <v>4368</v>
      </c>
      <c r="B48" s="13"/>
      <c r="C48" s="13">
        <v>1988</v>
      </c>
      <c r="D48" s="13" t="s">
        <v>15</v>
      </c>
      <c r="E48" s="13" t="s">
        <v>566</v>
      </c>
      <c r="F48" s="13"/>
      <c r="G48" s="13"/>
      <c r="H48" s="13"/>
      <c r="I48" s="13"/>
      <c r="J48" s="9" t="s">
        <v>4369</v>
      </c>
      <c r="K48" s="13"/>
    </row>
    <row r="49" spans="1:11" ht="15" customHeight="1" x14ac:dyDescent="0.2">
      <c r="A49" s="13" t="s">
        <v>4370</v>
      </c>
      <c r="B49" s="13" t="s">
        <v>4370</v>
      </c>
      <c r="C49" s="13">
        <v>2011</v>
      </c>
      <c r="D49" s="13" t="s">
        <v>15</v>
      </c>
      <c r="E49" s="13" t="s">
        <v>566</v>
      </c>
      <c r="F49" s="13">
        <v>7.6189999999999998</v>
      </c>
      <c r="G49" s="13" t="s">
        <v>77</v>
      </c>
      <c r="H49" s="13" t="s">
        <v>4371</v>
      </c>
      <c r="I49" s="13" t="s">
        <v>4372</v>
      </c>
      <c r="J49" s="9" t="s">
        <v>4373</v>
      </c>
      <c r="K49" s="13">
        <v>1891</v>
      </c>
    </row>
    <row r="50" spans="1:11" ht="15" customHeight="1" x14ac:dyDescent="0.2">
      <c r="A50" s="13" t="s">
        <v>4374</v>
      </c>
      <c r="B50" s="13" t="s">
        <v>4375</v>
      </c>
      <c r="C50" s="13">
        <v>1997</v>
      </c>
      <c r="D50" s="13" t="s">
        <v>15</v>
      </c>
      <c r="E50" s="13" t="s">
        <v>566</v>
      </c>
      <c r="F50" s="13">
        <v>6.2839999999999998</v>
      </c>
      <c r="G50" s="13" t="s">
        <v>46</v>
      </c>
      <c r="H50" s="13" t="s">
        <v>4376</v>
      </c>
      <c r="I50" s="13" t="s">
        <v>4377</v>
      </c>
      <c r="J50" s="9" t="s">
        <v>4378</v>
      </c>
      <c r="K50" s="13">
        <v>245</v>
      </c>
    </row>
    <row r="51" spans="1:11" ht="15" customHeight="1" x14ac:dyDescent="0.2">
      <c r="A51" s="15" t="s">
        <v>2285</v>
      </c>
      <c r="B51" s="15" t="s">
        <v>2286</v>
      </c>
      <c r="C51" s="15">
        <v>2018</v>
      </c>
      <c r="D51" s="15" t="s">
        <v>15</v>
      </c>
      <c r="E51" s="15" t="s">
        <v>566</v>
      </c>
      <c r="F51" s="15">
        <v>7.34</v>
      </c>
      <c r="G51" s="15" t="s">
        <v>18</v>
      </c>
      <c r="H51" s="15" t="s">
        <v>2288</v>
      </c>
      <c r="I51" s="15" t="s">
        <v>2289</v>
      </c>
      <c r="J51" s="10" t="s">
        <v>2290</v>
      </c>
      <c r="K51" s="15">
        <v>1092</v>
      </c>
    </row>
    <row r="52" spans="1:11" ht="15" customHeight="1" x14ac:dyDescent="0.2">
      <c r="A52" s="13" t="s">
        <v>4379</v>
      </c>
      <c r="B52" s="13" t="s">
        <v>4380</v>
      </c>
      <c r="C52" s="13">
        <v>1978</v>
      </c>
      <c r="D52" s="13" t="s">
        <v>15</v>
      </c>
      <c r="E52" s="13" t="s">
        <v>3789</v>
      </c>
      <c r="F52" s="13">
        <v>7.9829999999999997</v>
      </c>
      <c r="G52" s="13" t="s">
        <v>77</v>
      </c>
      <c r="H52" s="13" t="s">
        <v>4381</v>
      </c>
      <c r="I52" s="13" t="s">
        <v>4382</v>
      </c>
      <c r="J52" s="9" t="s">
        <v>4383</v>
      </c>
      <c r="K52" s="13">
        <v>4077</v>
      </c>
    </row>
    <row r="53" spans="1:11" ht="15" customHeight="1" x14ac:dyDescent="0.2">
      <c r="A53" s="13" t="s">
        <v>4384</v>
      </c>
      <c r="B53" s="13" t="s">
        <v>4385</v>
      </c>
      <c r="C53" s="13">
        <v>2016</v>
      </c>
      <c r="D53" s="13" t="s">
        <v>4386</v>
      </c>
      <c r="E53" s="13" t="s">
        <v>566</v>
      </c>
      <c r="F53" s="13">
        <v>7.4160000000000004</v>
      </c>
      <c r="G53" s="13" t="s">
        <v>18</v>
      </c>
      <c r="H53" s="13" t="s">
        <v>4387</v>
      </c>
      <c r="I53" s="13" t="s">
        <v>4388</v>
      </c>
      <c r="J53" s="9" t="s">
        <v>4389</v>
      </c>
      <c r="K53" s="13">
        <v>1911</v>
      </c>
    </row>
    <row r="54" spans="1:11" ht="15" customHeight="1" x14ac:dyDescent="0.2">
      <c r="A54" s="13" t="s">
        <v>4390</v>
      </c>
      <c r="B54" s="13" t="s">
        <v>4391</v>
      </c>
      <c r="C54" s="13">
        <v>2023</v>
      </c>
      <c r="D54" s="13" t="s">
        <v>15</v>
      </c>
      <c r="E54" s="13" t="s">
        <v>566</v>
      </c>
      <c r="F54" s="13">
        <v>7.0259999999999998</v>
      </c>
      <c r="G54" s="13" t="s">
        <v>18</v>
      </c>
      <c r="H54" s="13" t="s">
        <v>4392</v>
      </c>
      <c r="I54" s="13" t="s">
        <v>4393</v>
      </c>
      <c r="J54" s="9" t="s">
        <v>4394</v>
      </c>
      <c r="K54" s="13">
        <v>340</v>
      </c>
    </row>
    <row r="55" spans="1:11" ht="15" customHeight="1" x14ac:dyDescent="0.2">
      <c r="A55" s="13" t="s">
        <v>4395</v>
      </c>
      <c r="B55" s="13" t="s">
        <v>4396</v>
      </c>
      <c r="C55" s="13">
        <v>2020</v>
      </c>
      <c r="D55" s="13" t="s">
        <v>15</v>
      </c>
      <c r="E55" s="13" t="s">
        <v>566</v>
      </c>
      <c r="F55" s="13">
        <v>5.2</v>
      </c>
      <c r="G55" s="13" t="s">
        <v>28</v>
      </c>
      <c r="H55" s="13" t="s">
        <v>4397</v>
      </c>
      <c r="I55" s="13" t="s">
        <v>4398</v>
      </c>
      <c r="J55" s="9" t="s">
        <v>4399</v>
      </c>
      <c r="K55" s="13">
        <v>12</v>
      </c>
    </row>
    <row r="56" spans="1:11" ht="15" customHeight="1" x14ac:dyDescent="0.2">
      <c r="A56" s="13" t="s">
        <v>4400</v>
      </c>
      <c r="B56" s="13" t="s">
        <v>4401</v>
      </c>
      <c r="C56" s="13">
        <v>2024</v>
      </c>
      <c r="D56" s="13" t="s">
        <v>15</v>
      </c>
      <c r="E56" s="13" t="s">
        <v>4402</v>
      </c>
      <c r="F56" s="13">
        <v>7.8650000000000002</v>
      </c>
      <c r="G56" s="13" t="s">
        <v>77</v>
      </c>
      <c r="H56" s="13" t="s">
        <v>4403</v>
      </c>
      <c r="I56" s="13" t="s">
        <v>4404</v>
      </c>
      <c r="J56" s="9" t="s">
        <v>4405</v>
      </c>
      <c r="K56" s="13">
        <v>393</v>
      </c>
    </row>
    <row r="57" spans="1:11" ht="15" customHeight="1" x14ac:dyDescent="0.2">
      <c r="A57" s="13" t="s">
        <v>4406</v>
      </c>
      <c r="B57" s="13" t="s">
        <v>4407</v>
      </c>
      <c r="C57" s="13">
        <v>2014</v>
      </c>
      <c r="D57" s="13" t="s">
        <v>15</v>
      </c>
      <c r="E57" s="13" t="s">
        <v>566</v>
      </c>
      <c r="F57" s="13">
        <v>5.0999999999999996</v>
      </c>
      <c r="G57" s="13" t="s">
        <v>28</v>
      </c>
      <c r="H57" s="13" t="s">
        <v>4408</v>
      </c>
      <c r="I57" s="13" t="s">
        <v>4409</v>
      </c>
      <c r="J57" s="9" t="s">
        <v>4410</v>
      </c>
      <c r="K57" s="13">
        <v>10</v>
      </c>
    </row>
    <row r="58" spans="1:11" ht="15" customHeight="1" x14ac:dyDescent="0.2">
      <c r="A58" s="13" t="s">
        <v>4411</v>
      </c>
      <c r="B58" s="13" t="s">
        <v>4411</v>
      </c>
      <c r="C58" s="13">
        <v>2024</v>
      </c>
      <c r="D58" s="13" t="s">
        <v>350</v>
      </c>
      <c r="E58" s="13" t="s">
        <v>566</v>
      </c>
      <c r="F58" s="13">
        <v>5.3</v>
      </c>
      <c r="G58" s="13" t="s">
        <v>28</v>
      </c>
      <c r="H58" s="13" t="s">
        <v>4412</v>
      </c>
      <c r="I58" s="13" t="s">
        <v>4413</v>
      </c>
      <c r="J58" s="9" t="s">
        <v>4414</v>
      </c>
      <c r="K58" s="13">
        <v>3</v>
      </c>
    </row>
    <row r="59" spans="1:11" ht="15" customHeight="1" x14ac:dyDescent="0.2">
      <c r="A59" s="13" t="s">
        <v>4415</v>
      </c>
      <c r="B59" s="13" t="s">
        <v>4416</v>
      </c>
      <c r="C59" s="13">
        <v>2015</v>
      </c>
      <c r="D59" s="13" t="s">
        <v>1316</v>
      </c>
      <c r="E59" s="13" t="s">
        <v>2287</v>
      </c>
      <c r="F59" s="13">
        <v>7.1619999999999999</v>
      </c>
      <c r="G59" s="13" t="s">
        <v>18</v>
      </c>
      <c r="H59" s="13" t="s">
        <v>4417</v>
      </c>
      <c r="I59" s="13" t="s">
        <v>4418</v>
      </c>
      <c r="J59" s="9" t="s">
        <v>4419</v>
      </c>
      <c r="K59" s="13">
        <v>1525</v>
      </c>
    </row>
    <row r="60" spans="1:11" ht="15" customHeight="1" x14ac:dyDescent="0.2">
      <c r="A60" s="13" t="s">
        <v>4420</v>
      </c>
      <c r="B60" s="13" t="s">
        <v>4421</v>
      </c>
      <c r="C60" s="13">
        <v>2019</v>
      </c>
      <c r="D60" s="13" t="s">
        <v>350</v>
      </c>
      <c r="E60" s="13" t="s">
        <v>566</v>
      </c>
      <c r="F60" s="13">
        <v>7</v>
      </c>
      <c r="G60" s="13" t="s">
        <v>18</v>
      </c>
      <c r="H60" s="13" t="s">
        <v>4422</v>
      </c>
      <c r="I60" s="13" t="s">
        <v>4423</v>
      </c>
      <c r="J60" s="9" t="s">
        <v>4424</v>
      </c>
      <c r="K60" s="13">
        <v>15</v>
      </c>
    </row>
    <row r="61" spans="1:11" ht="15" customHeight="1" x14ac:dyDescent="0.2">
      <c r="A61" s="15" t="s">
        <v>4425</v>
      </c>
      <c r="B61" s="15" t="s">
        <v>4426</v>
      </c>
      <c r="C61" s="15">
        <v>1989</v>
      </c>
      <c r="D61" s="15" t="s">
        <v>15</v>
      </c>
      <c r="E61" s="15" t="s">
        <v>3789</v>
      </c>
      <c r="F61" s="15">
        <v>7.1470000000000002</v>
      </c>
      <c r="G61" s="15" t="s">
        <v>18</v>
      </c>
      <c r="H61" s="15" t="s">
        <v>4427</v>
      </c>
      <c r="I61" s="15" t="s">
        <v>4428</v>
      </c>
      <c r="J61" s="10" t="s">
        <v>4429</v>
      </c>
      <c r="K61" s="15">
        <v>962</v>
      </c>
    </row>
    <row r="62" spans="1:11" ht="15" customHeight="1" x14ac:dyDescent="0.2">
      <c r="A62" s="13" t="s">
        <v>4430</v>
      </c>
      <c r="B62" s="13" t="s">
        <v>4431</v>
      </c>
      <c r="C62" s="13">
        <v>1994</v>
      </c>
      <c r="D62" s="13" t="s">
        <v>15</v>
      </c>
      <c r="E62" s="13" t="s">
        <v>566</v>
      </c>
      <c r="F62" s="13">
        <v>8.7129999999999992</v>
      </c>
      <c r="G62" s="13" t="s">
        <v>1813</v>
      </c>
      <c r="H62" s="13" t="s">
        <v>4432</v>
      </c>
      <c r="I62" s="13" t="s">
        <v>4433</v>
      </c>
      <c r="J62" s="9" t="s">
        <v>4434</v>
      </c>
      <c r="K62" s="13">
        <v>29361</v>
      </c>
    </row>
    <row r="63" spans="1:11" ht="15" customHeight="1" x14ac:dyDescent="0.2">
      <c r="A63" s="13" t="s">
        <v>4435</v>
      </c>
      <c r="B63" s="13" t="s">
        <v>4436</v>
      </c>
      <c r="C63" s="13">
        <v>2000</v>
      </c>
      <c r="D63" s="13" t="s">
        <v>15</v>
      </c>
      <c r="E63" s="13" t="s">
        <v>566</v>
      </c>
      <c r="F63" s="13">
        <v>6.8</v>
      </c>
      <c r="G63" s="13" t="s">
        <v>18</v>
      </c>
      <c r="H63" s="13" t="s">
        <v>4437</v>
      </c>
      <c r="I63" s="13" t="s">
        <v>4438</v>
      </c>
      <c r="J63" s="9" t="s">
        <v>4439</v>
      </c>
      <c r="K63" s="13">
        <v>632</v>
      </c>
    </row>
    <row r="64" spans="1:11" ht="15" customHeight="1" x14ac:dyDescent="0.2">
      <c r="A64" s="13" t="s">
        <v>4440</v>
      </c>
      <c r="B64" s="13" t="s">
        <v>4440</v>
      </c>
      <c r="C64" s="13">
        <v>2021</v>
      </c>
      <c r="D64" s="13" t="s">
        <v>15</v>
      </c>
      <c r="E64" s="13" t="s">
        <v>566</v>
      </c>
      <c r="F64" s="13">
        <v>0</v>
      </c>
      <c r="G64" s="13"/>
      <c r="H64" s="13" t="s">
        <v>4441</v>
      </c>
      <c r="I64" s="13" t="s">
        <v>4442</v>
      </c>
      <c r="J64" s="9" t="s">
        <v>4443</v>
      </c>
      <c r="K64" s="13">
        <v>0</v>
      </c>
    </row>
    <row r="65" spans="1:11" ht="15" customHeight="1" x14ac:dyDescent="0.2">
      <c r="A65" s="13" t="s">
        <v>4444</v>
      </c>
      <c r="B65" s="13" t="s">
        <v>4445</v>
      </c>
      <c r="C65" s="13">
        <v>2018</v>
      </c>
      <c r="D65" s="13" t="s">
        <v>4446</v>
      </c>
      <c r="E65" s="13" t="s">
        <v>1270</v>
      </c>
      <c r="F65" s="13">
        <v>5.4</v>
      </c>
      <c r="G65" s="13" t="s">
        <v>28</v>
      </c>
      <c r="H65" s="13" t="s">
        <v>4447</v>
      </c>
      <c r="I65" s="13" t="s">
        <v>4448</v>
      </c>
      <c r="J65" s="9" t="s">
        <v>4449</v>
      </c>
      <c r="K65" s="13">
        <v>8</v>
      </c>
    </row>
    <row r="66" spans="1:11" ht="15" customHeight="1" x14ac:dyDescent="0.2">
      <c r="A66" s="13" t="s">
        <v>4450</v>
      </c>
      <c r="B66" s="13" t="s">
        <v>4450</v>
      </c>
      <c r="C66" s="13">
        <v>2023</v>
      </c>
      <c r="D66" s="13" t="s">
        <v>15</v>
      </c>
      <c r="E66" s="13" t="s">
        <v>566</v>
      </c>
      <c r="F66" s="13">
        <v>6.2169999999999996</v>
      </c>
      <c r="G66" s="13" t="s">
        <v>46</v>
      </c>
      <c r="H66" s="13" t="s">
        <v>4451</v>
      </c>
      <c r="I66" s="13" t="s">
        <v>4452</v>
      </c>
      <c r="J66" s="9" t="s">
        <v>4453</v>
      </c>
      <c r="K66" s="13">
        <v>191</v>
      </c>
    </row>
    <row r="67" spans="1:11" ht="15" customHeight="1" x14ac:dyDescent="0.2">
      <c r="A67" s="13" t="s">
        <v>4454</v>
      </c>
      <c r="B67" s="13" t="s">
        <v>4455</v>
      </c>
      <c r="C67" s="13">
        <v>2022</v>
      </c>
      <c r="D67" s="13" t="s">
        <v>15</v>
      </c>
      <c r="E67" s="13" t="s">
        <v>566</v>
      </c>
      <c r="F67" s="13">
        <v>7.8609999999999998</v>
      </c>
      <c r="G67" s="13" t="s">
        <v>77</v>
      </c>
      <c r="H67" s="13" t="s">
        <v>4456</v>
      </c>
      <c r="I67" s="13" t="s">
        <v>4457</v>
      </c>
      <c r="J67" s="9" t="s">
        <v>4458</v>
      </c>
      <c r="K67" s="13">
        <v>1409</v>
      </c>
    </row>
    <row r="68" spans="1:11" ht="15" customHeight="1" x14ac:dyDescent="0.2">
      <c r="A68" s="13" t="s">
        <v>4459</v>
      </c>
      <c r="B68" s="13" t="s">
        <v>4459</v>
      </c>
      <c r="C68" s="13">
        <v>2011</v>
      </c>
      <c r="D68" s="13" t="s">
        <v>350</v>
      </c>
      <c r="E68" s="13" t="s">
        <v>566</v>
      </c>
      <c r="F68" s="13">
        <v>7</v>
      </c>
      <c r="G68" s="13" t="s">
        <v>18</v>
      </c>
      <c r="H68" s="13" t="s">
        <v>4460</v>
      </c>
      <c r="I68" s="13" t="s">
        <v>4461</v>
      </c>
      <c r="J68" s="9" t="s">
        <v>4462</v>
      </c>
      <c r="K68" s="13">
        <v>50</v>
      </c>
    </row>
    <row r="69" spans="1:11" ht="15" customHeight="1" x14ac:dyDescent="0.2">
      <c r="A69" s="13" t="s">
        <v>4463</v>
      </c>
      <c r="B69" s="13" t="s">
        <v>4464</v>
      </c>
      <c r="C69" s="13">
        <v>2010</v>
      </c>
      <c r="D69" s="13" t="s">
        <v>15</v>
      </c>
      <c r="E69" s="13" t="s">
        <v>566</v>
      </c>
      <c r="F69" s="13">
        <v>7.8250000000000002</v>
      </c>
      <c r="G69" s="13" t="s">
        <v>77</v>
      </c>
      <c r="H69" s="13" t="s">
        <v>4465</v>
      </c>
      <c r="I69" s="13" t="s">
        <v>4466</v>
      </c>
      <c r="J69" s="9" t="s">
        <v>4467</v>
      </c>
      <c r="K69" s="13">
        <v>525</v>
      </c>
    </row>
    <row r="70" spans="1:11" ht="15" customHeight="1" x14ac:dyDescent="0.2">
      <c r="A70" s="13" t="s">
        <v>4468</v>
      </c>
      <c r="B70" s="13" t="s">
        <v>4469</v>
      </c>
      <c r="C70" s="13">
        <v>2018</v>
      </c>
      <c r="D70" s="13" t="s">
        <v>15</v>
      </c>
      <c r="E70" s="13" t="s">
        <v>566</v>
      </c>
      <c r="F70" s="13">
        <v>6.4420000000000002</v>
      </c>
      <c r="G70" s="13" t="s">
        <v>46</v>
      </c>
      <c r="H70" s="13" t="s">
        <v>4470</v>
      </c>
      <c r="I70" s="13" t="s">
        <v>4471</v>
      </c>
      <c r="J70" s="9" t="s">
        <v>4472</v>
      </c>
      <c r="K70" s="13">
        <v>1460</v>
      </c>
    </row>
    <row r="71" spans="1:11" ht="15" customHeight="1" x14ac:dyDescent="0.2">
      <c r="A71" s="15" t="s">
        <v>4473</v>
      </c>
      <c r="B71" s="15" t="s">
        <v>4474</v>
      </c>
      <c r="C71" s="15">
        <v>2018</v>
      </c>
      <c r="D71" s="15" t="s">
        <v>15</v>
      </c>
      <c r="E71" s="15" t="s">
        <v>566</v>
      </c>
      <c r="F71" s="15">
        <v>5.9640000000000004</v>
      </c>
      <c r="G71" s="15" t="s">
        <v>46</v>
      </c>
      <c r="H71" s="15" t="s">
        <v>4475</v>
      </c>
      <c r="I71" s="15" t="s">
        <v>4476</v>
      </c>
      <c r="J71" s="10" t="s">
        <v>4477</v>
      </c>
      <c r="K71" s="15">
        <v>151</v>
      </c>
    </row>
    <row r="72" spans="1:11" ht="15" customHeight="1" x14ac:dyDescent="0.2">
      <c r="A72" s="13" t="s">
        <v>4478</v>
      </c>
      <c r="B72" s="13" t="s">
        <v>4479</v>
      </c>
      <c r="C72" s="13">
        <v>1996</v>
      </c>
      <c r="D72" s="13" t="s">
        <v>15</v>
      </c>
      <c r="E72" s="13" t="s">
        <v>566</v>
      </c>
      <c r="F72" s="13">
        <v>5.9</v>
      </c>
      <c r="G72" s="13" t="s">
        <v>46</v>
      </c>
      <c r="H72" s="13" t="s">
        <v>4480</v>
      </c>
      <c r="I72" s="13" t="s">
        <v>4481</v>
      </c>
      <c r="J72" s="9" t="s">
        <v>4482</v>
      </c>
      <c r="K72" s="13">
        <v>42</v>
      </c>
    </row>
    <row r="73" spans="1:11" ht="15" customHeight="1" x14ac:dyDescent="0.2">
      <c r="A73" s="13" t="s">
        <v>4483</v>
      </c>
      <c r="B73" s="13" t="s">
        <v>4483</v>
      </c>
      <c r="C73" s="13">
        <v>1984</v>
      </c>
      <c r="D73" s="13" t="s">
        <v>15</v>
      </c>
      <c r="E73" s="13" t="s">
        <v>566</v>
      </c>
      <c r="F73" s="13">
        <v>5.4</v>
      </c>
      <c r="G73" s="13" t="s">
        <v>28</v>
      </c>
      <c r="H73" s="13" t="s">
        <v>4484</v>
      </c>
      <c r="I73" s="13" t="s">
        <v>4485</v>
      </c>
      <c r="J73" s="9" t="s">
        <v>4486</v>
      </c>
      <c r="K73" s="13">
        <v>5</v>
      </c>
    </row>
    <row r="74" spans="1:11" ht="15" customHeight="1" x14ac:dyDescent="0.2">
      <c r="A74" s="13" t="s">
        <v>4487</v>
      </c>
      <c r="B74" s="13" t="s">
        <v>4488</v>
      </c>
      <c r="C74" s="13">
        <v>2019</v>
      </c>
      <c r="D74" s="13" t="s">
        <v>15</v>
      </c>
      <c r="E74" s="13" t="s">
        <v>566</v>
      </c>
      <c r="F74" s="13">
        <v>8.1839999999999993</v>
      </c>
      <c r="G74" s="13" t="s">
        <v>77</v>
      </c>
      <c r="H74" s="13" t="s">
        <v>4489</v>
      </c>
      <c r="I74" s="13" t="s">
        <v>4490</v>
      </c>
      <c r="J74" s="9" t="s">
        <v>4491</v>
      </c>
      <c r="K74" s="13">
        <v>1609</v>
      </c>
    </row>
    <row r="75" spans="1:11" ht="15" customHeight="1" x14ac:dyDescent="0.2">
      <c r="A75" s="13" t="s">
        <v>4492</v>
      </c>
      <c r="B75" s="13" t="s">
        <v>4492</v>
      </c>
      <c r="C75" s="13">
        <v>2020</v>
      </c>
      <c r="D75" s="13" t="s">
        <v>15</v>
      </c>
      <c r="E75" s="13" t="s">
        <v>566</v>
      </c>
      <c r="F75" s="13"/>
      <c r="G75" s="13"/>
      <c r="H75" s="13" t="s">
        <v>4493</v>
      </c>
      <c r="I75" s="13" t="s">
        <v>4494</v>
      </c>
      <c r="J75" s="9" t="s">
        <v>4495</v>
      </c>
      <c r="K75" s="13"/>
    </row>
    <row r="76" spans="1:11" ht="15" customHeight="1" x14ac:dyDescent="0.2">
      <c r="A76" s="13" t="s">
        <v>4496</v>
      </c>
      <c r="B76" s="13" t="s">
        <v>4496</v>
      </c>
      <c r="C76" s="13">
        <v>1998</v>
      </c>
      <c r="D76" s="13" t="s">
        <v>15</v>
      </c>
      <c r="E76" s="13" t="s">
        <v>566</v>
      </c>
      <c r="F76" s="13">
        <v>1</v>
      </c>
      <c r="G76" s="13" t="s">
        <v>2087</v>
      </c>
      <c r="H76" s="13" t="s">
        <v>4497</v>
      </c>
      <c r="I76" s="13"/>
      <c r="J76" s="9" t="s">
        <v>4498</v>
      </c>
      <c r="K76" s="13">
        <v>2</v>
      </c>
    </row>
    <row r="77" spans="1:11" ht="15" customHeight="1" x14ac:dyDescent="0.2">
      <c r="A77" s="13" t="s">
        <v>4499</v>
      </c>
      <c r="B77" s="13" t="s">
        <v>4499</v>
      </c>
      <c r="C77" s="13">
        <v>2022</v>
      </c>
      <c r="D77" s="13" t="s">
        <v>15</v>
      </c>
      <c r="E77" s="13" t="s">
        <v>566</v>
      </c>
      <c r="F77" s="13">
        <v>7.1619999999999999</v>
      </c>
      <c r="G77" s="13" t="s">
        <v>18</v>
      </c>
      <c r="H77" s="13" t="s">
        <v>4500</v>
      </c>
      <c r="I77" s="13" t="s">
        <v>4501</v>
      </c>
      <c r="J77" s="9" t="s">
        <v>4502</v>
      </c>
      <c r="K77" s="13">
        <v>690</v>
      </c>
    </row>
    <row r="78" spans="1:11" ht="15" customHeight="1" x14ac:dyDescent="0.2">
      <c r="A78" s="13" t="s">
        <v>4503</v>
      </c>
      <c r="B78" s="13" t="s">
        <v>4503</v>
      </c>
      <c r="C78" s="13">
        <v>2012</v>
      </c>
      <c r="D78" s="13" t="s">
        <v>15</v>
      </c>
      <c r="E78" s="13" t="s">
        <v>566</v>
      </c>
      <c r="F78" s="13">
        <v>6.8529999999999998</v>
      </c>
      <c r="G78" s="13" t="s">
        <v>18</v>
      </c>
      <c r="H78" s="13" t="s">
        <v>4504</v>
      </c>
      <c r="I78" s="13" t="s">
        <v>4505</v>
      </c>
      <c r="J78" s="9" t="s">
        <v>4506</v>
      </c>
      <c r="K78" s="13">
        <v>6285</v>
      </c>
    </row>
    <row r="79" spans="1:11" ht="15" customHeight="1" x14ac:dyDescent="0.2">
      <c r="A79" s="13" t="s">
        <v>4507</v>
      </c>
      <c r="B79" s="13" t="s">
        <v>4508</v>
      </c>
      <c r="C79" s="13">
        <v>1958</v>
      </c>
      <c r="D79" s="13" t="s">
        <v>15</v>
      </c>
      <c r="E79" s="13" t="s">
        <v>566</v>
      </c>
      <c r="F79" s="13">
        <v>7.1230000000000002</v>
      </c>
      <c r="G79" s="13" t="s">
        <v>18</v>
      </c>
      <c r="H79" s="13" t="s">
        <v>4509</v>
      </c>
      <c r="I79" s="13" t="s">
        <v>4510</v>
      </c>
      <c r="J79" s="9" t="s">
        <v>4511</v>
      </c>
      <c r="K79" s="13">
        <v>305</v>
      </c>
    </row>
    <row r="80" spans="1:11" ht="15" customHeight="1" x14ac:dyDescent="0.2">
      <c r="A80" s="13" t="s">
        <v>4512</v>
      </c>
      <c r="B80" s="13" t="s">
        <v>4512</v>
      </c>
      <c r="C80" s="13">
        <v>2020</v>
      </c>
      <c r="D80" s="13" t="s">
        <v>15</v>
      </c>
      <c r="E80" s="13" t="s">
        <v>566</v>
      </c>
      <c r="F80" s="13">
        <v>5.1689999999999996</v>
      </c>
      <c r="G80" s="13" t="s">
        <v>28</v>
      </c>
      <c r="H80" s="13" t="s">
        <v>4513</v>
      </c>
      <c r="I80" s="13" t="s">
        <v>4514</v>
      </c>
      <c r="J80" s="9" t="s">
        <v>4515</v>
      </c>
      <c r="K80" s="13">
        <v>546</v>
      </c>
    </row>
    <row r="81" spans="1:11" ht="15" customHeight="1" x14ac:dyDescent="0.2">
      <c r="A81" s="15" t="s">
        <v>4516</v>
      </c>
      <c r="B81" s="15" t="s">
        <v>4516</v>
      </c>
      <c r="C81" s="15">
        <v>1994</v>
      </c>
      <c r="D81" s="15" t="s">
        <v>15</v>
      </c>
      <c r="E81" s="15" t="s">
        <v>566</v>
      </c>
      <c r="F81" s="15">
        <v>8.4619999999999997</v>
      </c>
      <c r="G81" s="15" t="s">
        <v>77</v>
      </c>
      <c r="H81" s="15" t="s">
        <v>4517</v>
      </c>
      <c r="I81" s="15" t="s">
        <v>4518</v>
      </c>
      <c r="J81" s="10" t="s">
        <v>4519</v>
      </c>
      <c r="K81" s="15">
        <v>28947</v>
      </c>
    </row>
    <row r="82" spans="1:11" ht="15" customHeight="1" x14ac:dyDescent="0.2">
      <c r="A82" s="13" t="s">
        <v>4520</v>
      </c>
      <c r="B82" s="13" t="s">
        <v>4520</v>
      </c>
      <c r="C82" s="13">
        <v>2020</v>
      </c>
      <c r="D82" s="13" t="s">
        <v>15</v>
      </c>
      <c r="E82" s="13" t="s">
        <v>566</v>
      </c>
      <c r="F82" s="13">
        <v>6.8</v>
      </c>
      <c r="G82" s="13" t="s">
        <v>18</v>
      </c>
      <c r="H82" s="13" t="s">
        <v>4521</v>
      </c>
      <c r="I82" s="13" t="s">
        <v>4522</v>
      </c>
      <c r="J82" s="9" t="s">
        <v>4523</v>
      </c>
      <c r="K82" s="13">
        <v>275</v>
      </c>
    </row>
    <row r="83" spans="1:11" ht="15" customHeight="1" x14ac:dyDescent="0.2">
      <c r="A83" s="13" t="s">
        <v>4524</v>
      </c>
      <c r="B83" s="13" t="s">
        <v>4524</v>
      </c>
      <c r="C83" s="13">
        <v>2007</v>
      </c>
      <c r="D83" s="13" t="s">
        <v>15</v>
      </c>
      <c r="E83" s="13" t="s">
        <v>566</v>
      </c>
      <c r="F83" s="13">
        <v>7.9219999999999997</v>
      </c>
      <c r="G83" s="13" t="s">
        <v>77</v>
      </c>
      <c r="H83" s="13" t="s">
        <v>4525</v>
      </c>
      <c r="I83" s="13" t="s">
        <v>4526</v>
      </c>
      <c r="J83" s="9" t="s">
        <v>4527</v>
      </c>
      <c r="K83" s="13">
        <v>2358</v>
      </c>
    </row>
    <row r="84" spans="1:11" ht="15" customHeight="1" x14ac:dyDescent="0.2">
      <c r="A84" s="13" t="s">
        <v>4528</v>
      </c>
      <c r="B84" s="13" t="s">
        <v>4528</v>
      </c>
      <c r="C84" s="13">
        <v>2020</v>
      </c>
      <c r="D84" s="13" t="s">
        <v>15</v>
      </c>
      <c r="E84" s="13" t="s">
        <v>566</v>
      </c>
      <c r="F84" s="13">
        <v>5.6</v>
      </c>
      <c r="G84" s="13" t="s">
        <v>46</v>
      </c>
      <c r="H84" s="13" t="s">
        <v>4529</v>
      </c>
      <c r="I84" s="13" t="s">
        <v>4530</v>
      </c>
      <c r="J84" s="9" t="s">
        <v>4531</v>
      </c>
      <c r="K84" s="13">
        <v>162</v>
      </c>
    </row>
    <row r="85" spans="1:11" ht="15" customHeight="1" x14ac:dyDescent="0.2">
      <c r="A85" s="13" t="s">
        <v>4532</v>
      </c>
      <c r="B85" s="13" t="s">
        <v>4533</v>
      </c>
      <c r="C85" s="13">
        <v>2012</v>
      </c>
      <c r="D85" s="13" t="s">
        <v>15</v>
      </c>
      <c r="E85" s="13" t="s">
        <v>566</v>
      </c>
      <c r="F85" s="13">
        <v>0</v>
      </c>
      <c r="G85" s="13"/>
      <c r="H85" s="13" t="s">
        <v>4534</v>
      </c>
      <c r="I85" s="13" t="s">
        <v>4535</v>
      </c>
      <c r="J85" s="9" t="s">
        <v>4536</v>
      </c>
      <c r="K85" s="13">
        <v>0</v>
      </c>
    </row>
    <row r="86" spans="1:11" ht="15" customHeight="1" x14ac:dyDescent="0.2">
      <c r="A86" s="13" t="s">
        <v>4537</v>
      </c>
      <c r="B86" s="13" t="s">
        <v>4538</v>
      </c>
      <c r="C86" s="13">
        <v>2007</v>
      </c>
      <c r="D86" s="13" t="s">
        <v>15</v>
      </c>
      <c r="E86" s="13" t="s">
        <v>566</v>
      </c>
      <c r="F86" s="13">
        <v>5.9770000000000003</v>
      </c>
      <c r="G86" s="13" t="s">
        <v>46</v>
      </c>
      <c r="H86" s="13" t="s">
        <v>4539</v>
      </c>
      <c r="I86" s="13" t="s">
        <v>4540</v>
      </c>
      <c r="J86" s="9" t="s">
        <v>4541</v>
      </c>
      <c r="K86" s="13">
        <v>462</v>
      </c>
    </row>
    <row r="87" spans="1:11" ht="15" customHeight="1" x14ac:dyDescent="0.2">
      <c r="A87" s="13" t="s">
        <v>4542</v>
      </c>
      <c r="B87" s="13" t="s">
        <v>4543</v>
      </c>
      <c r="C87" s="13">
        <v>2023</v>
      </c>
      <c r="D87" s="13" t="s">
        <v>15</v>
      </c>
      <c r="E87" s="13" t="s">
        <v>566</v>
      </c>
      <c r="F87" s="13">
        <v>7</v>
      </c>
      <c r="G87" s="13" t="s">
        <v>18</v>
      </c>
      <c r="H87" s="13" t="s">
        <v>4544</v>
      </c>
      <c r="I87" s="13" t="s">
        <v>4545</v>
      </c>
      <c r="J87" s="9" t="s">
        <v>4546</v>
      </c>
      <c r="K87" s="13">
        <v>3</v>
      </c>
    </row>
    <row r="88" spans="1:11" ht="15" customHeight="1" x14ac:dyDescent="0.2">
      <c r="A88" s="13" t="s">
        <v>4547</v>
      </c>
      <c r="B88" s="13" t="s">
        <v>4548</v>
      </c>
      <c r="C88" s="13">
        <v>2008</v>
      </c>
      <c r="D88" s="13" t="s">
        <v>15</v>
      </c>
      <c r="E88" s="13" t="s">
        <v>566</v>
      </c>
      <c r="F88" s="13">
        <v>7.2</v>
      </c>
      <c r="G88" s="13" t="s">
        <v>18</v>
      </c>
      <c r="H88" s="13" t="s">
        <v>4549</v>
      </c>
      <c r="I88" s="13" t="s">
        <v>4550</v>
      </c>
      <c r="J88" s="9" t="s">
        <v>4551</v>
      </c>
      <c r="K88" s="13">
        <v>1823</v>
      </c>
    </row>
    <row r="89" spans="1:11" ht="15" customHeight="1" x14ac:dyDescent="0.2">
      <c r="A89" s="13" t="s">
        <v>4552</v>
      </c>
      <c r="B89" s="13" t="s">
        <v>4553</v>
      </c>
      <c r="C89" s="13">
        <v>1988</v>
      </c>
      <c r="D89" s="13" t="s">
        <v>15</v>
      </c>
      <c r="E89" s="13" t="s">
        <v>566</v>
      </c>
      <c r="F89" s="13">
        <v>7</v>
      </c>
      <c r="G89" s="13" t="s">
        <v>18</v>
      </c>
      <c r="H89" s="13" t="s">
        <v>4554</v>
      </c>
      <c r="I89" s="13" t="s">
        <v>4555</v>
      </c>
      <c r="J89" s="9" t="s">
        <v>4556</v>
      </c>
      <c r="K89" s="13">
        <v>628</v>
      </c>
    </row>
    <row r="90" spans="1:11" ht="15" customHeight="1" x14ac:dyDescent="0.2">
      <c r="A90" s="13" t="s">
        <v>1827</v>
      </c>
      <c r="B90" s="13" t="s">
        <v>1828</v>
      </c>
      <c r="C90" s="13">
        <v>1979</v>
      </c>
      <c r="D90" s="13" t="s">
        <v>15</v>
      </c>
      <c r="E90" s="13" t="s">
        <v>566</v>
      </c>
      <c r="F90" s="13">
        <v>6.7030000000000003</v>
      </c>
      <c r="G90" s="13" t="s">
        <v>18</v>
      </c>
      <c r="H90" s="13" t="s">
        <v>1830</v>
      </c>
      <c r="I90" s="13" t="s">
        <v>4557</v>
      </c>
      <c r="J90" s="9" t="s">
        <v>1832</v>
      </c>
      <c r="K90" s="13">
        <v>298</v>
      </c>
    </row>
    <row r="91" spans="1:11" ht="15" customHeight="1" x14ac:dyDescent="0.2">
      <c r="A91" s="15" t="s">
        <v>4558</v>
      </c>
      <c r="B91" s="15" t="s">
        <v>4558</v>
      </c>
      <c r="C91" s="15">
        <v>2013</v>
      </c>
      <c r="D91" s="15" t="s">
        <v>15</v>
      </c>
      <c r="E91" s="15" t="s">
        <v>566</v>
      </c>
      <c r="F91" s="15">
        <v>5.819</v>
      </c>
      <c r="G91" s="15" t="s">
        <v>46</v>
      </c>
      <c r="H91" s="15" t="s">
        <v>4559</v>
      </c>
      <c r="I91" s="15" t="s">
        <v>4560</v>
      </c>
      <c r="J91" s="10" t="s">
        <v>4561</v>
      </c>
      <c r="K91" s="15">
        <v>152</v>
      </c>
    </row>
    <row r="92" spans="1:11" ht="15" customHeight="1" x14ac:dyDescent="0.2">
      <c r="A92" s="13" t="s">
        <v>4562</v>
      </c>
      <c r="B92" s="13" t="s">
        <v>4562</v>
      </c>
      <c r="C92" s="13">
        <v>2016</v>
      </c>
      <c r="D92" s="13" t="s">
        <v>15</v>
      </c>
      <c r="E92" s="13" t="s">
        <v>566</v>
      </c>
      <c r="F92" s="13">
        <v>6.4340000000000002</v>
      </c>
      <c r="G92" s="13" t="s">
        <v>46</v>
      </c>
      <c r="H92" s="13" t="s">
        <v>4563</v>
      </c>
      <c r="I92" s="13" t="s">
        <v>4564</v>
      </c>
      <c r="J92" s="9" t="s">
        <v>4565</v>
      </c>
      <c r="K92" s="13">
        <v>472</v>
      </c>
    </row>
    <row r="93" spans="1:11" ht="15" customHeight="1" x14ac:dyDescent="0.2">
      <c r="A93" s="13" t="s">
        <v>4566</v>
      </c>
      <c r="B93" s="13" t="s">
        <v>4566</v>
      </c>
      <c r="C93" s="13">
        <v>2021</v>
      </c>
      <c r="D93" s="13" t="s">
        <v>15</v>
      </c>
      <c r="E93" s="13" t="s">
        <v>4567</v>
      </c>
      <c r="F93" s="13">
        <v>7</v>
      </c>
      <c r="G93" s="13" t="s">
        <v>18</v>
      </c>
      <c r="H93" s="13" t="s">
        <v>4568</v>
      </c>
      <c r="I93" s="13" t="s">
        <v>4569</v>
      </c>
      <c r="J93" s="9" t="s">
        <v>4570</v>
      </c>
      <c r="K93" s="13">
        <v>157</v>
      </c>
    </row>
    <row r="94" spans="1:11" ht="15" customHeight="1" x14ac:dyDescent="0.2">
      <c r="A94" s="13" t="s">
        <v>4571</v>
      </c>
      <c r="B94" s="13" t="s">
        <v>4572</v>
      </c>
      <c r="C94" s="13">
        <v>2016</v>
      </c>
      <c r="D94" s="13" t="s">
        <v>15</v>
      </c>
      <c r="E94" s="13" t="s">
        <v>566</v>
      </c>
      <c r="F94" s="13">
        <v>7.4420000000000002</v>
      </c>
      <c r="G94" s="13" t="s">
        <v>18</v>
      </c>
      <c r="H94" s="13" t="s">
        <v>4573</v>
      </c>
      <c r="I94" s="13" t="s">
        <v>4574</v>
      </c>
      <c r="J94" s="9" t="s">
        <v>4575</v>
      </c>
      <c r="K94" s="13">
        <v>1235</v>
      </c>
    </row>
    <row r="95" spans="1:11" ht="15" customHeight="1" x14ac:dyDescent="0.2">
      <c r="A95" s="13" t="s">
        <v>4576</v>
      </c>
      <c r="B95" s="13" t="s">
        <v>4577</v>
      </c>
      <c r="C95" s="13">
        <v>1959</v>
      </c>
      <c r="D95" s="13" t="s">
        <v>15</v>
      </c>
      <c r="E95" s="13" t="s">
        <v>566</v>
      </c>
      <c r="F95" s="13">
        <v>7.6879999999999997</v>
      </c>
      <c r="G95" s="13" t="s">
        <v>77</v>
      </c>
      <c r="H95" s="13" t="s">
        <v>4578</v>
      </c>
      <c r="I95" s="13" t="s">
        <v>4579</v>
      </c>
      <c r="J95" s="9" t="s">
        <v>4580</v>
      </c>
      <c r="K95" s="13">
        <v>888</v>
      </c>
    </row>
    <row r="96" spans="1:11" ht="15" customHeight="1" x14ac:dyDescent="0.2">
      <c r="A96" s="13" t="s">
        <v>4581</v>
      </c>
      <c r="B96" s="13" t="s">
        <v>4581</v>
      </c>
      <c r="C96" s="13">
        <v>2020</v>
      </c>
      <c r="D96" s="13" t="s">
        <v>15</v>
      </c>
      <c r="E96" s="13" t="s">
        <v>566</v>
      </c>
      <c r="F96" s="13">
        <v>8</v>
      </c>
      <c r="G96" s="13" t="s">
        <v>18</v>
      </c>
      <c r="H96" s="13" t="s">
        <v>4582</v>
      </c>
      <c r="I96" s="13" t="s">
        <v>4583</v>
      </c>
      <c r="J96" s="9" t="s">
        <v>4584</v>
      </c>
      <c r="K96" s="13">
        <v>1</v>
      </c>
    </row>
    <row r="97" spans="1:11" ht="15" customHeight="1" x14ac:dyDescent="0.2">
      <c r="A97" s="13" t="s">
        <v>4585</v>
      </c>
      <c r="B97" s="13"/>
      <c r="C97" s="13">
        <v>2005</v>
      </c>
      <c r="D97" s="13" t="s">
        <v>15</v>
      </c>
      <c r="E97" s="13" t="s">
        <v>566</v>
      </c>
      <c r="F97" s="13"/>
      <c r="G97" s="13"/>
      <c r="H97" s="13"/>
      <c r="I97" s="13"/>
      <c r="J97" s="9"/>
      <c r="K97" s="13"/>
    </row>
    <row r="98" spans="1:11" ht="15" customHeight="1" x14ac:dyDescent="0.2">
      <c r="A98" s="13" t="s">
        <v>4586</v>
      </c>
      <c r="B98" s="13" t="s">
        <v>4587</v>
      </c>
      <c r="C98" s="13">
        <v>2018</v>
      </c>
      <c r="D98" s="13" t="s">
        <v>15</v>
      </c>
      <c r="E98" s="13" t="s">
        <v>566</v>
      </c>
      <c r="F98" s="13">
        <v>6.3019999999999996</v>
      </c>
      <c r="G98" s="13" t="s">
        <v>46</v>
      </c>
      <c r="H98" s="13" t="s">
        <v>4588</v>
      </c>
      <c r="I98" s="13" t="s">
        <v>4589</v>
      </c>
      <c r="J98" s="9" t="s">
        <v>4590</v>
      </c>
      <c r="K98" s="13">
        <v>336</v>
      </c>
    </row>
    <row r="99" spans="1:11" ht="15" customHeight="1" x14ac:dyDescent="0.2">
      <c r="A99" s="13" t="s">
        <v>4591</v>
      </c>
      <c r="B99" s="13" t="s">
        <v>4592</v>
      </c>
      <c r="C99" s="13">
        <v>2023</v>
      </c>
      <c r="D99" s="13" t="s">
        <v>350</v>
      </c>
      <c r="E99" s="13" t="s">
        <v>566</v>
      </c>
      <c r="F99" s="13">
        <v>0</v>
      </c>
      <c r="G99" s="13"/>
      <c r="H99" s="13" t="s">
        <v>4593</v>
      </c>
      <c r="I99" s="13" t="s">
        <v>4594</v>
      </c>
      <c r="J99" s="9" t="s">
        <v>4595</v>
      </c>
      <c r="K99" s="13">
        <v>0</v>
      </c>
    </row>
    <row r="100" spans="1:11" ht="15" customHeight="1" x14ac:dyDescent="0.2">
      <c r="A100" s="13" t="s">
        <v>4596</v>
      </c>
      <c r="B100" s="13" t="s">
        <v>4597</v>
      </c>
      <c r="C100" s="13">
        <v>2021</v>
      </c>
      <c r="D100" s="13" t="s">
        <v>15</v>
      </c>
      <c r="E100" s="13" t="s">
        <v>566</v>
      </c>
      <c r="F100" s="13">
        <v>7.1</v>
      </c>
      <c r="G100" s="13" t="s">
        <v>18</v>
      </c>
      <c r="H100" s="13" t="s">
        <v>4598</v>
      </c>
      <c r="I100" s="13" t="s">
        <v>4599</v>
      </c>
      <c r="J100" s="9" t="s">
        <v>4600</v>
      </c>
      <c r="K100" s="13">
        <v>99</v>
      </c>
    </row>
    <row r="101" spans="1:11" ht="15" customHeight="1" x14ac:dyDescent="0.2">
      <c r="A101" s="15" t="s">
        <v>4601</v>
      </c>
      <c r="B101" s="15" t="s">
        <v>4602</v>
      </c>
      <c r="C101" s="15">
        <v>2023</v>
      </c>
      <c r="D101" s="15" t="s">
        <v>1316</v>
      </c>
      <c r="E101" s="15" t="s">
        <v>566</v>
      </c>
      <c r="F101" s="15">
        <v>6.6</v>
      </c>
      <c r="G101" s="15" t="s">
        <v>18</v>
      </c>
      <c r="H101" s="15" t="s">
        <v>4603</v>
      </c>
      <c r="I101" s="15" t="s">
        <v>4604</v>
      </c>
      <c r="J101" s="10" t="s">
        <v>4605</v>
      </c>
      <c r="K101" s="15">
        <v>156</v>
      </c>
    </row>
    <row r="102" spans="1:11" ht="15" customHeight="1" x14ac:dyDescent="0.2">
      <c r="A102" s="13" t="s">
        <v>4606</v>
      </c>
      <c r="B102" s="13" t="s">
        <v>4607</v>
      </c>
      <c r="C102" s="13">
        <v>1955</v>
      </c>
      <c r="D102" s="13" t="s">
        <v>15</v>
      </c>
      <c r="E102" s="13" t="s">
        <v>566</v>
      </c>
      <c r="F102" s="13">
        <v>7.5389999999999997</v>
      </c>
      <c r="G102" s="13" t="s">
        <v>77</v>
      </c>
      <c r="H102" s="13" t="s">
        <v>4608</v>
      </c>
      <c r="I102" s="13" t="s">
        <v>4609</v>
      </c>
      <c r="J102" s="9" t="s">
        <v>4610</v>
      </c>
      <c r="K102" s="13">
        <v>787</v>
      </c>
    </row>
    <row r="103" spans="1:11" ht="15" customHeight="1" x14ac:dyDescent="0.2">
      <c r="A103" s="13" t="s">
        <v>4611</v>
      </c>
      <c r="B103" s="13" t="s">
        <v>4612</v>
      </c>
      <c r="C103" s="13">
        <v>2015</v>
      </c>
      <c r="D103" s="13" t="s">
        <v>15</v>
      </c>
      <c r="E103" s="13" t="s">
        <v>566</v>
      </c>
      <c r="F103" s="13">
        <v>6.8</v>
      </c>
      <c r="G103" s="13" t="s">
        <v>18</v>
      </c>
      <c r="H103" s="13" t="s">
        <v>4613</v>
      </c>
      <c r="I103" s="13" t="s">
        <v>4614</v>
      </c>
      <c r="J103" s="9" t="s">
        <v>4615</v>
      </c>
      <c r="K103" s="13">
        <v>57</v>
      </c>
    </row>
    <row r="104" spans="1:11" ht="15" customHeight="1" x14ac:dyDescent="0.2">
      <c r="A104" s="13" t="s">
        <v>4616</v>
      </c>
      <c r="B104" s="13" t="s">
        <v>4617</v>
      </c>
      <c r="C104" s="13">
        <v>2005</v>
      </c>
      <c r="D104" s="13" t="s">
        <v>15</v>
      </c>
      <c r="E104" s="13" t="s">
        <v>566</v>
      </c>
      <c r="F104" s="13">
        <v>7.2290000000000001</v>
      </c>
      <c r="G104" s="13" t="s">
        <v>18</v>
      </c>
      <c r="H104" s="13" t="s">
        <v>4618</v>
      </c>
      <c r="I104" s="13" t="s">
        <v>4619</v>
      </c>
      <c r="J104" s="9" t="s">
        <v>4620</v>
      </c>
      <c r="K104" s="13">
        <v>707</v>
      </c>
    </row>
    <row r="105" spans="1:11" ht="15" customHeight="1" x14ac:dyDescent="0.2">
      <c r="A105" s="13" t="s">
        <v>4621</v>
      </c>
      <c r="B105" s="13" t="s">
        <v>4396</v>
      </c>
      <c r="C105" s="13">
        <v>2020</v>
      </c>
      <c r="D105" s="13" t="s">
        <v>15</v>
      </c>
      <c r="E105" s="13" t="s">
        <v>566</v>
      </c>
      <c r="F105" s="13">
        <v>5.2</v>
      </c>
      <c r="G105" s="13" t="s">
        <v>28</v>
      </c>
      <c r="H105" s="13" t="s">
        <v>4397</v>
      </c>
      <c r="I105" s="13" t="s">
        <v>4622</v>
      </c>
      <c r="J105" s="9" t="s">
        <v>4399</v>
      </c>
      <c r="K105" s="13">
        <v>12</v>
      </c>
    </row>
    <row r="106" spans="1:11" ht="15" customHeight="1" x14ac:dyDescent="0.2">
      <c r="A106" s="13" t="s">
        <v>4623</v>
      </c>
      <c r="B106" s="13" t="s">
        <v>4624</v>
      </c>
      <c r="C106" s="13">
        <v>2010</v>
      </c>
      <c r="D106" s="13" t="s">
        <v>15</v>
      </c>
      <c r="E106" s="13" t="s">
        <v>566</v>
      </c>
      <c r="F106" s="13">
        <v>6.8</v>
      </c>
      <c r="G106" s="13" t="s">
        <v>18</v>
      </c>
      <c r="H106" s="13" t="s">
        <v>4625</v>
      </c>
      <c r="I106" s="13" t="s">
        <v>4626</v>
      </c>
      <c r="J106" s="9" t="s">
        <v>4627</v>
      </c>
      <c r="K106" s="13">
        <v>871</v>
      </c>
    </row>
    <row r="107" spans="1:11" ht="15" customHeight="1" x14ac:dyDescent="0.2">
      <c r="A107" s="13" t="s">
        <v>4628</v>
      </c>
      <c r="B107" s="13" t="s">
        <v>4629</v>
      </c>
      <c r="C107" s="13">
        <v>2022</v>
      </c>
      <c r="D107" s="13" t="s">
        <v>15</v>
      </c>
      <c r="E107" s="13" t="s">
        <v>566</v>
      </c>
      <c r="F107" s="13">
        <v>7</v>
      </c>
      <c r="G107" s="13" t="s">
        <v>18</v>
      </c>
      <c r="H107" s="13" t="s">
        <v>4630</v>
      </c>
      <c r="I107" s="13" t="s">
        <v>4631</v>
      </c>
      <c r="J107" s="9" t="s">
        <v>4632</v>
      </c>
      <c r="K107" s="13">
        <v>124</v>
      </c>
    </row>
    <row r="108" spans="1:11" ht="15" customHeight="1" x14ac:dyDescent="0.2">
      <c r="A108" s="13" t="s">
        <v>4633</v>
      </c>
      <c r="B108" s="13" t="s">
        <v>4633</v>
      </c>
      <c r="C108" s="13">
        <v>2013</v>
      </c>
      <c r="D108" s="13" t="s">
        <v>15</v>
      </c>
      <c r="E108" s="13" t="s">
        <v>566</v>
      </c>
      <c r="F108" s="13">
        <v>7.7</v>
      </c>
      <c r="G108" s="13" t="s">
        <v>77</v>
      </c>
      <c r="H108" s="13" t="s">
        <v>4634</v>
      </c>
      <c r="I108" s="13" t="s">
        <v>4635</v>
      </c>
      <c r="J108" s="9" t="s">
        <v>4636</v>
      </c>
      <c r="K108" s="13">
        <v>770</v>
      </c>
    </row>
    <row r="109" spans="1:11" ht="15" customHeight="1" x14ac:dyDescent="0.2">
      <c r="A109" s="13" t="s">
        <v>4637</v>
      </c>
      <c r="B109" s="13" t="s">
        <v>4637</v>
      </c>
      <c r="C109" s="13">
        <v>2015</v>
      </c>
      <c r="D109" s="13" t="s">
        <v>15</v>
      </c>
      <c r="E109" s="13" t="s">
        <v>566</v>
      </c>
      <c r="F109" s="13">
        <v>7.2130000000000001</v>
      </c>
      <c r="G109" s="13" t="s">
        <v>18</v>
      </c>
      <c r="H109" s="13" t="s">
        <v>4638</v>
      </c>
      <c r="I109" s="13" t="s">
        <v>4639</v>
      </c>
      <c r="J109" s="9" t="s">
        <v>4640</v>
      </c>
      <c r="K109" s="13">
        <v>550</v>
      </c>
    </row>
    <row r="110" spans="1:11" ht="15" customHeight="1" x14ac:dyDescent="0.2">
      <c r="A110" s="13" t="s">
        <v>4641</v>
      </c>
      <c r="B110" s="13" t="s">
        <v>4642</v>
      </c>
      <c r="C110" s="13">
        <v>1992</v>
      </c>
      <c r="D110" s="13" t="s">
        <v>15</v>
      </c>
      <c r="E110" s="13" t="s">
        <v>566</v>
      </c>
      <c r="F110" s="13">
        <v>7.1</v>
      </c>
      <c r="G110" s="13" t="s">
        <v>18</v>
      </c>
      <c r="H110" s="13" t="s">
        <v>4643</v>
      </c>
      <c r="I110" s="13" t="s">
        <v>4644</v>
      </c>
      <c r="J110" s="9" t="s">
        <v>4645</v>
      </c>
      <c r="K110" s="13">
        <v>551</v>
      </c>
    </row>
    <row r="111" spans="1:11" ht="15" customHeight="1" x14ac:dyDescent="0.2">
      <c r="A111" s="15" t="s">
        <v>4646</v>
      </c>
      <c r="B111" s="15" t="s">
        <v>4647</v>
      </c>
      <c r="C111" s="15">
        <v>1999</v>
      </c>
      <c r="D111" s="15" t="s">
        <v>15</v>
      </c>
      <c r="E111" s="15" t="s">
        <v>566</v>
      </c>
      <c r="F111" s="15">
        <v>0</v>
      </c>
      <c r="G111" s="15"/>
      <c r="H111" s="15" t="s">
        <v>4648</v>
      </c>
      <c r="I111" s="15" t="s">
        <v>4649</v>
      </c>
      <c r="J111" s="10" t="s">
        <v>4081</v>
      </c>
      <c r="K111" s="15">
        <v>0</v>
      </c>
    </row>
    <row r="112" spans="1:11" ht="15" customHeight="1" x14ac:dyDescent="0.2">
      <c r="A112" s="13" t="s">
        <v>4650</v>
      </c>
      <c r="B112" s="13" t="s">
        <v>4650</v>
      </c>
      <c r="C112" s="13">
        <v>2019</v>
      </c>
      <c r="D112" s="13" t="s">
        <v>15</v>
      </c>
      <c r="E112" s="13" t="s">
        <v>566</v>
      </c>
      <c r="F112" s="13">
        <v>7.7320000000000002</v>
      </c>
      <c r="G112" s="13" t="s">
        <v>77</v>
      </c>
      <c r="H112" s="13" t="s">
        <v>4651</v>
      </c>
      <c r="I112" s="13" t="s">
        <v>4652</v>
      </c>
      <c r="J112" s="9" t="s">
        <v>4653</v>
      </c>
      <c r="K112" s="13">
        <v>7230</v>
      </c>
    </row>
    <row r="113" spans="1:11" ht="15" customHeight="1" x14ac:dyDescent="0.2">
      <c r="A113" s="13" t="s">
        <v>4654</v>
      </c>
      <c r="B113" s="13" t="s">
        <v>4655</v>
      </c>
      <c r="C113" s="13">
        <v>1996</v>
      </c>
      <c r="D113" s="13" t="s">
        <v>15</v>
      </c>
      <c r="E113" s="13" t="s">
        <v>566</v>
      </c>
      <c r="F113" s="13">
        <v>6.7</v>
      </c>
      <c r="G113" s="13" t="s">
        <v>18</v>
      </c>
      <c r="H113" s="13" t="s">
        <v>4656</v>
      </c>
      <c r="I113" s="13" t="s">
        <v>4657</v>
      </c>
      <c r="J113" s="9" t="s">
        <v>4658</v>
      </c>
      <c r="K113" s="13">
        <v>619</v>
      </c>
    </row>
    <row r="114" spans="1:11" ht="15" customHeight="1" x14ac:dyDescent="0.2">
      <c r="A114" s="13" t="s">
        <v>4659</v>
      </c>
      <c r="B114" s="13" t="s">
        <v>4660</v>
      </c>
      <c r="C114" s="13">
        <v>1996</v>
      </c>
      <c r="D114" s="13" t="s">
        <v>15</v>
      </c>
      <c r="E114" s="13" t="s">
        <v>566</v>
      </c>
      <c r="F114" s="13">
        <v>7.2</v>
      </c>
      <c r="G114" s="13" t="s">
        <v>18</v>
      </c>
      <c r="H114" s="13" t="s">
        <v>4661</v>
      </c>
      <c r="I114" s="13" t="s">
        <v>4662</v>
      </c>
      <c r="J114" s="9" t="s">
        <v>4663</v>
      </c>
      <c r="K114" s="13">
        <v>6</v>
      </c>
    </row>
    <row r="115" spans="1:11" ht="15" customHeight="1" x14ac:dyDescent="0.2">
      <c r="A115" s="13" t="s">
        <v>4664</v>
      </c>
      <c r="B115" s="13"/>
      <c r="C115" s="13">
        <v>2018</v>
      </c>
      <c r="D115" s="13" t="s">
        <v>15</v>
      </c>
      <c r="E115" s="13" t="s">
        <v>566</v>
      </c>
      <c r="F115" s="13"/>
      <c r="G115" s="13"/>
      <c r="H115" s="13"/>
      <c r="I115" s="13"/>
      <c r="J115" s="9"/>
      <c r="K115" s="13"/>
    </row>
    <row r="116" spans="1:11" ht="15" customHeight="1" x14ac:dyDescent="0.2">
      <c r="A116" s="13" t="s">
        <v>4665</v>
      </c>
      <c r="B116" s="13" t="s">
        <v>4665</v>
      </c>
      <c r="C116" s="13">
        <v>1981</v>
      </c>
      <c r="D116" s="13" t="s">
        <v>3167</v>
      </c>
      <c r="E116" s="13" t="s">
        <v>566</v>
      </c>
      <c r="F116" s="13">
        <v>5</v>
      </c>
      <c r="G116" s="13" t="s">
        <v>28</v>
      </c>
      <c r="H116" s="13" t="s">
        <v>4666</v>
      </c>
      <c r="I116" s="13" t="s">
        <v>4667</v>
      </c>
      <c r="J116" s="9" t="s">
        <v>4668</v>
      </c>
      <c r="K116" s="13">
        <v>1</v>
      </c>
    </row>
    <row r="117" spans="1:11" ht="15" customHeight="1" x14ac:dyDescent="0.2">
      <c r="A117" s="13" t="s">
        <v>4669</v>
      </c>
      <c r="B117" s="13" t="s">
        <v>4669</v>
      </c>
      <c r="C117" s="13">
        <v>1993</v>
      </c>
      <c r="D117" s="13" t="s">
        <v>15</v>
      </c>
      <c r="E117" s="13" t="s">
        <v>566</v>
      </c>
      <c r="F117" s="13">
        <v>5.7359999999999998</v>
      </c>
      <c r="G117" s="13" t="s">
        <v>46</v>
      </c>
      <c r="H117" s="13" t="s">
        <v>4670</v>
      </c>
      <c r="I117" s="13" t="s">
        <v>4671</v>
      </c>
      <c r="J117" s="9" t="s">
        <v>4672</v>
      </c>
      <c r="K117" s="13">
        <v>165</v>
      </c>
    </row>
    <row r="118" spans="1:11" ht="15" customHeight="1" x14ac:dyDescent="0.2">
      <c r="A118" s="13" t="s">
        <v>4673</v>
      </c>
      <c r="B118" s="13" t="s">
        <v>4674</v>
      </c>
      <c r="C118" s="13">
        <v>2012</v>
      </c>
      <c r="D118" s="13" t="s">
        <v>15</v>
      </c>
      <c r="E118" s="13" t="s">
        <v>566</v>
      </c>
      <c r="F118" s="13">
        <v>7.0609999999999999</v>
      </c>
      <c r="G118" s="13" t="s">
        <v>18</v>
      </c>
      <c r="H118" s="13" t="s">
        <v>4675</v>
      </c>
      <c r="I118" s="13" t="s">
        <v>4676</v>
      </c>
      <c r="J118" s="9" t="s">
        <v>4677</v>
      </c>
      <c r="K118" s="13">
        <v>2963</v>
      </c>
    </row>
    <row r="119" spans="1:11" ht="15" customHeight="1" x14ac:dyDescent="0.2">
      <c r="A119" s="13" t="s">
        <v>4678</v>
      </c>
      <c r="B119" s="13" t="s">
        <v>4679</v>
      </c>
      <c r="C119" s="13">
        <v>2017</v>
      </c>
      <c r="D119" s="13" t="s">
        <v>927</v>
      </c>
      <c r="E119" s="13" t="s">
        <v>566</v>
      </c>
      <c r="F119" s="13">
        <v>7.4859999999999998</v>
      </c>
      <c r="G119" s="13" t="s">
        <v>18</v>
      </c>
      <c r="H119" s="13" t="s">
        <v>4680</v>
      </c>
      <c r="I119" s="13" t="s">
        <v>4681</v>
      </c>
      <c r="J119" s="9" t="s">
        <v>4682</v>
      </c>
      <c r="K119" s="13">
        <v>708</v>
      </c>
    </row>
    <row r="120" spans="1:11" ht="15" customHeight="1" x14ac:dyDescent="0.2">
      <c r="A120" s="13" t="s">
        <v>4683</v>
      </c>
      <c r="B120" s="13" t="s">
        <v>4684</v>
      </c>
      <c r="C120" s="13">
        <v>1998</v>
      </c>
      <c r="D120" s="13" t="s">
        <v>191</v>
      </c>
      <c r="E120" s="13" t="s">
        <v>566</v>
      </c>
      <c r="F120" s="13">
        <v>5</v>
      </c>
      <c r="G120" s="13" t="s">
        <v>28</v>
      </c>
      <c r="H120" s="13" t="s">
        <v>4685</v>
      </c>
      <c r="I120" s="13" t="s">
        <v>4686</v>
      </c>
      <c r="J120" s="9"/>
      <c r="K120" s="13">
        <v>1</v>
      </c>
    </row>
    <row r="121" spans="1:11" ht="15" customHeight="1" x14ac:dyDescent="0.2">
      <c r="A121" s="15" t="s">
        <v>4687</v>
      </c>
      <c r="B121" s="15" t="s">
        <v>4688</v>
      </c>
      <c r="C121" s="15">
        <v>2008</v>
      </c>
      <c r="D121" s="15" t="s">
        <v>15</v>
      </c>
      <c r="E121" s="15" t="s">
        <v>566</v>
      </c>
      <c r="F121" s="15">
        <v>5</v>
      </c>
      <c r="G121" s="15" t="s">
        <v>28</v>
      </c>
      <c r="H121" s="15" t="s">
        <v>4689</v>
      </c>
      <c r="I121" s="15" t="s">
        <v>4690</v>
      </c>
      <c r="J121" s="10" t="s">
        <v>4691</v>
      </c>
      <c r="K121" s="15">
        <v>2</v>
      </c>
    </row>
    <row r="122" spans="1:11" ht="15" customHeight="1" x14ac:dyDescent="0.2">
      <c r="A122" s="13" t="s">
        <v>4692</v>
      </c>
      <c r="B122" s="13" t="s">
        <v>1133</v>
      </c>
      <c r="C122" s="13">
        <v>1994</v>
      </c>
      <c r="D122" s="13" t="s">
        <v>15</v>
      </c>
      <c r="E122" s="13" t="s">
        <v>566</v>
      </c>
      <c r="F122" s="13">
        <v>6.8</v>
      </c>
      <c r="G122" s="13" t="s">
        <v>18</v>
      </c>
      <c r="H122" s="13" t="s">
        <v>1135</v>
      </c>
      <c r="I122" s="13" t="s">
        <v>1136</v>
      </c>
      <c r="J122" s="9" t="s">
        <v>1137</v>
      </c>
      <c r="K122" s="13">
        <v>326</v>
      </c>
    </row>
    <row r="123" spans="1:11" ht="15" customHeight="1" x14ac:dyDescent="0.2">
      <c r="A123" s="13" t="s">
        <v>4693</v>
      </c>
      <c r="B123" s="13" t="s">
        <v>4694</v>
      </c>
      <c r="C123" s="13">
        <v>2024</v>
      </c>
      <c r="D123" s="13" t="s">
        <v>15</v>
      </c>
      <c r="E123" s="13" t="s">
        <v>566</v>
      </c>
      <c r="F123" s="13">
        <v>6.9720000000000004</v>
      </c>
      <c r="G123" s="13" t="s">
        <v>18</v>
      </c>
      <c r="H123" s="13" t="s">
        <v>4695</v>
      </c>
      <c r="I123" s="13" t="s">
        <v>4696</v>
      </c>
      <c r="J123" s="9" t="s">
        <v>4697</v>
      </c>
      <c r="K123" s="13">
        <v>1769</v>
      </c>
    </row>
    <row r="124" spans="1:11" ht="15" customHeight="1" x14ac:dyDescent="0.2">
      <c r="A124" s="13" t="s">
        <v>4698</v>
      </c>
      <c r="B124" s="13" t="s">
        <v>4698</v>
      </c>
      <c r="C124" s="13">
        <v>2023</v>
      </c>
      <c r="D124" s="13" t="s">
        <v>15</v>
      </c>
      <c r="E124" s="13" t="s">
        <v>566</v>
      </c>
      <c r="F124" s="13">
        <v>7.0919999999999996</v>
      </c>
      <c r="G124" s="13" t="s">
        <v>18</v>
      </c>
      <c r="H124" s="13" t="s">
        <v>4699</v>
      </c>
      <c r="I124" s="13" t="s">
        <v>4700</v>
      </c>
      <c r="J124" s="9" t="s">
        <v>4701</v>
      </c>
      <c r="K124" s="13">
        <v>508</v>
      </c>
    </row>
    <row r="125" spans="1:11" ht="15" customHeight="1" x14ac:dyDescent="0.2">
      <c r="A125" s="13" t="s">
        <v>4702</v>
      </c>
      <c r="B125" s="13" t="s">
        <v>4703</v>
      </c>
      <c r="C125" s="13">
        <v>1968</v>
      </c>
      <c r="D125" s="13" t="s">
        <v>15</v>
      </c>
      <c r="E125" s="13" t="s">
        <v>566</v>
      </c>
      <c r="F125" s="13">
        <v>7.0220000000000002</v>
      </c>
      <c r="G125" s="13" t="s">
        <v>18</v>
      </c>
      <c r="H125" s="13" t="s">
        <v>4704</v>
      </c>
      <c r="I125" s="13" t="s">
        <v>4705</v>
      </c>
      <c r="J125" s="9" t="s">
        <v>4706</v>
      </c>
      <c r="K125" s="13">
        <v>458</v>
      </c>
    </row>
    <row r="126" spans="1:11" ht="15" customHeight="1" x14ac:dyDescent="0.2">
      <c r="A126" s="13" t="s">
        <v>4707</v>
      </c>
      <c r="B126" s="13" t="s">
        <v>4707</v>
      </c>
      <c r="C126" s="13">
        <v>2023</v>
      </c>
      <c r="D126" s="13" t="s">
        <v>15</v>
      </c>
      <c r="E126" s="13" t="s">
        <v>566</v>
      </c>
      <c r="F126" s="13">
        <v>7.7709999999999999</v>
      </c>
      <c r="G126" s="13" t="s">
        <v>77</v>
      </c>
      <c r="H126" s="13" t="s">
        <v>4708</v>
      </c>
      <c r="I126" s="13" t="s">
        <v>4709</v>
      </c>
      <c r="J126" s="9" t="s">
        <v>4710</v>
      </c>
      <c r="K126" s="13">
        <v>886</v>
      </c>
    </row>
    <row r="127" spans="1:11" ht="15" customHeight="1" x14ac:dyDescent="0.2">
      <c r="A127" s="13" t="s">
        <v>4711</v>
      </c>
      <c r="B127" s="13" t="s">
        <v>4711</v>
      </c>
      <c r="C127" s="13">
        <v>2017</v>
      </c>
      <c r="D127" s="13" t="s">
        <v>15</v>
      </c>
      <c r="E127" s="13" t="s">
        <v>566</v>
      </c>
      <c r="F127" s="13">
        <v>7.3220000000000001</v>
      </c>
      <c r="G127" s="13" t="s">
        <v>18</v>
      </c>
      <c r="H127" s="13" t="s">
        <v>4712</v>
      </c>
      <c r="I127" s="13" t="s">
        <v>4713</v>
      </c>
      <c r="J127" s="9" t="s">
        <v>4714</v>
      </c>
      <c r="K127" s="13">
        <v>2061</v>
      </c>
    </row>
    <row r="128" spans="1:11" ht="15" customHeight="1" x14ac:dyDescent="0.2">
      <c r="A128" s="13" t="s">
        <v>4715</v>
      </c>
      <c r="B128" s="13" t="s">
        <v>4716</v>
      </c>
      <c r="C128" s="13">
        <v>2010</v>
      </c>
      <c r="D128" s="13" t="s">
        <v>15</v>
      </c>
      <c r="E128" s="13" t="s">
        <v>566</v>
      </c>
      <c r="F128" s="13">
        <v>6.6</v>
      </c>
      <c r="G128" s="13" t="s">
        <v>18</v>
      </c>
      <c r="H128" s="13" t="s">
        <v>4717</v>
      </c>
      <c r="I128" s="13" t="s">
        <v>4718</v>
      </c>
      <c r="J128" s="9" t="s">
        <v>4719</v>
      </c>
      <c r="K128" s="13">
        <v>52</v>
      </c>
    </row>
    <row r="129" spans="1:11" ht="15" customHeight="1" x14ac:dyDescent="0.2">
      <c r="A129" s="13" t="s">
        <v>4720</v>
      </c>
      <c r="B129" s="13" t="s">
        <v>4721</v>
      </c>
      <c r="C129" s="13">
        <v>1992</v>
      </c>
      <c r="D129" s="13" t="s">
        <v>15</v>
      </c>
      <c r="E129" s="13" t="s">
        <v>566</v>
      </c>
      <c r="F129" s="13">
        <v>6.8570000000000002</v>
      </c>
      <c r="G129" s="13" t="s">
        <v>18</v>
      </c>
      <c r="H129" s="13" t="s">
        <v>4722</v>
      </c>
      <c r="I129" s="13" t="s">
        <v>4723</v>
      </c>
      <c r="J129" s="9" t="s">
        <v>4724</v>
      </c>
      <c r="K129" s="13">
        <v>56</v>
      </c>
    </row>
    <row r="130" spans="1:11" ht="15" customHeight="1" x14ac:dyDescent="0.2">
      <c r="A130" s="13" t="s">
        <v>4725</v>
      </c>
      <c r="B130" s="13" t="s">
        <v>4725</v>
      </c>
      <c r="C130" s="13">
        <v>2023</v>
      </c>
      <c r="D130" s="13" t="s">
        <v>3717</v>
      </c>
      <c r="E130" s="13" t="s">
        <v>566</v>
      </c>
      <c r="F130" s="13">
        <v>7.7789999999999999</v>
      </c>
      <c r="G130" s="13" t="s">
        <v>77</v>
      </c>
      <c r="H130" s="13" t="s">
        <v>4726</v>
      </c>
      <c r="I130" s="13" t="s">
        <v>4727</v>
      </c>
      <c r="J130" s="9" t="s">
        <v>4728</v>
      </c>
      <c r="K130" s="13">
        <v>1690</v>
      </c>
    </row>
    <row r="131" spans="1:11" ht="15" customHeight="1" x14ac:dyDescent="0.2">
      <c r="A131" s="15" t="s">
        <v>4729</v>
      </c>
      <c r="B131" s="15" t="s">
        <v>4729</v>
      </c>
      <c r="C131" s="15">
        <v>1986</v>
      </c>
      <c r="D131" s="15" t="s">
        <v>15</v>
      </c>
      <c r="E131" s="15" t="s">
        <v>3789</v>
      </c>
      <c r="F131" s="15">
        <v>7.7460000000000004</v>
      </c>
      <c r="G131" s="15" t="s">
        <v>77</v>
      </c>
      <c r="H131" s="15" t="s">
        <v>4730</v>
      </c>
      <c r="I131" s="15" t="s">
        <v>4731</v>
      </c>
      <c r="J131" s="10" t="s">
        <v>4732</v>
      </c>
      <c r="K131" s="15">
        <v>4883</v>
      </c>
    </row>
    <row r="132" spans="1:11" ht="15" customHeight="1" x14ac:dyDescent="0.2">
      <c r="A132" s="13" t="s">
        <v>4733</v>
      </c>
      <c r="B132" s="13" t="s">
        <v>4733</v>
      </c>
      <c r="C132" s="13">
        <v>2008</v>
      </c>
      <c r="D132" s="13" t="s">
        <v>15</v>
      </c>
      <c r="E132" s="13" t="s">
        <v>566</v>
      </c>
      <c r="F132" s="13">
        <v>6.4</v>
      </c>
      <c r="G132" s="13" t="s">
        <v>46</v>
      </c>
      <c r="H132" s="13" t="s">
        <v>4734</v>
      </c>
      <c r="I132" s="13" t="s">
        <v>4735</v>
      </c>
      <c r="J132" s="9"/>
      <c r="K132" s="13">
        <v>19</v>
      </c>
    </row>
    <row r="133" spans="1:11" ht="15" customHeight="1" x14ac:dyDescent="0.2">
      <c r="A133" s="13" t="s">
        <v>4736</v>
      </c>
      <c r="B133" s="13" t="s">
        <v>4737</v>
      </c>
      <c r="C133" s="13">
        <v>2022</v>
      </c>
      <c r="D133" s="13" t="s">
        <v>209</v>
      </c>
      <c r="E133" s="13" t="s">
        <v>566</v>
      </c>
      <c r="F133" s="13">
        <v>7.056</v>
      </c>
      <c r="G133" s="13" t="s">
        <v>18</v>
      </c>
      <c r="H133" s="13" t="s">
        <v>4738</v>
      </c>
      <c r="I133" s="13" t="s">
        <v>4739</v>
      </c>
      <c r="J133" s="9" t="s">
        <v>4740</v>
      </c>
      <c r="K133" s="13">
        <v>178</v>
      </c>
    </row>
    <row r="134" spans="1:11" ht="15" customHeight="1" x14ac:dyDescent="0.2">
      <c r="A134" s="13" t="s">
        <v>4741</v>
      </c>
      <c r="B134" s="13" t="s">
        <v>4741</v>
      </c>
      <c r="C134" s="13">
        <v>1988</v>
      </c>
      <c r="D134" s="13" t="s">
        <v>15</v>
      </c>
      <c r="E134" s="13" t="s">
        <v>566</v>
      </c>
      <c r="F134" s="13">
        <v>7.7519999999999998</v>
      </c>
      <c r="G134" s="13" t="s">
        <v>77</v>
      </c>
      <c r="H134" s="13" t="s">
        <v>4742</v>
      </c>
      <c r="I134" s="13" t="s">
        <v>4743</v>
      </c>
      <c r="J134" s="9" t="s">
        <v>4744</v>
      </c>
      <c r="K134" s="13">
        <v>6788</v>
      </c>
    </row>
    <row r="135" spans="1:11" ht="15" customHeight="1" x14ac:dyDescent="0.2">
      <c r="A135" s="13" t="s">
        <v>4745</v>
      </c>
      <c r="B135" s="13" t="s">
        <v>4745</v>
      </c>
      <c r="C135" s="13">
        <v>2022</v>
      </c>
      <c r="D135" s="13" t="s">
        <v>15</v>
      </c>
      <c r="E135" s="13" t="s">
        <v>566</v>
      </c>
      <c r="F135" s="13">
        <v>6.226</v>
      </c>
      <c r="G135" s="13" t="s">
        <v>46</v>
      </c>
      <c r="H135" s="13" t="s">
        <v>4746</v>
      </c>
      <c r="I135" s="13" t="s">
        <v>4747</v>
      </c>
      <c r="J135" s="9" t="s">
        <v>4748</v>
      </c>
      <c r="K135" s="13">
        <v>199</v>
      </c>
    </row>
    <row r="136" spans="1:11" ht="15" customHeight="1" x14ac:dyDescent="0.2">
      <c r="A136" s="13" t="s">
        <v>4749</v>
      </c>
      <c r="B136" s="13" t="s">
        <v>4750</v>
      </c>
      <c r="C136" s="13">
        <v>2004</v>
      </c>
      <c r="D136" s="13" t="s">
        <v>15</v>
      </c>
      <c r="E136" s="13" t="s">
        <v>566</v>
      </c>
      <c r="F136" s="13">
        <v>5.8</v>
      </c>
      <c r="G136" s="13" t="s">
        <v>46</v>
      </c>
      <c r="H136" s="13" t="s">
        <v>4751</v>
      </c>
      <c r="I136" s="13" t="s">
        <v>4752</v>
      </c>
      <c r="J136" s="9" t="s">
        <v>4753</v>
      </c>
      <c r="K136" s="13">
        <v>40</v>
      </c>
    </row>
    <row r="137" spans="1:11" ht="15" customHeight="1" x14ac:dyDescent="0.2">
      <c r="A137" s="13" t="s">
        <v>4754</v>
      </c>
      <c r="B137" s="13" t="s">
        <v>4755</v>
      </c>
      <c r="C137" s="13">
        <v>1942</v>
      </c>
      <c r="D137" s="13" t="s">
        <v>350</v>
      </c>
      <c r="E137" s="13" t="s">
        <v>566</v>
      </c>
      <c r="F137" s="13">
        <v>7.3540000000000001</v>
      </c>
      <c r="G137" s="13" t="s">
        <v>18</v>
      </c>
      <c r="H137" s="13" t="s">
        <v>4756</v>
      </c>
      <c r="I137" s="13" t="s">
        <v>4757</v>
      </c>
      <c r="J137" s="9" t="s">
        <v>4758</v>
      </c>
      <c r="K137" s="13">
        <v>219</v>
      </c>
    </row>
    <row r="138" spans="1:11" ht="15" customHeight="1" x14ac:dyDescent="0.2">
      <c r="A138" s="13" t="s">
        <v>4759</v>
      </c>
      <c r="B138" s="13" t="s">
        <v>4759</v>
      </c>
      <c r="C138" s="13">
        <v>2006</v>
      </c>
      <c r="D138" s="13" t="s">
        <v>15</v>
      </c>
      <c r="E138" s="13" t="s">
        <v>3789</v>
      </c>
      <c r="F138" s="13">
        <v>6.9580000000000002</v>
      </c>
      <c r="G138" s="13" t="s">
        <v>18</v>
      </c>
      <c r="H138" s="13" t="s">
        <v>4760</v>
      </c>
      <c r="I138" s="13" t="s">
        <v>4761</v>
      </c>
      <c r="J138" s="9" t="s">
        <v>4762</v>
      </c>
      <c r="K138" s="13">
        <v>1348</v>
      </c>
    </row>
    <row r="139" spans="1:11" ht="15" customHeight="1" x14ac:dyDescent="0.2">
      <c r="A139" s="13" t="s">
        <v>4763</v>
      </c>
      <c r="B139" s="13" t="s">
        <v>4763</v>
      </c>
      <c r="C139" s="13">
        <v>2005</v>
      </c>
      <c r="D139" s="13" t="s">
        <v>15</v>
      </c>
      <c r="E139" s="13" t="s">
        <v>566</v>
      </c>
      <c r="F139" s="13">
        <v>6.343</v>
      </c>
      <c r="G139" s="13" t="s">
        <v>46</v>
      </c>
      <c r="H139" s="13" t="s">
        <v>4764</v>
      </c>
      <c r="I139" s="13" t="s">
        <v>4765</v>
      </c>
      <c r="J139" s="9" t="s">
        <v>4766</v>
      </c>
      <c r="K139" s="13">
        <v>1468</v>
      </c>
    </row>
    <row r="140" spans="1:11" ht="15" customHeight="1" x14ac:dyDescent="0.2">
      <c r="A140" s="13" t="s">
        <v>4767</v>
      </c>
      <c r="B140" s="13" t="s">
        <v>4767</v>
      </c>
      <c r="C140" s="13">
        <v>2021</v>
      </c>
      <c r="D140" s="13" t="s">
        <v>350</v>
      </c>
      <c r="E140" s="13" t="s">
        <v>566</v>
      </c>
      <c r="F140" s="13">
        <v>6.9</v>
      </c>
      <c r="G140" s="13" t="s">
        <v>18</v>
      </c>
      <c r="H140" s="13" t="s">
        <v>4768</v>
      </c>
      <c r="I140" s="13" t="s">
        <v>4769</v>
      </c>
      <c r="J140" s="9" t="s">
        <v>4770</v>
      </c>
      <c r="K140" s="13">
        <v>144</v>
      </c>
    </row>
    <row r="141" spans="1:11" ht="15" customHeight="1" x14ac:dyDescent="0.2">
      <c r="A141" s="15" t="s">
        <v>4771</v>
      </c>
      <c r="B141" s="15" t="s">
        <v>4772</v>
      </c>
      <c r="C141" s="15">
        <v>2001</v>
      </c>
      <c r="D141" s="15" t="s">
        <v>15</v>
      </c>
      <c r="E141" s="15" t="s">
        <v>566</v>
      </c>
      <c r="F141" s="15">
        <v>6.3849999999999998</v>
      </c>
      <c r="G141" s="15" t="s">
        <v>46</v>
      </c>
      <c r="H141" s="15" t="s">
        <v>4773</v>
      </c>
      <c r="I141" s="15" t="s">
        <v>4774</v>
      </c>
      <c r="J141" s="10" t="s">
        <v>4775</v>
      </c>
      <c r="K141" s="15">
        <v>403</v>
      </c>
    </row>
    <row r="142" spans="1:11" ht="15" customHeight="1" x14ac:dyDescent="0.2">
      <c r="A142" s="13" t="s">
        <v>4776</v>
      </c>
      <c r="B142" s="13" t="s">
        <v>4777</v>
      </c>
      <c r="C142" s="13">
        <v>1996</v>
      </c>
      <c r="D142" s="13" t="s">
        <v>15</v>
      </c>
      <c r="E142" s="13" t="s">
        <v>566</v>
      </c>
      <c r="F142" s="13">
        <v>7.1</v>
      </c>
      <c r="G142" s="13" t="s">
        <v>18</v>
      </c>
      <c r="H142" s="13" t="s">
        <v>4778</v>
      </c>
      <c r="I142" s="13" t="s">
        <v>4779</v>
      </c>
      <c r="J142" s="9" t="s">
        <v>4780</v>
      </c>
      <c r="K142" s="13">
        <v>79</v>
      </c>
    </row>
    <row r="143" spans="1:11" ht="15" customHeight="1" x14ac:dyDescent="0.2">
      <c r="A143" s="13" t="s">
        <v>4781</v>
      </c>
      <c r="B143" s="13" t="s">
        <v>1110</v>
      </c>
      <c r="C143" s="13">
        <v>1998</v>
      </c>
      <c r="D143" s="13" t="s">
        <v>15</v>
      </c>
      <c r="E143" s="13" t="s">
        <v>566</v>
      </c>
      <c r="F143" s="13">
        <v>7.1509999999999998</v>
      </c>
      <c r="G143" s="13" t="s">
        <v>18</v>
      </c>
      <c r="H143" s="13" t="s">
        <v>1112</v>
      </c>
      <c r="I143" s="13" t="s">
        <v>1113</v>
      </c>
      <c r="J143" s="9" t="s">
        <v>4782</v>
      </c>
      <c r="K143" s="13">
        <v>1513</v>
      </c>
    </row>
    <row r="144" spans="1:11" ht="15" customHeight="1" x14ac:dyDescent="0.2">
      <c r="A144" s="13" t="s">
        <v>4783</v>
      </c>
      <c r="B144" s="13"/>
      <c r="C144" s="13">
        <v>2002</v>
      </c>
      <c r="D144" s="13" t="s">
        <v>15</v>
      </c>
      <c r="E144" s="13" t="s">
        <v>566</v>
      </c>
      <c r="F144" s="13"/>
      <c r="G144" s="13"/>
      <c r="H144" s="13"/>
      <c r="I144" s="13"/>
      <c r="J144" s="9"/>
      <c r="K144" s="13"/>
    </row>
    <row r="145" spans="1:11" ht="15" customHeight="1" x14ac:dyDescent="0.2">
      <c r="A145" s="13" t="s">
        <v>4784</v>
      </c>
      <c r="B145" s="13" t="s">
        <v>4785</v>
      </c>
      <c r="C145" s="13">
        <v>1996</v>
      </c>
      <c r="D145" s="13" t="s">
        <v>15</v>
      </c>
      <c r="E145" s="13" t="s">
        <v>566</v>
      </c>
      <c r="F145" s="13">
        <v>7.4</v>
      </c>
      <c r="G145" s="13" t="s">
        <v>18</v>
      </c>
      <c r="H145" s="13" t="s">
        <v>4786</v>
      </c>
      <c r="I145" s="13" t="s">
        <v>4787</v>
      </c>
      <c r="J145" s="9" t="s">
        <v>4788</v>
      </c>
      <c r="K145" s="13">
        <v>683</v>
      </c>
    </row>
    <row r="146" spans="1:11" ht="15" customHeight="1" x14ac:dyDescent="0.2">
      <c r="A146" s="13" t="s">
        <v>4789</v>
      </c>
      <c r="B146" s="13" t="s">
        <v>4790</v>
      </c>
      <c r="C146" s="13">
        <v>2014</v>
      </c>
      <c r="D146" s="13" t="s">
        <v>15</v>
      </c>
      <c r="E146" s="13" t="s">
        <v>566</v>
      </c>
      <c r="F146" s="13">
        <v>6.6189999999999998</v>
      </c>
      <c r="G146" s="13" t="s">
        <v>18</v>
      </c>
      <c r="H146" s="13" t="s">
        <v>4791</v>
      </c>
      <c r="I146" s="13" t="s">
        <v>4792</v>
      </c>
      <c r="J146" s="9" t="s">
        <v>4793</v>
      </c>
      <c r="K146" s="13">
        <v>1432</v>
      </c>
    </row>
    <row r="147" spans="1:11" ht="15" customHeight="1" x14ac:dyDescent="0.2">
      <c r="A147" s="13" t="s">
        <v>4794</v>
      </c>
      <c r="B147" s="13" t="s">
        <v>4794</v>
      </c>
      <c r="C147" s="13">
        <v>1998</v>
      </c>
      <c r="D147" s="13" t="s">
        <v>15</v>
      </c>
      <c r="E147" s="13" t="s">
        <v>566</v>
      </c>
      <c r="F147" s="13">
        <v>6.8</v>
      </c>
      <c r="G147" s="13" t="s">
        <v>18</v>
      </c>
      <c r="H147" s="13" t="s">
        <v>4795</v>
      </c>
      <c r="I147" s="13" t="s">
        <v>4796</v>
      </c>
      <c r="J147" s="9" t="s">
        <v>4797</v>
      </c>
      <c r="K147" s="13">
        <v>253</v>
      </c>
    </row>
    <row r="148" spans="1:11" ht="15" customHeight="1" x14ac:dyDescent="0.2">
      <c r="A148" s="13" t="s">
        <v>4798</v>
      </c>
      <c r="B148" s="13" t="s">
        <v>4799</v>
      </c>
      <c r="C148" s="13">
        <v>1996</v>
      </c>
      <c r="D148" s="13" t="s">
        <v>15</v>
      </c>
      <c r="E148" s="13" t="s">
        <v>566</v>
      </c>
      <c r="F148" s="13">
        <v>7.5350000000000001</v>
      </c>
      <c r="G148" s="13" t="s">
        <v>77</v>
      </c>
      <c r="H148" s="13" t="s">
        <v>4800</v>
      </c>
      <c r="I148" s="13" t="s">
        <v>4801</v>
      </c>
      <c r="J148" s="9" t="s">
        <v>4802</v>
      </c>
      <c r="K148" s="13">
        <v>832</v>
      </c>
    </row>
    <row r="149" spans="1:11" ht="15" customHeight="1" x14ac:dyDescent="0.2">
      <c r="A149" s="13" t="s">
        <v>4803</v>
      </c>
      <c r="B149" s="13" t="s">
        <v>4804</v>
      </c>
      <c r="C149" s="13">
        <v>2010</v>
      </c>
      <c r="D149" s="13" t="s">
        <v>15</v>
      </c>
      <c r="E149" s="13" t="s">
        <v>566</v>
      </c>
      <c r="F149" s="13">
        <v>6.9050000000000002</v>
      </c>
      <c r="G149" s="13" t="s">
        <v>18</v>
      </c>
      <c r="H149" s="13" t="s">
        <v>4805</v>
      </c>
      <c r="I149" s="13" t="s">
        <v>4806</v>
      </c>
      <c r="J149" s="9" t="s">
        <v>4807</v>
      </c>
      <c r="K149" s="13">
        <v>3220</v>
      </c>
    </row>
    <row r="150" spans="1:11" ht="15" customHeight="1" x14ac:dyDescent="0.2">
      <c r="A150" s="13" t="s">
        <v>4808</v>
      </c>
      <c r="B150" s="13" t="s">
        <v>4809</v>
      </c>
      <c r="C150" s="13">
        <v>2019</v>
      </c>
      <c r="D150" s="13" t="s">
        <v>15</v>
      </c>
      <c r="E150" s="13" t="s">
        <v>4810</v>
      </c>
      <c r="F150" s="13">
        <v>7.21</v>
      </c>
      <c r="G150" s="13" t="s">
        <v>18</v>
      </c>
      <c r="H150" s="13" t="s">
        <v>4811</v>
      </c>
      <c r="I150" s="13" t="s">
        <v>4812</v>
      </c>
      <c r="J150" s="9" t="s">
        <v>4813</v>
      </c>
      <c r="K150" s="13">
        <v>210</v>
      </c>
    </row>
    <row r="151" spans="1:11" ht="15" customHeight="1" x14ac:dyDescent="0.2">
      <c r="A151" s="15" t="s">
        <v>4814</v>
      </c>
      <c r="B151" s="15" t="s">
        <v>4815</v>
      </c>
      <c r="C151" s="15">
        <v>1997</v>
      </c>
      <c r="D151" s="15" t="s">
        <v>15</v>
      </c>
      <c r="E151" s="15" t="s">
        <v>566</v>
      </c>
      <c r="F151" s="15">
        <v>6.8</v>
      </c>
      <c r="G151" s="15" t="s">
        <v>18</v>
      </c>
      <c r="H151" s="15" t="s">
        <v>4816</v>
      </c>
      <c r="I151" s="15" t="s">
        <v>4817</v>
      </c>
      <c r="J151" s="10" t="s">
        <v>4818</v>
      </c>
      <c r="K151" s="15">
        <v>36</v>
      </c>
    </row>
    <row r="152" spans="1:11" ht="15" customHeight="1" x14ac:dyDescent="0.2">
      <c r="A152" s="13" t="s">
        <v>4819</v>
      </c>
      <c r="B152" s="13" t="s">
        <v>4819</v>
      </c>
      <c r="C152" s="13">
        <v>2019</v>
      </c>
      <c r="D152" s="13" t="s">
        <v>15</v>
      </c>
      <c r="E152" s="13" t="s">
        <v>566</v>
      </c>
      <c r="F152" s="13">
        <v>7.335</v>
      </c>
      <c r="G152" s="13" t="s">
        <v>18</v>
      </c>
      <c r="H152" s="13" t="s">
        <v>4820</v>
      </c>
      <c r="I152" s="13" t="s">
        <v>4821</v>
      </c>
      <c r="J152" s="9" t="s">
        <v>4822</v>
      </c>
      <c r="K152" s="13">
        <v>801</v>
      </c>
    </row>
    <row r="153" spans="1:11" ht="15" customHeight="1" x14ac:dyDescent="0.2">
      <c r="A153" s="13" t="s">
        <v>4823</v>
      </c>
      <c r="B153" s="13" t="s">
        <v>4824</v>
      </c>
      <c r="C153" s="13">
        <v>2004</v>
      </c>
      <c r="D153" s="13" t="s">
        <v>15</v>
      </c>
      <c r="E153" s="13" t="s">
        <v>566</v>
      </c>
      <c r="F153" s="13">
        <v>7</v>
      </c>
      <c r="G153" s="13" t="s">
        <v>18</v>
      </c>
      <c r="H153" s="13" t="s">
        <v>4825</v>
      </c>
      <c r="I153" s="13" t="s">
        <v>4826</v>
      </c>
      <c r="J153" s="9" t="s">
        <v>4827</v>
      </c>
      <c r="K153" s="13">
        <v>500</v>
      </c>
    </row>
    <row r="154" spans="1:11" ht="15" customHeight="1" x14ac:dyDescent="0.2">
      <c r="A154" s="13" t="s">
        <v>4828</v>
      </c>
      <c r="B154" s="13" t="s">
        <v>4829</v>
      </c>
      <c r="C154" s="13">
        <v>2014</v>
      </c>
      <c r="D154" s="13" t="s">
        <v>15</v>
      </c>
      <c r="E154" s="13" t="s">
        <v>566</v>
      </c>
      <c r="F154" s="13">
        <v>7.4720000000000004</v>
      </c>
      <c r="G154" s="13" t="s">
        <v>18</v>
      </c>
      <c r="H154" s="13" t="s">
        <v>4830</v>
      </c>
      <c r="I154" s="13" t="s">
        <v>4831</v>
      </c>
      <c r="J154" s="9" t="s">
        <v>4832</v>
      </c>
      <c r="K154" s="13">
        <v>3193</v>
      </c>
    </row>
    <row r="155" spans="1:11" ht="15" customHeight="1" x14ac:dyDescent="0.2">
      <c r="A155" s="13" t="s">
        <v>4833</v>
      </c>
      <c r="B155" s="13" t="s">
        <v>4834</v>
      </c>
      <c r="C155" s="13">
        <v>2021</v>
      </c>
      <c r="D155" s="13" t="s">
        <v>15</v>
      </c>
      <c r="E155" s="13" t="s">
        <v>566</v>
      </c>
      <c r="F155" s="13">
        <v>6.6</v>
      </c>
      <c r="G155" s="13" t="s">
        <v>18</v>
      </c>
      <c r="H155" s="13" t="s">
        <v>4835</v>
      </c>
      <c r="I155" s="13" t="s">
        <v>4836</v>
      </c>
      <c r="J155" s="9" t="s">
        <v>4837</v>
      </c>
      <c r="K155" s="13">
        <v>1346</v>
      </c>
    </row>
    <row r="156" spans="1:11" ht="15" customHeight="1" x14ac:dyDescent="0.2">
      <c r="A156" s="13" t="s">
        <v>4838</v>
      </c>
      <c r="B156" s="13" t="s">
        <v>4839</v>
      </c>
      <c r="C156" s="13">
        <v>1998</v>
      </c>
      <c r="D156" s="13" t="s">
        <v>15</v>
      </c>
      <c r="E156" s="13" t="s">
        <v>566</v>
      </c>
      <c r="F156" s="13">
        <v>5.75</v>
      </c>
      <c r="G156" s="13" t="s">
        <v>46</v>
      </c>
      <c r="H156" s="13" t="s">
        <v>4840</v>
      </c>
      <c r="I156" s="13" t="s">
        <v>4841</v>
      </c>
      <c r="J156" s="9" t="s">
        <v>4842</v>
      </c>
      <c r="K156" s="13">
        <v>20</v>
      </c>
    </row>
    <row r="157" spans="1:11" ht="15" customHeight="1" x14ac:dyDescent="0.2">
      <c r="A157" s="13" t="s">
        <v>4843</v>
      </c>
      <c r="B157" s="13" t="s">
        <v>4844</v>
      </c>
      <c r="C157" s="13">
        <v>2021</v>
      </c>
      <c r="D157" s="13" t="s">
        <v>15</v>
      </c>
      <c r="E157" s="13" t="s">
        <v>566</v>
      </c>
      <c r="F157" s="13">
        <v>3.4</v>
      </c>
      <c r="G157" s="13" t="s">
        <v>169</v>
      </c>
      <c r="H157" s="13" t="s">
        <v>4845</v>
      </c>
      <c r="I157" s="13" t="s">
        <v>4846</v>
      </c>
      <c r="J157" s="9" t="s">
        <v>4847</v>
      </c>
      <c r="K157" s="13">
        <v>14</v>
      </c>
    </row>
    <row r="158" spans="1:11" ht="15" customHeight="1" x14ac:dyDescent="0.2">
      <c r="A158" s="13" t="s">
        <v>4848</v>
      </c>
      <c r="B158" s="13" t="s">
        <v>4848</v>
      </c>
      <c r="C158" s="13">
        <v>2016</v>
      </c>
      <c r="D158" s="13" t="s">
        <v>15</v>
      </c>
      <c r="E158" s="13" t="s">
        <v>566</v>
      </c>
      <c r="F158" s="13">
        <v>7.1959999999999997</v>
      </c>
      <c r="G158" s="13" t="s">
        <v>18</v>
      </c>
      <c r="H158" s="13" t="s">
        <v>4849</v>
      </c>
      <c r="I158" s="13" t="s">
        <v>4850</v>
      </c>
      <c r="J158" s="9" t="s">
        <v>4851</v>
      </c>
      <c r="K158" s="13">
        <v>7519</v>
      </c>
    </row>
    <row r="159" spans="1:11" ht="15" customHeight="1" x14ac:dyDescent="0.2">
      <c r="A159" s="13" t="s">
        <v>4852</v>
      </c>
      <c r="B159" s="13" t="s">
        <v>4853</v>
      </c>
      <c r="C159" s="13">
        <v>1996</v>
      </c>
      <c r="D159" s="13" t="s">
        <v>15</v>
      </c>
      <c r="E159" s="13" t="s">
        <v>566</v>
      </c>
      <c r="F159" s="13">
        <v>7.3</v>
      </c>
      <c r="G159" s="13" t="s">
        <v>18</v>
      </c>
      <c r="H159" s="13" t="s">
        <v>4854</v>
      </c>
      <c r="I159" s="13" t="s">
        <v>4855</v>
      </c>
      <c r="J159" s="9" t="s">
        <v>4856</v>
      </c>
      <c r="K159" s="13">
        <v>303</v>
      </c>
    </row>
    <row r="160" spans="1:11" ht="15" customHeight="1" x14ac:dyDescent="0.2">
      <c r="A160" s="13" t="s">
        <v>4857</v>
      </c>
      <c r="B160" s="13" t="s">
        <v>4858</v>
      </c>
      <c r="C160" s="13">
        <v>1997</v>
      </c>
      <c r="D160" s="13" t="s">
        <v>15</v>
      </c>
      <c r="E160" s="13" t="s">
        <v>566</v>
      </c>
      <c r="F160" s="13">
        <v>5.7</v>
      </c>
      <c r="G160" s="13" t="s">
        <v>46</v>
      </c>
      <c r="H160" s="13" t="s">
        <v>4859</v>
      </c>
      <c r="I160" s="13" t="s">
        <v>4860</v>
      </c>
      <c r="J160" s="9" t="s">
        <v>4861</v>
      </c>
      <c r="K160" s="13">
        <v>76</v>
      </c>
    </row>
    <row r="161" spans="1:11" ht="15" customHeight="1" x14ac:dyDescent="0.2">
      <c r="A161" s="15" t="s">
        <v>4862</v>
      </c>
      <c r="B161" s="15" t="s">
        <v>4862</v>
      </c>
      <c r="C161" s="15">
        <v>2019</v>
      </c>
      <c r="D161" s="15" t="s">
        <v>15</v>
      </c>
      <c r="E161" s="15" t="s">
        <v>566</v>
      </c>
      <c r="F161" s="15">
        <v>6.4889999999999999</v>
      </c>
      <c r="G161" s="15" t="s">
        <v>46</v>
      </c>
      <c r="H161" s="15" t="s">
        <v>4863</v>
      </c>
      <c r="I161" s="15" t="s">
        <v>4864</v>
      </c>
      <c r="J161" s="10" t="s">
        <v>4865</v>
      </c>
      <c r="K161" s="15">
        <v>46</v>
      </c>
    </row>
    <row r="162" spans="1:11" ht="15" customHeight="1" x14ac:dyDescent="0.2">
      <c r="A162" s="13" t="s">
        <v>4866</v>
      </c>
      <c r="B162" s="13" t="s">
        <v>4866</v>
      </c>
      <c r="C162" s="13">
        <v>2023</v>
      </c>
      <c r="D162" s="13" t="s">
        <v>15</v>
      </c>
      <c r="E162" s="13" t="s">
        <v>566</v>
      </c>
      <c r="F162" s="13">
        <v>6.3</v>
      </c>
      <c r="G162" s="13" t="s">
        <v>46</v>
      </c>
      <c r="H162" s="13" t="s">
        <v>4867</v>
      </c>
      <c r="I162" s="13" t="s">
        <v>4868</v>
      </c>
      <c r="J162" s="9" t="s">
        <v>4869</v>
      </c>
      <c r="K162" s="13">
        <v>36</v>
      </c>
    </row>
    <row r="163" spans="1:11" ht="15" customHeight="1" x14ac:dyDescent="0.2">
      <c r="A163" s="13" t="s">
        <v>4870</v>
      </c>
      <c r="B163" s="13" t="s">
        <v>4870</v>
      </c>
      <c r="C163" s="13">
        <v>2021</v>
      </c>
      <c r="D163" s="13" t="s">
        <v>15</v>
      </c>
      <c r="E163" s="13" t="s">
        <v>566</v>
      </c>
      <c r="F163" s="13">
        <v>7.524</v>
      </c>
      <c r="G163" s="13" t="s">
        <v>77</v>
      </c>
      <c r="H163" s="13" t="s">
        <v>4871</v>
      </c>
      <c r="I163" s="13" t="s">
        <v>4872</v>
      </c>
      <c r="J163" s="9" t="s">
        <v>4873</v>
      </c>
      <c r="K163" s="13">
        <v>1256</v>
      </c>
    </row>
    <row r="164" spans="1:11" ht="15" customHeight="1" x14ac:dyDescent="0.2">
      <c r="A164" s="13" t="s">
        <v>4874</v>
      </c>
      <c r="B164" s="13" t="s">
        <v>4874</v>
      </c>
      <c r="C164" s="13">
        <v>2019</v>
      </c>
      <c r="D164" s="13" t="s">
        <v>15</v>
      </c>
      <c r="E164" s="13" t="s">
        <v>566</v>
      </c>
      <c r="F164" s="13">
        <v>0</v>
      </c>
      <c r="G164" s="13"/>
      <c r="H164" s="13" t="s">
        <v>4875</v>
      </c>
      <c r="I164" s="13" t="s">
        <v>4876</v>
      </c>
      <c r="J164" s="9"/>
      <c r="K164" s="13">
        <v>0</v>
      </c>
    </row>
    <row r="165" spans="1:11" ht="15" customHeight="1" x14ac:dyDescent="0.2">
      <c r="A165" s="13" t="s">
        <v>4877</v>
      </c>
      <c r="B165" s="13" t="s">
        <v>4877</v>
      </c>
      <c r="C165" s="13">
        <v>2014</v>
      </c>
      <c r="D165" s="13" t="s">
        <v>15</v>
      </c>
      <c r="E165" s="13" t="s">
        <v>566</v>
      </c>
      <c r="F165" s="13">
        <v>6.024</v>
      </c>
      <c r="G165" s="13" t="s">
        <v>46</v>
      </c>
      <c r="H165" s="13" t="s">
        <v>4878</v>
      </c>
      <c r="I165" s="13" t="s">
        <v>4879</v>
      </c>
      <c r="J165" s="9" t="s">
        <v>4880</v>
      </c>
      <c r="K165" s="13">
        <v>1506</v>
      </c>
    </row>
    <row r="166" spans="1:11" ht="15" customHeight="1" x14ac:dyDescent="0.2">
      <c r="A166" s="13" t="s">
        <v>4881</v>
      </c>
      <c r="B166" s="13" t="s">
        <v>4881</v>
      </c>
      <c r="C166" s="13">
        <v>2023</v>
      </c>
      <c r="D166" s="13" t="s">
        <v>15</v>
      </c>
      <c r="E166" s="13" t="s">
        <v>566</v>
      </c>
      <c r="F166" s="13">
        <v>7.5259999999999998</v>
      </c>
      <c r="G166" s="13" t="s">
        <v>77</v>
      </c>
      <c r="H166" s="13" t="s">
        <v>4882</v>
      </c>
      <c r="I166" s="13" t="s">
        <v>4883</v>
      </c>
      <c r="J166" s="9" t="s">
        <v>4884</v>
      </c>
      <c r="K166" s="13">
        <v>1122</v>
      </c>
    </row>
    <row r="167" spans="1:11" ht="15" customHeight="1" x14ac:dyDescent="0.2">
      <c r="A167" s="13" t="s">
        <v>4885</v>
      </c>
      <c r="B167" s="13"/>
      <c r="C167" s="13">
        <v>2023</v>
      </c>
      <c r="D167" s="13" t="s">
        <v>15</v>
      </c>
      <c r="E167" s="13" t="s">
        <v>566</v>
      </c>
      <c r="F167" s="13"/>
      <c r="G167" s="13"/>
      <c r="H167" s="13"/>
      <c r="I167" s="13"/>
      <c r="J167" s="9"/>
      <c r="K167" s="13"/>
    </row>
    <row r="168" spans="1:11" ht="15" customHeight="1" x14ac:dyDescent="0.2">
      <c r="A168" s="13" t="s">
        <v>4886</v>
      </c>
      <c r="B168" s="13" t="s">
        <v>4887</v>
      </c>
      <c r="C168" s="13">
        <v>2020</v>
      </c>
      <c r="D168" s="13" t="s">
        <v>15</v>
      </c>
      <c r="E168" s="13" t="s">
        <v>566</v>
      </c>
      <c r="F168" s="13">
        <v>6.0990000000000002</v>
      </c>
      <c r="G168" s="13" t="s">
        <v>46</v>
      </c>
      <c r="H168" s="13" t="s">
        <v>4888</v>
      </c>
      <c r="I168" s="13" t="s">
        <v>4889</v>
      </c>
      <c r="J168" s="9" t="s">
        <v>4890</v>
      </c>
      <c r="K168" s="13">
        <v>367</v>
      </c>
    </row>
    <row r="169" spans="1:11" ht="15" customHeight="1" x14ac:dyDescent="0.2">
      <c r="A169" s="13" t="s">
        <v>4891</v>
      </c>
      <c r="B169" s="13" t="s">
        <v>4892</v>
      </c>
      <c r="C169" s="13">
        <v>2022</v>
      </c>
      <c r="D169" s="13" t="s">
        <v>4893</v>
      </c>
      <c r="E169" s="13" t="s">
        <v>566</v>
      </c>
      <c r="F169" s="13">
        <v>6.6230000000000002</v>
      </c>
      <c r="G169" s="13" t="s">
        <v>18</v>
      </c>
      <c r="H169" s="13" t="s">
        <v>4894</v>
      </c>
      <c r="I169" s="13" t="s">
        <v>4895</v>
      </c>
      <c r="J169" s="9" t="s">
        <v>4896</v>
      </c>
      <c r="K169" s="13">
        <v>122</v>
      </c>
    </row>
    <row r="170" spans="1:11" ht="15" customHeight="1" x14ac:dyDescent="0.2">
      <c r="A170" s="13" t="s">
        <v>4897</v>
      </c>
      <c r="B170" s="13" t="s">
        <v>4897</v>
      </c>
      <c r="C170" s="13">
        <v>2009</v>
      </c>
      <c r="D170" s="13" t="s">
        <v>15</v>
      </c>
      <c r="E170" s="13" t="s">
        <v>566</v>
      </c>
      <c r="F170" s="13">
        <v>7</v>
      </c>
      <c r="G170" s="13" t="s">
        <v>18</v>
      </c>
      <c r="H170" s="13" t="s">
        <v>4898</v>
      </c>
      <c r="I170" s="13" t="s">
        <v>4899</v>
      </c>
      <c r="J170" s="9" t="s">
        <v>4900</v>
      </c>
      <c r="K170" s="13">
        <v>4109</v>
      </c>
    </row>
    <row r="171" spans="1:11" ht="15" customHeight="1" x14ac:dyDescent="0.2">
      <c r="A171" s="15" t="s">
        <v>4901</v>
      </c>
      <c r="B171" s="15" t="s">
        <v>4901</v>
      </c>
      <c r="C171" s="15">
        <v>2022</v>
      </c>
      <c r="D171" s="15" t="s">
        <v>15</v>
      </c>
      <c r="E171" s="15" t="s">
        <v>566</v>
      </c>
      <c r="F171" s="15">
        <v>6.71</v>
      </c>
      <c r="G171" s="15" t="s">
        <v>18</v>
      </c>
      <c r="H171" s="15" t="s">
        <v>4902</v>
      </c>
      <c r="I171" s="15" t="s">
        <v>4903</v>
      </c>
      <c r="J171" s="10" t="s">
        <v>4904</v>
      </c>
      <c r="K171" s="15">
        <v>530</v>
      </c>
    </row>
    <row r="172" spans="1:11" ht="15" customHeight="1" x14ac:dyDescent="0.2">
      <c r="A172" s="13" t="s">
        <v>4905</v>
      </c>
      <c r="B172" s="13" t="s">
        <v>4905</v>
      </c>
      <c r="C172" s="13">
        <v>2020</v>
      </c>
      <c r="D172" s="13" t="s">
        <v>15</v>
      </c>
      <c r="E172" s="13" t="s">
        <v>3789</v>
      </c>
      <c r="F172" s="13">
        <v>7.6680000000000001</v>
      </c>
      <c r="G172" s="13" t="s">
        <v>77</v>
      </c>
      <c r="H172" s="13" t="s">
        <v>4906</v>
      </c>
      <c r="I172" s="13" t="s">
        <v>4907</v>
      </c>
      <c r="J172" s="9" t="s">
        <v>4908</v>
      </c>
      <c r="K172" s="13">
        <v>3230</v>
      </c>
    </row>
    <row r="173" spans="1:11" ht="15" customHeight="1" x14ac:dyDescent="0.2">
      <c r="A173" s="13" t="s">
        <v>4909</v>
      </c>
      <c r="B173" s="13" t="s">
        <v>4909</v>
      </c>
      <c r="C173" s="13">
        <v>2022</v>
      </c>
      <c r="D173" s="13" t="s">
        <v>15</v>
      </c>
      <c r="E173" s="13" t="s">
        <v>566</v>
      </c>
      <c r="F173" s="13">
        <v>7.7889999999999997</v>
      </c>
      <c r="G173" s="13" t="s">
        <v>77</v>
      </c>
      <c r="H173" s="13" t="s">
        <v>4910</v>
      </c>
      <c r="I173" s="13" t="s">
        <v>4911</v>
      </c>
      <c r="J173" s="9" t="s">
        <v>4912</v>
      </c>
      <c r="K173" s="13">
        <v>4384</v>
      </c>
    </row>
    <row r="174" spans="1:11" ht="15" customHeight="1" x14ac:dyDescent="0.2">
      <c r="A174" s="13" t="s">
        <v>4913</v>
      </c>
      <c r="B174" s="13" t="s">
        <v>4913</v>
      </c>
      <c r="C174" s="13">
        <v>2017</v>
      </c>
      <c r="D174" s="13" t="s">
        <v>15</v>
      </c>
      <c r="E174" s="13" t="s">
        <v>566</v>
      </c>
      <c r="F174" s="13">
        <v>6.6130000000000004</v>
      </c>
      <c r="G174" s="13" t="s">
        <v>18</v>
      </c>
      <c r="H174" s="13" t="s">
        <v>4914</v>
      </c>
      <c r="I174" s="13" t="s">
        <v>4915</v>
      </c>
      <c r="J174" s="9" t="s">
        <v>4916</v>
      </c>
      <c r="K174" s="13">
        <v>624</v>
      </c>
    </row>
    <row r="175" spans="1:11" ht="15" customHeight="1" x14ac:dyDescent="0.2">
      <c r="A175" s="13" t="s">
        <v>4917</v>
      </c>
      <c r="B175" s="13" t="s">
        <v>4917</v>
      </c>
      <c r="C175" s="13">
        <v>2023</v>
      </c>
      <c r="D175" s="13" t="s">
        <v>350</v>
      </c>
      <c r="E175" s="13" t="s">
        <v>3789</v>
      </c>
      <c r="F175" s="13">
        <v>7.0039999999999996</v>
      </c>
      <c r="G175" s="13" t="s">
        <v>18</v>
      </c>
      <c r="H175" s="13" t="s">
        <v>4918</v>
      </c>
      <c r="I175" s="13" t="s">
        <v>4919</v>
      </c>
      <c r="J175" s="9" t="s">
        <v>4920</v>
      </c>
      <c r="K175" s="13">
        <v>2382</v>
      </c>
    </row>
    <row r="176" spans="1:11" ht="15" customHeight="1" x14ac:dyDescent="0.2">
      <c r="A176" s="13" t="s">
        <v>4921</v>
      </c>
      <c r="B176" s="13" t="s">
        <v>4921</v>
      </c>
      <c r="C176" s="13">
        <v>2010</v>
      </c>
      <c r="D176" s="13" t="s">
        <v>3616</v>
      </c>
      <c r="E176" s="13" t="s">
        <v>566</v>
      </c>
      <c r="F176" s="13">
        <v>7</v>
      </c>
      <c r="G176" s="13" t="s">
        <v>18</v>
      </c>
      <c r="H176" s="13" t="s">
        <v>4922</v>
      </c>
      <c r="I176" s="13" t="s">
        <v>4923</v>
      </c>
      <c r="J176" s="9" t="s">
        <v>4924</v>
      </c>
      <c r="K176" s="13">
        <v>144</v>
      </c>
    </row>
    <row r="177" spans="1:11" ht="15" customHeight="1" x14ac:dyDescent="0.2">
      <c r="A177" s="13" t="s">
        <v>4925</v>
      </c>
      <c r="B177" s="13" t="s">
        <v>4925</v>
      </c>
      <c r="C177" s="13">
        <v>1999</v>
      </c>
      <c r="D177" s="13" t="s">
        <v>15</v>
      </c>
      <c r="E177" s="13" t="s">
        <v>3789</v>
      </c>
      <c r="F177" s="13">
        <v>7.2</v>
      </c>
      <c r="G177" s="13" t="s">
        <v>18</v>
      </c>
      <c r="H177" s="13" t="s">
        <v>4926</v>
      </c>
      <c r="I177" s="13" t="s">
        <v>4927</v>
      </c>
      <c r="J177" s="9" t="s">
        <v>4928</v>
      </c>
      <c r="K177" s="13">
        <v>32</v>
      </c>
    </row>
    <row r="178" spans="1:11" ht="15" customHeight="1" x14ac:dyDescent="0.2">
      <c r="A178" s="13" t="s">
        <v>4929</v>
      </c>
      <c r="B178" s="13" t="s">
        <v>4930</v>
      </c>
      <c r="C178" s="13">
        <v>2022</v>
      </c>
      <c r="D178" s="13" t="s">
        <v>15</v>
      </c>
      <c r="E178" s="13" t="s">
        <v>566</v>
      </c>
      <c r="F178" s="13">
        <v>7.3570000000000002</v>
      </c>
      <c r="G178" s="13" t="s">
        <v>18</v>
      </c>
      <c r="H178" s="13" t="s">
        <v>4931</v>
      </c>
      <c r="I178" s="13" t="s">
        <v>4932</v>
      </c>
      <c r="J178" s="9" t="s">
        <v>4933</v>
      </c>
      <c r="K178" s="13">
        <v>3286</v>
      </c>
    </row>
    <row r="179" spans="1:11" ht="15" customHeight="1" x14ac:dyDescent="0.2">
      <c r="A179" s="13" t="s">
        <v>4934</v>
      </c>
      <c r="B179" s="13" t="s">
        <v>4935</v>
      </c>
      <c r="C179" s="13">
        <v>1993</v>
      </c>
      <c r="D179" s="13" t="s">
        <v>15</v>
      </c>
      <c r="E179" s="13" t="s">
        <v>566</v>
      </c>
      <c r="F179" s="13">
        <v>0</v>
      </c>
      <c r="G179" s="13"/>
      <c r="H179" s="13" t="s">
        <v>4936</v>
      </c>
      <c r="I179" s="13" t="s">
        <v>4937</v>
      </c>
      <c r="J179" s="9" t="s">
        <v>4938</v>
      </c>
      <c r="K179" s="13">
        <v>0</v>
      </c>
    </row>
    <row r="180" spans="1:11" ht="15" customHeight="1" x14ac:dyDescent="0.2">
      <c r="A180" s="13" t="s">
        <v>4939</v>
      </c>
      <c r="B180" s="13" t="s">
        <v>4940</v>
      </c>
      <c r="C180" s="13">
        <v>2016</v>
      </c>
      <c r="D180" s="13" t="s">
        <v>15</v>
      </c>
      <c r="E180" s="13" t="s">
        <v>566</v>
      </c>
      <c r="F180" s="13">
        <v>7.3</v>
      </c>
      <c r="G180" s="13" t="s">
        <v>18</v>
      </c>
      <c r="H180" s="13" t="s">
        <v>4941</v>
      </c>
      <c r="I180" s="13" t="s">
        <v>4942</v>
      </c>
      <c r="J180" s="9" t="s">
        <v>4943</v>
      </c>
      <c r="K180" s="13">
        <v>2264</v>
      </c>
    </row>
    <row r="181" spans="1:11" ht="15" customHeight="1" x14ac:dyDescent="0.2">
      <c r="A181" s="15" t="s">
        <v>4944</v>
      </c>
      <c r="B181" s="15" t="s">
        <v>4944</v>
      </c>
      <c r="C181" s="15">
        <v>2014</v>
      </c>
      <c r="D181" s="15" t="s">
        <v>15</v>
      </c>
      <c r="E181" s="15" t="s">
        <v>566</v>
      </c>
      <c r="F181" s="15">
        <v>7.4249999999999998</v>
      </c>
      <c r="G181" s="15" t="s">
        <v>18</v>
      </c>
      <c r="H181" s="15" t="s">
        <v>4945</v>
      </c>
      <c r="I181" s="15" t="s">
        <v>4946</v>
      </c>
      <c r="J181" s="10" t="s">
        <v>4947</v>
      </c>
      <c r="K181" s="15">
        <v>4271</v>
      </c>
    </row>
    <row r="182" spans="1:11" ht="15" customHeight="1" x14ac:dyDescent="0.2">
      <c r="A182" s="13" t="s">
        <v>4948</v>
      </c>
      <c r="B182" s="13" t="s">
        <v>4949</v>
      </c>
      <c r="C182" s="13">
        <v>1993</v>
      </c>
      <c r="D182" s="13" t="s">
        <v>15</v>
      </c>
      <c r="E182" s="13" t="s">
        <v>566</v>
      </c>
      <c r="F182" s="13">
        <v>6.0170000000000003</v>
      </c>
      <c r="G182" s="13" t="s">
        <v>46</v>
      </c>
      <c r="H182" s="13" t="s">
        <v>4950</v>
      </c>
      <c r="I182" s="13" t="s">
        <v>4951</v>
      </c>
      <c r="J182" s="9" t="s">
        <v>4952</v>
      </c>
      <c r="K182" s="13">
        <v>29</v>
      </c>
    </row>
    <row r="183" spans="1:11" ht="15" customHeight="1" x14ac:dyDescent="0.2">
      <c r="A183" s="13" t="s">
        <v>4953</v>
      </c>
      <c r="B183" s="13" t="s">
        <v>4953</v>
      </c>
      <c r="C183" s="13">
        <v>1983</v>
      </c>
      <c r="D183" s="13" t="s">
        <v>15</v>
      </c>
      <c r="E183" s="13" t="s">
        <v>566</v>
      </c>
      <c r="F183" s="13">
        <v>6.7</v>
      </c>
      <c r="G183" s="13" t="s">
        <v>18</v>
      </c>
      <c r="H183" s="13" t="s">
        <v>4954</v>
      </c>
      <c r="I183" s="13" t="s">
        <v>4955</v>
      </c>
      <c r="J183" s="9" t="s">
        <v>4956</v>
      </c>
      <c r="K183" s="13">
        <v>177</v>
      </c>
    </row>
    <row r="184" spans="1:11" ht="15" customHeight="1" x14ac:dyDescent="0.2">
      <c r="A184" s="13" t="s">
        <v>4957</v>
      </c>
      <c r="B184" s="13" t="s">
        <v>4958</v>
      </c>
      <c r="C184" s="13">
        <v>2018</v>
      </c>
      <c r="D184" s="13" t="s">
        <v>15</v>
      </c>
      <c r="E184" s="13" t="s">
        <v>566</v>
      </c>
      <c r="F184" s="13">
        <v>6.9</v>
      </c>
      <c r="G184" s="13" t="s">
        <v>18</v>
      </c>
      <c r="H184" s="13" t="s">
        <v>4959</v>
      </c>
      <c r="I184" s="13" t="s">
        <v>4960</v>
      </c>
      <c r="J184" s="9" t="s">
        <v>4961</v>
      </c>
      <c r="K184" s="13">
        <v>710</v>
      </c>
    </row>
    <row r="185" spans="1:11" ht="15" customHeight="1" x14ac:dyDescent="0.2">
      <c r="A185" s="13" t="s">
        <v>4962</v>
      </c>
      <c r="B185" s="13" t="s">
        <v>4962</v>
      </c>
      <c r="C185" s="13">
        <v>2024</v>
      </c>
      <c r="D185" s="13" t="s">
        <v>15</v>
      </c>
      <c r="E185" s="13" t="s">
        <v>566</v>
      </c>
      <c r="F185" s="13">
        <v>7.0140000000000002</v>
      </c>
      <c r="G185" s="13" t="s">
        <v>18</v>
      </c>
      <c r="H185" s="13" t="s">
        <v>4963</v>
      </c>
      <c r="I185" s="13" t="s">
        <v>4964</v>
      </c>
      <c r="J185" s="9" t="s">
        <v>4965</v>
      </c>
      <c r="K185" s="13">
        <v>74</v>
      </c>
    </row>
    <row r="186" spans="1:11" ht="15" customHeight="1" x14ac:dyDescent="0.2">
      <c r="A186" s="13" t="s">
        <v>4966</v>
      </c>
      <c r="B186" s="13" t="s">
        <v>4967</v>
      </c>
      <c r="C186" s="13">
        <v>1995</v>
      </c>
      <c r="D186" s="13" t="s">
        <v>15</v>
      </c>
      <c r="E186" s="13" t="s">
        <v>566</v>
      </c>
      <c r="F186" s="13">
        <v>7</v>
      </c>
      <c r="G186" s="13" t="s">
        <v>18</v>
      </c>
      <c r="H186" s="13" t="s">
        <v>4968</v>
      </c>
      <c r="I186" s="13" t="s">
        <v>4969</v>
      </c>
      <c r="J186" s="9" t="s">
        <v>4970</v>
      </c>
      <c r="K186" s="13">
        <v>63</v>
      </c>
    </row>
    <row r="187" spans="1:11" ht="15" customHeight="1" x14ac:dyDescent="0.2">
      <c r="A187" s="13" t="s">
        <v>4971</v>
      </c>
      <c r="B187" s="13" t="s">
        <v>4971</v>
      </c>
      <c r="C187" s="13">
        <v>1987</v>
      </c>
      <c r="D187" s="13" t="s">
        <v>15</v>
      </c>
      <c r="E187" s="13" t="s">
        <v>566</v>
      </c>
      <c r="F187" s="13">
        <v>6.3890000000000002</v>
      </c>
      <c r="G187" s="13" t="s">
        <v>46</v>
      </c>
      <c r="H187" s="13" t="s">
        <v>4972</v>
      </c>
      <c r="I187" s="13" t="s">
        <v>4973</v>
      </c>
      <c r="J187" s="9" t="s">
        <v>4974</v>
      </c>
      <c r="K187" s="13">
        <v>298</v>
      </c>
    </row>
    <row r="188" spans="1:11" ht="15" customHeight="1" x14ac:dyDescent="0.2">
      <c r="A188" s="13" t="s">
        <v>4975</v>
      </c>
      <c r="B188" s="13" t="s">
        <v>4976</v>
      </c>
      <c r="C188" s="13">
        <v>2017</v>
      </c>
      <c r="D188" s="13" t="s">
        <v>350</v>
      </c>
      <c r="E188" s="13" t="s">
        <v>566</v>
      </c>
      <c r="F188" s="13"/>
      <c r="G188" s="13"/>
      <c r="H188" s="13" t="s">
        <v>4977</v>
      </c>
      <c r="I188" s="13" t="s">
        <v>4978</v>
      </c>
      <c r="J188" s="9" t="s">
        <v>4979</v>
      </c>
      <c r="K188" s="13"/>
    </row>
    <row r="189" spans="1:11" ht="15" customHeight="1" x14ac:dyDescent="0.2">
      <c r="A189" s="13" t="s">
        <v>4980</v>
      </c>
      <c r="B189" s="13" t="s">
        <v>4981</v>
      </c>
      <c r="C189" s="13">
        <v>2015</v>
      </c>
      <c r="D189" s="13" t="s">
        <v>15</v>
      </c>
      <c r="E189" s="13" t="s">
        <v>566</v>
      </c>
      <c r="F189" s="13">
        <v>7.1340000000000003</v>
      </c>
      <c r="G189" s="13" t="s">
        <v>18</v>
      </c>
      <c r="H189" s="13" t="s">
        <v>4982</v>
      </c>
      <c r="I189" s="13" t="s">
        <v>4983</v>
      </c>
      <c r="J189" s="9" t="s">
        <v>4984</v>
      </c>
      <c r="K189" s="13">
        <v>1016</v>
      </c>
    </row>
    <row r="190" spans="1:11" ht="15" customHeight="1" x14ac:dyDescent="0.2">
      <c r="A190" s="13" t="s">
        <v>4985</v>
      </c>
      <c r="B190" s="13" t="s">
        <v>4986</v>
      </c>
      <c r="C190" s="13">
        <v>1986</v>
      </c>
      <c r="D190" s="13" t="s">
        <v>15</v>
      </c>
      <c r="E190" s="13" t="s">
        <v>566</v>
      </c>
      <c r="F190" s="13">
        <v>6</v>
      </c>
      <c r="G190" s="13" t="s">
        <v>46</v>
      </c>
      <c r="H190" s="13" t="s">
        <v>4987</v>
      </c>
      <c r="I190" s="13" t="s">
        <v>4988</v>
      </c>
      <c r="J190" s="9" t="s">
        <v>4989</v>
      </c>
      <c r="K190" s="13">
        <v>67</v>
      </c>
    </row>
    <row r="191" spans="1:11" ht="15" customHeight="1" x14ac:dyDescent="0.2">
      <c r="A191" s="15" t="s">
        <v>4990</v>
      </c>
      <c r="B191" s="15" t="s">
        <v>4990</v>
      </c>
      <c r="C191" s="15">
        <v>1990</v>
      </c>
      <c r="D191" s="15" t="s">
        <v>15</v>
      </c>
      <c r="E191" s="15" t="s">
        <v>566</v>
      </c>
      <c r="F191" s="15">
        <v>0</v>
      </c>
      <c r="G191" s="15"/>
      <c r="H191" s="15" t="s">
        <v>4991</v>
      </c>
      <c r="I191" s="15" t="s">
        <v>4992</v>
      </c>
      <c r="J191" s="10" t="s">
        <v>4993</v>
      </c>
      <c r="K191" s="15">
        <v>0</v>
      </c>
    </row>
    <row r="192" spans="1:11" ht="15" customHeight="1" x14ac:dyDescent="0.2">
      <c r="A192" s="13" t="s">
        <v>4994</v>
      </c>
      <c r="B192" s="13" t="s">
        <v>4995</v>
      </c>
      <c r="C192" s="13">
        <v>2012</v>
      </c>
      <c r="D192" s="13" t="s">
        <v>15</v>
      </c>
      <c r="E192" s="13" t="s">
        <v>566</v>
      </c>
      <c r="F192" s="13">
        <v>7.8029999999999999</v>
      </c>
      <c r="G192" s="13" t="s">
        <v>77</v>
      </c>
      <c r="H192" s="13" t="s">
        <v>4996</v>
      </c>
      <c r="I192" s="13" t="s">
        <v>4997</v>
      </c>
      <c r="J192" s="9" t="s">
        <v>4998</v>
      </c>
      <c r="K192" s="13">
        <v>10923</v>
      </c>
    </row>
    <row r="193" spans="1:11" ht="15" customHeight="1" x14ac:dyDescent="0.2">
      <c r="A193" s="13" t="s">
        <v>4999</v>
      </c>
      <c r="B193" s="13" t="s">
        <v>4999</v>
      </c>
      <c r="C193" s="13">
        <v>2006</v>
      </c>
      <c r="D193" s="13" t="s">
        <v>350</v>
      </c>
      <c r="E193" s="13" t="s">
        <v>566</v>
      </c>
      <c r="F193" s="13">
        <v>6.8</v>
      </c>
      <c r="G193" s="13" t="s">
        <v>18</v>
      </c>
      <c r="H193" s="13" t="s">
        <v>5000</v>
      </c>
      <c r="I193" s="13" t="s">
        <v>5001</v>
      </c>
      <c r="J193" s="9" t="s">
        <v>5002</v>
      </c>
      <c r="K193" s="13">
        <v>139</v>
      </c>
    </row>
    <row r="194" spans="1:11" ht="15" customHeight="1" x14ac:dyDescent="0.2">
      <c r="A194" s="13" t="s">
        <v>5003</v>
      </c>
      <c r="B194" s="13" t="s">
        <v>5004</v>
      </c>
      <c r="C194" s="13">
        <v>2018</v>
      </c>
      <c r="D194" s="13" t="s">
        <v>15</v>
      </c>
      <c r="E194" s="13" t="s">
        <v>566</v>
      </c>
      <c r="F194" s="13"/>
      <c r="G194" s="13"/>
      <c r="H194" s="13" t="s">
        <v>5005</v>
      </c>
      <c r="I194" s="13" t="s">
        <v>5006</v>
      </c>
      <c r="J194" s="9" t="s">
        <v>5007</v>
      </c>
      <c r="K194" s="13"/>
    </row>
    <row r="195" spans="1:11" ht="15" customHeight="1" x14ac:dyDescent="0.2">
      <c r="A195" s="13" t="s">
        <v>5008</v>
      </c>
      <c r="B195" s="13" t="s">
        <v>5009</v>
      </c>
      <c r="C195" s="13">
        <v>2023</v>
      </c>
      <c r="D195" s="13" t="s">
        <v>15</v>
      </c>
      <c r="E195" s="13" t="s">
        <v>566</v>
      </c>
      <c r="F195" s="13">
        <v>5.7960000000000003</v>
      </c>
      <c r="G195" s="13" t="s">
        <v>46</v>
      </c>
      <c r="H195" s="13" t="s">
        <v>5010</v>
      </c>
      <c r="I195" s="13" t="s">
        <v>5011</v>
      </c>
      <c r="J195" s="9" t="s">
        <v>5012</v>
      </c>
      <c r="K195" s="13">
        <v>157</v>
      </c>
    </row>
    <row r="196" spans="1:11" ht="15" customHeight="1" x14ac:dyDescent="0.2">
      <c r="A196" s="13" t="s">
        <v>2313</v>
      </c>
      <c r="B196" s="13" t="s">
        <v>2313</v>
      </c>
      <c r="C196" s="13">
        <v>2005</v>
      </c>
      <c r="D196" s="13" t="s">
        <v>15</v>
      </c>
      <c r="E196" s="13" t="s">
        <v>566</v>
      </c>
      <c r="F196" s="13">
        <v>6.6040000000000001</v>
      </c>
      <c r="G196" s="13" t="s">
        <v>18</v>
      </c>
      <c r="H196" s="13" t="s">
        <v>5013</v>
      </c>
      <c r="I196" s="13" t="s">
        <v>5014</v>
      </c>
      <c r="J196" s="9" t="s">
        <v>2315</v>
      </c>
      <c r="K196" s="13">
        <v>24</v>
      </c>
    </row>
    <row r="197" spans="1:11" ht="15" customHeight="1" x14ac:dyDescent="0.2">
      <c r="A197" s="13" t="s">
        <v>5015</v>
      </c>
      <c r="B197" s="13" t="s">
        <v>5015</v>
      </c>
      <c r="C197" s="13">
        <v>1984</v>
      </c>
      <c r="D197" s="13" t="s">
        <v>350</v>
      </c>
      <c r="E197" s="13" t="s">
        <v>566</v>
      </c>
      <c r="F197" s="13">
        <v>6.2220000000000004</v>
      </c>
      <c r="G197" s="13" t="s">
        <v>46</v>
      </c>
      <c r="H197" s="13" t="s">
        <v>5016</v>
      </c>
      <c r="I197" s="13" t="s">
        <v>5017</v>
      </c>
      <c r="J197" s="9"/>
      <c r="K197" s="13">
        <v>9</v>
      </c>
    </row>
    <row r="198" spans="1:11" ht="15" customHeight="1" x14ac:dyDescent="0.2">
      <c r="A198" s="13" t="s">
        <v>5018</v>
      </c>
      <c r="B198" s="13" t="s">
        <v>5018</v>
      </c>
      <c r="C198" s="13">
        <v>2023</v>
      </c>
      <c r="D198" s="13" t="s">
        <v>15</v>
      </c>
      <c r="E198" s="13" t="s">
        <v>566</v>
      </c>
      <c r="F198" s="13">
        <v>6.694</v>
      </c>
      <c r="G198" s="13" t="s">
        <v>18</v>
      </c>
      <c r="H198" s="13" t="s">
        <v>5019</v>
      </c>
      <c r="I198" s="13" t="s">
        <v>5020</v>
      </c>
      <c r="J198" s="9" t="s">
        <v>5021</v>
      </c>
      <c r="K198" s="13">
        <v>31</v>
      </c>
    </row>
    <row r="199" spans="1:11" ht="15" customHeight="1" x14ac:dyDescent="0.2">
      <c r="A199" s="13" t="s">
        <v>5022</v>
      </c>
      <c r="B199" s="13" t="s">
        <v>5022</v>
      </c>
      <c r="C199" s="13">
        <v>2011</v>
      </c>
      <c r="D199" s="13" t="s">
        <v>15</v>
      </c>
      <c r="E199" s="13" t="s">
        <v>566</v>
      </c>
      <c r="F199" s="13">
        <v>7.5430000000000001</v>
      </c>
      <c r="G199" s="13" t="s">
        <v>77</v>
      </c>
      <c r="H199" s="13" t="s">
        <v>5023</v>
      </c>
      <c r="I199" s="13" t="s">
        <v>5024</v>
      </c>
      <c r="J199" s="9" t="s">
        <v>5025</v>
      </c>
      <c r="K199" s="13">
        <v>2993</v>
      </c>
    </row>
    <row r="200" spans="1:11" ht="15" customHeight="1" x14ac:dyDescent="0.2">
      <c r="A200" s="13" t="s">
        <v>5026</v>
      </c>
      <c r="B200" s="13" t="s">
        <v>5027</v>
      </c>
      <c r="C200" s="13">
        <v>2002</v>
      </c>
      <c r="D200" s="13" t="s">
        <v>15</v>
      </c>
      <c r="E200" s="13" t="s">
        <v>566</v>
      </c>
      <c r="F200" s="13">
        <v>7.0640000000000001</v>
      </c>
      <c r="G200" s="13" t="s">
        <v>18</v>
      </c>
      <c r="H200" s="13" t="s">
        <v>5028</v>
      </c>
      <c r="I200" s="13" t="s">
        <v>5029</v>
      </c>
      <c r="J200" s="9" t="s">
        <v>5030</v>
      </c>
      <c r="K200" s="13">
        <v>409</v>
      </c>
    </row>
    <row r="201" spans="1:11" ht="15" customHeight="1" x14ac:dyDescent="0.2">
      <c r="A201" s="15" t="s">
        <v>5031</v>
      </c>
      <c r="B201" s="15" t="s">
        <v>5031</v>
      </c>
      <c r="C201" s="15">
        <v>2018</v>
      </c>
      <c r="D201" s="15" t="s">
        <v>15</v>
      </c>
      <c r="E201" s="15" t="s">
        <v>566</v>
      </c>
      <c r="F201" s="15">
        <v>6.3490000000000002</v>
      </c>
      <c r="G201" s="15" t="s">
        <v>46</v>
      </c>
      <c r="H201" s="15" t="s">
        <v>5032</v>
      </c>
      <c r="I201" s="15" t="s">
        <v>5033</v>
      </c>
      <c r="J201" s="10" t="s">
        <v>5034</v>
      </c>
      <c r="K201" s="15">
        <v>1162</v>
      </c>
    </row>
    <row r="202" spans="1:11" ht="15" customHeight="1" x14ac:dyDescent="0.2">
      <c r="A202" s="13" t="s">
        <v>5035</v>
      </c>
      <c r="B202" s="13" t="s">
        <v>5036</v>
      </c>
      <c r="C202" s="13">
        <v>1980</v>
      </c>
      <c r="D202" s="13" t="s">
        <v>15</v>
      </c>
      <c r="E202" s="13" t="s">
        <v>566</v>
      </c>
      <c r="F202" s="13">
        <v>7.92</v>
      </c>
      <c r="G202" s="13" t="s">
        <v>77</v>
      </c>
      <c r="H202" s="13" t="s">
        <v>5037</v>
      </c>
      <c r="I202" s="13" t="s">
        <v>5038</v>
      </c>
      <c r="J202" s="9" t="s">
        <v>5039</v>
      </c>
      <c r="K202" s="13">
        <v>4586</v>
      </c>
    </row>
    <row r="203" spans="1:11" ht="15" customHeight="1" x14ac:dyDescent="0.2">
      <c r="A203" s="13" t="s">
        <v>5040</v>
      </c>
      <c r="B203" s="13"/>
      <c r="C203" s="13">
        <v>1991</v>
      </c>
      <c r="D203" s="13" t="s">
        <v>15</v>
      </c>
      <c r="E203" s="13" t="s">
        <v>566</v>
      </c>
      <c r="F203" s="13"/>
      <c r="G203" s="13"/>
      <c r="H203" s="13"/>
      <c r="I203" s="13"/>
      <c r="J203" s="9"/>
      <c r="K203" s="13"/>
    </row>
    <row r="204" spans="1:11" ht="15" customHeight="1" x14ac:dyDescent="0.2">
      <c r="A204" s="13" t="s">
        <v>5041</v>
      </c>
      <c r="B204" s="13" t="s">
        <v>5042</v>
      </c>
      <c r="C204" s="13">
        <v>2010</v>
      </c>
      <c r="D204" s="13" t="s">
        <v>15</v>
      </c>
      <c r="E204" s="13" t="s">
        <v>566</v>
      </c>
      <c r="F204" s="13">
        <v>6.7960000000000003</v>
      </c>
      <c r="G204" s="13" t="s">
        <v>18</v>
      </c>
      <c r="H204" s="13">
        <v>39013</v>
      </c>
      <c r="I204" s="13" t="s">
        <v>5043</v>
      </c>
      <c r="J204" s="9" t="s">
        <v>5044</v>
      </c>
      <c r="K204" s="13">
        <v>1902</v>
      </c>
    </row>
    <row r="205" spans="1:11" ht="15" customHeight="1" x14ac:dyDescent="0.2">
      <c r="A205" s="13" t="s">
        <v>5045</v>
      </c>
      <c r="B205" s="13" t="s">
        <v>5046</v>
      </c>
      <c r="C205" s="13">
        <v>2022</v>
      </c>
      <c r="D205" s="13" t="s">
        <v>15</v>
      </c>
      <c r="E205" s="13" t="s">
        <v>4567</v>
      </c>
      <c r="F205" s="13"/>
      <c r="G205" s="13"/>
      <c r="H205" s="13" t="s">
        <v>5047</v>
      </c>
      <c r="I205" s="13" t="s">
        <v>5048</v>
      </c>
      <c r="J205" s="9"/>
      <c r="K205" s="13"/>
    </row>
    <row r="206" spans="1:11" ht="15" customHeight="1" x14ac:dyDescent="0.2">
      <c r="A206" s="13" t="s">
        <v>5049</v>
      </c>
      <c r="B206" s="13" t="s">
        <v>5050</v>
      </c>
      <c r="C206" s="13">
        <v>2017</v>
      </c>
      <c r="D206" s="13" t="s">
        <v>15</v>
      </c>
      <c r="E206" s="13" t="s">
        <v>566</v>
      </c>
      <c r="F206" s="13">
        <v>9</v>
      </c>
      <c r="G206" s="13" t="s">
        <v>1813</v>
      </c>
      <c r="H206" s="13" t="s">
        <v>5051</v>
      </c>
      <c r="I206" s="13" t="s">
        <v>5052</v>
      </c>
      <c r="J206" s="9" t="s">
        <v>5053</v>
      </c>
      <c r="K206" s="13">
        <v>1</v>
      </c>
    </row>
    <row r="207" spans="1:11" ht="15" customHeight="1" x14ac:dyDescent="0.2">
      <c r="A207" s="13" t="s">
        <v>5054</v>
      </c>
      <c r="B207" s="13" t="s">
        <v>5055</v>
      </c>
      <c r="C207" s="13">
        <v>1998</v>
      </c>
      <c r="D207" s="13" t="s">
        <v>15</v>
      </c>
      <c r="E207" s="13" t="s">
        <v>566</v>
      </c>
      <c r="F207" s="13">
        <v>6.7670000000000003</v>
      </c>
      <c r="G207" s="13" t="s">
        <v>18</v>
      </c>
      <c r="H207" s="13" t="s">
        <v>5056</v>
      </c>
      <c r="I207" s="13" t="s">
        <v>5057</v>
      </c>
      <c r="J207" s="9" t="s">
        <v>5058</v>
      </c>
      <c r="K207" s="13">
        <v>1651</v>
      </c>
    </row>
    <row r="208" spans="1:11" ht="15" customHeight="1" x14ac:dyDescent="0.2">
      <c r="A208" s="13" t="s">
        <v>5059</v>
      </c>
      <c r="B208" s="13" t="s">
        <v>5060</v>
      </c>
      <c r="C208" s="13">
        <v>2009</v>
      </c>
      <c r="D208" s="13" t="s">
        <v>15</v>
      </c>
      <c r="E208" s="13" t="s">
        <v>566</v>
      </c>
      <c r="F208" s="13">
        <v>0</v>
      </c>
      <c r="G208" s="13"/>
      <c r="H208" s="13" t="s">
        <v>5061</v>
      </c>
      <c r="I208" s="13" t="s">
        <v>5062</v>
      </c>
      <c r="J208" s="9" t="s">
        <v>5063</v>
      </c>
      <c r="K208" s="13">
        <v>0</v>
      </c>
    </row>
    <row r="209" spans="1:11" ht="15" customHeight="1" x14ac:dyDescent="0.2">
      <c r="A209" s="13" t="s">
        <v>5064</v>
      </c>
      <c r="B209" s="13" t="s">
        <v>5065</v>
      </c>
      <c r="C209" s="13">
        <v>2008</v>
      </c>
      <c r="D209" s="13" t="s">
        <v>15</v>
      </c>
      <c r="E209" s="13" t="s">
        <v>566</v>
      </c>
      <c r="F209" s="13">
        <v>6.9790000000000001</v>
      </c>
      <c r="G209" s="13" t="s">
        <v>18</v>
      </c>
      <c r="H209" s="13" t="s">
        <v>5066</v>
      </c>
      <c r="I209" s="13" t="s">
        <v>5067</v>
      </c>
      <c r="J209" s="9" t="s">
        <v>5068</v>
      </c>
      <c r="K209" s="13">
        <v>4008</v>
      </c>
    </row>
    <row r="210" spans="1:11" ht="15" customHeight="1" x14ac:dyDescent="0.2">
      <c r="A210" s="13" t="s">
        <v>5069</v>
      </c>
      <c r="B210" s="13" t="s">
        <v>5070</v>
      </c>
      <c r="C210" s="13">
        <v>2022</v>
      </c>
      <c r="D210" s="13" t="s">
        <v>15</v>
      </c>
      <c r="E210" s="13" t="s">
        <v>566</v>
      </c>
      <c r="F210" s="13">
        <v>6.4</v>
      </c>
      <c r="G210" s="13" t="s">
        <v>46</v>
      </c>
      <c r="H210" s="13" t="s">
        <v>5071</v>
      </c>
      <c r="I210" s="13" t="s">
        <v>5072</v>
      </c>
      <c r="J210" s="9" t="s">
        <v>5073</v>
      </c>
      <c r="K210" s="13">
        <v>480</v>
      </c>
    </row>
    <row r="211" spans="1:11" ht="15" customHeight="1" x14ac:dyDescent="0.2">
      <c r="A211" s="15" t="s">
        <v>5074</v>
      </c>
      <c r="B211" s="15" t="s">
        <v>5075</v>
      </c>
      <c r="C211" s="15">
        <v>1998</v>
      </c>
      <c r="D211" s="15" t="s">
        <v>15</v>
      </c>
      <c r="E211" s="15" t="s">
        <v>566</v>
      </c>
      <c r="F211" s="15">
        <v>6.4610000000000003</v>
      </c>
      <c r="G211" s="15" t="s">
        <v>46</v>
      </c>
      <c r="H211" s="15" t="s">
        <v>5076</v>
      </c>
      <c r="I211" s="15" t="s">
        <v>5077</v>
      </c>
      <c r="J211" s="10" t="s">
        <v>5078</v>
      </c>
      <c r="K211" s="15">
        <v>470</v>
      </c>
    </row>
    <row r="212" spans="1:11" ht="15" customHeight="1" x14ac:dyDescent="0.2">
      <c r="A212" s="13" t="s">
        <v>5079</v>
      </c>
      <c r="B212" s="13" t="s">
        <v>5080</v>
      </c>
      <c r="C212" s="13">
        <v>2008</v>
      </c>
      <c r="D212" s="13" t="s">
        <v>15</v>
      </c>
      <c r="E212" s="13" t="s">
        <v>566</v>
      </c>
      <c r="F212" s="13">
        <v>6.2</v>
      </c>
      <c r="G212" s="13" t="s">
        <v>46</v>
      </c>
      <c r="H212" s="13" t="s">
        <v>5081</v>
      </c>
      <c r="I212" s="13" t="s">
        <v>5082</v>
      </c>
      <c r="J212" s="9" t="s">
        <v>5083</v>
      </c>
      <c r="K212" s="13">
        <v>225</v>
      </c>
    </row>
    <row r="213" spans="1:11" ht="15" customHeight="1" x14ac:dyDescent="0.2">
      <c r="A213" s="13" t="s">
        <v>5084</v>
      </c>
      <c r="B213" s="13" t="s">
        <v>5085</v>
      </c>
      <c r="C213" s="13">
        <v>2011</v>
      </c>
      <c r="D213" s="13" t="s">
        <v>15</v>
      </c>
      <c r="E213" s="13" t="s">
        <v>566</v>
      </c>
      <c r="F213" s="13">
        <v>7.4169999999999998</v>
      </c>
      <c r="G213" s="13" t="s">
        <v>18</v>
      </c>
      <c r="H213" s="13" t="s">
        <v>5086</v>
      </c>
      <c r="I213" s="13" t="s">
        <v>5087</v>
      </c>
      <c r="J213" s="9" t="s">
        <v>5088</v>
      </c>
      <c r="K213" s="13">
        <v>4437</v>
      </c>
    </row>
  </sheetData>
  <dataValidations count="1">
    <dataValidation type="list" allowBlank="1" showDropDown="1" showInputMessage="1" showErrorMessage="1" sqref="D2:D8 D10:D19 D21:D29 D31:D38 D40:D48 D50:D54 I2:I8 I10:I19 I21:I29 I31:I38 I40:I48 I50:I54" xr:uid="{00000000-0002-0000-0700-000000000000}">
      <formula1>#REF!</formula1>
      <formula2>0</formula2>
    </dataValidation>
  </dataValidations>
  <pageMargins left="0.74791666666666701" right="0.74791666666666701" top="0.98402777777777795" bottom="0.98402777777777795"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Tabelle9">
    <outlinePr summaryBelow="0"/>
  </sheetPr>
  <dimension ref="A1:AC367"/>
  <sheetViews>
    <sheetView zoomScaleNormal="100" workbookViewId="0">
      <pane ySplit="1" topLeftCell="A358" activePane="bottomLeft" state="frozen"/>
      <selection pane="bottomLeft" activeCell="A365" sqref="A365"/>
    </sheetView>
  </sheetViews>
  <sheetFormatPr baseColWidth="10" defaultColWidth="12.5703125" defaultRowHeight="15" customHeight="1" x14ac:dyDescent="0.2"/>
  <cols>
    <col min="1" max="1" width="47.42578125" style="2" customWidth="1"/>
    <col min="2" max="2" width="18.5703125" style="2" customWidth="1"/>
    <col min="3" max="3" width="8.140625" style="3" customWidth="1"/>
    <col min="4" max="4" width="7" style="2" customWidth="1"/>
    <col min="5" max="5" width="11.42578125" style="2" customWidth="1"/>
    <col min="6" max="6" width="6.42578125" style="2" customWidth="1"/>
    <col min="7" max="7" width="11.42578125" style="2" customWidth="1"/>
    <col min="8" max="8" width="12.85546875" style="2" customWidth="1"/>
    <col min="9" max="9" width="44.7109375" style="2" customWidth="1"/>
    <col min="10" max="10" width="43" style="2" customWidth="1"/>
    <col min="11" max="12" width="18.5703125" style="2" customWidth="1"/>
    <col min="13" max="13" width="18.140625" style="2" customWidth="1"/>
    <col min="14" max="14" width="11.42578125" style="2" customWidth="1"/>
    <col min="15" max="15" width="24.5703125" style="2" customWidth="1"/>
    <col min="16" max="16" width="25.7109375" style="2" customWidth="1"/>
    <col min="17" max="21" width="11.42578125" style="2" customWidth="1"/>
    <col min="22" max="22" width="46.28515625" style="2" customWidth="1"/>
    <col min="23" max="23" width="106.7109375" style="2" customWidth="1"/>
    <col min="24" max="24" width="126.5703125" style="2" customWidth="1"/>
    <col min="25" max="25" width="8.140625" style="2" customWidth="1"/>
    <col min="26" max="26" width="32.140625" style="2" customWidth="1"/>
    <col min="27" max="27" width="16.42578125" style="2" customWidth="1"/>
    <col min="28" max="28" width="14.140625" style="2" customWidth="1"/>
    <col min="29" max="29" width="11.42578125" style="2" customWidth="1"/>
  </cols>
  <sheetData>
    <row r="1" spans="1:11" ht="16.5" customHeight="1" x14ac:dyDescent="0.2">
      <c r="A1" s="11" t="s">
        <v>0</v>
      </c>
      <c r="B1" s="11" t="s">
        <v>1</v>
      </c>
      <c r="C1" s="11" t="s">
        <v>2</v>
      </c>
      <c r="D1" s="11" t="s">
        <v>3</v>
      </c>
      <c r="E1" s="11" t="s">
        <v>4</v>
      </c>
      <c r="F1" s="11" t="s">
        <v>5</v>
      </c>
      <c r="G1" s="11" t="s">
        <v>6</v>
      </c>
      <c r="H1" s="11" t="s">
        <v>7</v>
      </c>
      <c r="I1" s="11" t="s">
        <v>8</v>
      </c>
      <c r="J1" s="11" t="s">
        <v>9</v>
      </c>
      <c r="K1" s="11" t="s">
        <v>10</v>
      </c>
    </row>
    <row r="2" spans="1:11" ht="15" customHeight="1" x14ac:dyDescent="0.2">
      <c r="A2" s="13" t="s">
        <v>5089</v>
      </c>
      <c r="B2" s="13" t="s">
        <v>5090</v>
      </c>
      <c r="C2" s="13">
        <v>1980</v>
      </c>
      <c r="D2" s="13" t="s">
        <v>15</v>
      </c>
      <c r="E2" s="13" t="s">
        <v>399</v>
      </c>
      <c r="F2" s="13">
        <v>5</v>
      </c>
      <c r="G2" s="13" t="s">
        <v>28</v>
      </c>
      <c r="H2" s="13" t="s">
        <v>5091</v>
      </c>
      <c r="I2" s="13" t="s">
        <v>5092</v>
      </c>
      <c r="J2" s="9" t="s">
        <v>5093</v>
      </c>
      <c r="K2" s="13">
        <v>1</v>
      </c>
    </row>
    <row r="3" spans="1:11" ht="15" customHeight="1" x14ac:dyDescent="0.2">
      <c r="A3" s="13" t="s">
        <v>5094</v>
      </c>
      <c r="B3" s="13" t="s">
        <v>5095</v>
      </c>
      <c r="C3" s="13">
        <v>1962</v>
      </c>
      <c r="D3" s="13" t="s">
        <v>15</v>
      </c>
      <c r="E3" s="13" t="s">
        <v>1270</v>
      </c>
      <c r="F3" s="13">
        <v>5.2</v>
      </c>
      <c r="G3" s="13" t="s">
        <v>28</v>
      </c>
      <c r="H3" s="13" t="s">
        <v>5096</v>
      </c>
      <c r="I3" s="13" t="s">
        <v>5097</v>
      </c>
      <c r="J3" s="9" t="s">
        <v>5098</v>
      </c>
      <c r="K3" s="13">
        <v>16</v>
      </c>
    </row>
    <row r="4" spans="1:11" ht="15" customHeight="1" x14ac:dyDescent="0.2">
      <c r="A4" s="13" t="s">
        <v>5099</v>
      </c>
      <c r="B4" s="13" t="s">
        <v>5100</v>
      </c>
      <c r="C4" s="13">
        <v>1982</v>
      </c>
      <c r="D4" s="13" t="s">
        <v>15</v>
      </c>
      <c r="E4" s="13" t="s">
        <v>5101</v>
      </c>
      <c r="F4" s="13">
        <v>6.68</v>
      </c>
      <c r="G4" s="13" t="s">
        <v>18</v>
      </c>
      <c r="H4" s="13" t="s">
        <v>5102</v>
      </c>
      <c r="I4" s="13" t="s">
        <v>5103</v>
      </c>
      <c r="J4" s="9" t="s">
        <v>5104</v>
      </c>
      <c r="K4" s="13">
        <v>1625</v>
      </c>
    </row>
    <row r="5" spans="1:11" ht="15" customHeight="1" x14ac:dyDescent="0.2">
      <c r="A5" s="13" t="s">
        <v>5105</v>
      </c>
      <c r="B5" s="13" t="s">
        <v>5106</v>
      </c>
      <c r="C5" s="13">
        <v>1952</v>
      </c>
      <c r="D5" s="13" t="s">
        <v>15</v>
      </c>
      <c r="E5" s="13" t="s">
        <v>5107</v>
      </c>
      <c r="F5" s="13">
        <v>7.5</v>
      </c>
      <c r="G5" s="13" t="s">
        <v>77</v>
      </c>
      <c r="H5" s="13" t="s">
        <v>5108</v>
      </c>
      <c r="I5" s="13" t="s">
        <v>5109</v>
      </c>
      <c r="J5" s="9" t="s">
        <v>5110</v>
      </c>
      <c r="K5" s="13">
        <v>94</v>
      </c>
    </row>
    <row r="6" spans="1:11" ht="15" customHeight="1" x14ac:dyDescent="0.2">
      <c r="A6" s="13" t="s">
        <v>5111</v>
      </c>
      <c r="B6" s="13" t="s">
        <v>5112</v>
      </c>
      <c r="C6" s="13">
        <v>1965</v>
      </c>
      <c r="D6" s="13" t="s">
        <v>5113</v>
      </c>
      <c r="E6" s="13" t="s">
        <v>2015</v>
      </c>
      <c r="F6" s="13">
        <v>3</v>
      </c>
      <c r="G6" s="13" t="s">
        <v>169</v>
      </c>
      <c r="H6" s="13" t="s">
        <v>5114</v>
      </c>
      <c r="I6" s="13" t="s">
        <v>5115</v>
      </c>
      <c r="J6" s="9" t="s">
        <v>5116</v>
      </c>
      <c r="K6" s="13">
        <v>5</v>
      </c>
    </row>
    <row r="7" spans="1:11" ht="15" customHeight="1" x14ac:dyDescent="0.2">
      <c r="A7" s="13" t="s">
        <v>5117</v>
      </c>
      <c r="B7" s="13" t="s">
        <v>5118</v>
      </c>
      <c r="C7" s="13">
        <v>1967</v>
      </c>
      <c r="D7" s="13" t="s">
        <v>1316</v>
      </c>
      <c r="E7" s="13" t="s">
        <v>1052</v>
      </c>
      <c r="F7" s="13">
        <v>6</v>
      </c>
      <c r="G7" s="13" t="s">
        <v>46</v>
      </c>
      <c r="H7" s="13" t="s">
        <v>5119</v>
      </c>
      <c r="I7" s="13" t="s">
        <v>5120</v>
      </c>
      <c r="J7" s="9" t="s">
        <v>5121</v>
      </c>
      <c r="K7" s="13">
        <v>172</v>
      </c>
    </row>
    <row r="8" spans="1:11" ht="15" customHeight="1" x14ac:dyDescent="0.2">
      <c r="A8" s="13" t="s">
        <v>5122</v>
      </c>
      <c r="B8" s="13" t="s">
        <v>5123</v>
      </c>
      <c r="C8" s="13">
        <v>1967</v>
      </c>
      <c r="D8" s="13" t="s">
        <v>15</v>
      </c>
      <c r="E8" s="13" t="s">
        <v>1052</v>
      </c>
      <c r="F8" s="13">
        <v>5.8</v>
      </c>
      <c r="G8" s="13" t="s">
        <v>46</v>
      </c>
      <c r="H8" s="13" t="s">
        <v>5124</v>
      </c>
      <c r="I8" s="13" t="s">
        <v>5125</v>
      </c>
      <c r="J8" s="9" t="s">
        <v>5126</v>
      </c>
      <c r="K8" s="13">
        <v>37</v>
      </c>
    </row>
    <row r="9" spans="1:11" ht="15" customHeight="1" x14ac:dyDescent="0.2">
      <c r="A9" s="13" t="s">
        <v>5127</v>
      </c>
      <c r="B9" s="13" t="s">
        <v>5128</v>
      </c>
      <c r="C9" s="13">
        <v>1991</v>
      </c>
      <c r="D9" s="13" t="s">
        <v>15</v>
      </c>
      <c r="E9" s="13" t="s">
        <v>5129</v>
      </c>
      <c r="F9" s="13">
        <v>5.5</v>
      </c>
      <c r="G9" s="13" t="s">
        <v>46</v>
      </c>
      <c r="H9" s="13" t="s">
        <v>5130</v>
      </c>
      <c r="I9" s="13" t="s">
        <v>5131</v>
      </c>
      <c r="J9" s="9" t="s">
        <v>5132</v>
      </c>
      <c r="K9" s="13">
        <v>128</v>
      </c>
    </row>
    <row r="10" spans="1:11" ht="15" customHeight="1" x14ac:dyDescent="0.2">
      <c r="A10" s="13" t="s">
        <v>5133</v>
      </c>
      <c r="B10" s="13" t="s">
        <v>5134</v>
      </c>
      <c r="C10" s="13">
        <v>1946</v>
      </c>
      <c r="D10" s="13" t="s">
        <v>15</v>
      </c>
      <c r="E10" s="13" t="s">
        <v>1270</v>
      </c>
      <c r="F10" s="13">
        <v>6.8380000000000001</v>
      </c>
      <c r="G10" s="13" t="s">
        <v>18</v>
      </c>
      <c r="H10" s="13" t="s">
        <v>5135</v>
      </c>
      <c r="I10" s="13" t="s">
        <v>5136</v>
      </c>
      <c r="J10" s="9" t="s">
        <v>5137</v>
      </c>
      <c r="K10" s="13">
        <v>154</v>
      </c>
    </row>
    <row r="11" spans="1:11" ht="15" customHeight="1" x14ac:dyDescent="0.2">
      <c r="A11" s="15" t="s">
        <v>5138</v>
      </c>
      <c r="B11" s="15" t="s">
        <v>5139</v>
      </c>
      <c r="C11" s="15">
        <v>1986</v>
      </c>
      <c r="D11" s="15" t="s">
        <v>1316</v>
      </c>
      <c r="E11" s="15" t="s">
        <v>1024</v>
      </c>
      <c r="F11" s="15">
        <v>6.9320000000000004</v>
      </c>
      <c r="G11" s="15" t="s">
        <v>18</v>
      </c>
      <c r="H11" s="15" t="s">
        <v>5140</v>
      </c>
      <c r="I11" s="15" t="s">
        <v>5141</v>
      </c>
      <c r="J11" s="10" t="s">
        <v>5142</v>
      </c>
      <c r="K11" s="15">
        <v>803</v>
      </c>
    </row>
    <row r="12" spans="1:11" ht="15" customHeight="1" x14ac:dyDescent="0.2">
      <c r="A12" s="13" t="s">
        <v>5143</v>
      </c>
      <c r="B12" s="13" t="s">
        <v>5144</v>
      </c>
      <c r="C12" s="13">
        <v>1964</v>
      </c>
      <c r="D12" s="13" t="s">
        <v>969</v>
      </c>
      <c r="E12" s="13" t="s">
        <v>5145</v>
      </c>
      <c r="F12" s="13">
        <v>7.2</v>
      </c>
      <c r="G12" s="13" t="s">
        <v>18</v>
      </c>
      <c r="H12" s="13" t="s">
        <v>5146</v>
      </c>
      <c r="I12" s="13" t="s">
        <v>5147</v>
      </c>
      <c r="J12" s="9" t="s">
        <v>5148</v>
      </c>
      <c r="K12" s="13">
        <v>605</v>
      </c>
    </row>
    <row r="13" spans="1:11" ht="15" customHeight="1" x14ac:dyDescent="0.2">
      <c r="A13" s="13" t="s">
        <v>1746</v>
      </c>
      <c r="B13" s="13" t="s">
        <v>1747</v>
      </c>
      <c r="C13" s="13">
        <v>1943</v>
      </c>
      <c r="D13" s="13" t="s">
        <v>15</v>
      </c>
      <c r="E13" s="13" t="s">
        <v>531</v>
      </c>
      <c r="F13" s="13">
        <v>6.0949999999999998</v>
      </c>
      <c r="G13" s="13" t="s">
        <v>46</v>
      </c>
      <c r="H13" s="13" t="s">
        <v>1748</v>
      </c>
      <c r="I13" s="13" t="s">
        <v>1749</v>
      </c>
      <c r="J13" s="9" t="s">
        <v>1750</v>
      </c>
      <c r="K13" s="13">
        <v>37</v>
      </c>
    </row>
    <row r="14" spans="1:11" ht="15" customHeight="1" x14ac:dyDescent="0.2">
      <c r="A14" s="13" t="s">
        <v>5149</v>
      </c>
      <c r="B14" s="13" t="s">
        <v>5149</v>
      </c>
      <c r="C14" s="13">
        <v>1959</v>
      </c>
      <c r="D14" s="13" t="s">
        <v>350</v>
      </c>
      <c r="E14" s="13" t="s">
        <v>1206</v>
      </c>
      <c r="F14" s="13">
        <v>10</v>
      </c>
      <c r="G14" s="13" t="s">
        <v>2037</v>
      </c>
      <c r="H14" s="13" t="s">
        <v>5150</v>
      </c>
      <c r="I14" s="13" t="s">
        <v>5151</v>
      </c>
      <c r="J14" s="9" t="s">
        <v>5152</v>
      </c>
      <c r="K14" s="13">
        <v>1</v>
      </c>
    </row>
    <row r="15" spans="1:11" ht="15" customHeight="1" x14ac:dyDescent="0.2">
      <c r="A15" s="13" t="s">
        <v>5153</v>
      </c>
      <c r="B15" s="13" t="s">
        <v>5154</v>
      </c>
      <c r="C15" s="13">
        <v>1961</v>
      </c>
      <c r="D15" s="13" t="s">
        <v>15</v>
      </c>
      <c r="E15" s="13" t="s">
        <v>1358</v>
      </c>
      <c r="F15" s="13">
        <v>6.4</v>
      </c>
      <c r="G15" s="13" t="s">
        <v>46</v>
      </c>
      <c r="H15" s="13" t="s">
        <v>5155</v>
      </c>
      <c r="I15" s="13" t="s">
        <v>5156</v>
      </c>
      <c r="J15" s="9" t="s">
        <v>5157</v>
      </c>
      <c r="K15" s="13">
        <v>16</v>
      </c>
    </row>
    <row r="16" spans="1:11" ht="15" customHeight="1" x14ac:dyDescent="0.2">
      <c r="A16" s="13" t="s">
        <v>5158</v>
      </c>
      <c r="B16" s="13" t="s">
        <v>5159</v>
      </c>
      <c r="C16" s="13" t="s">
        <v>5160</v>
      </c>
      <c r="D16" s="13" t="s">
        <v>15</v>
      </c>
      <c r="E16" s="13" t="s">
        <v>890</v>
      </c>
      <c r="F16" s="13">
        <v>6.9989999999999997</v>
      </c>
      <c r="G16" s="13" t="s">
        <v>18</v>
      </c>
      <c r="H16" s="13" t="s">
        <v>5161</v>
      </c>
      <c r="I16" s="13" t="s">
        <v>5162</v>
      </c>
      <c r="J16" s="9" t="s">
        <v>2764</v>
      </c>
      <c r="K16" s="13">
        <v>873</v>
      </c>
    </row>
    <row r="17" spans="1:11" ht="15" customHeight="1" x14ac:dyDescent="0.2">
      <c r="A17" s="13" t="s">
        <v>5163</v>
      </c>
      <c r="B17" s="13" t="s">
        <v>5164</v>
      </c>
      <c r="C17" s="13">
        <v>1935</v>
      </c>
      <c r="D17" s="13" t="s">
        <v>15</v>
      </c>
      <c r="E17" s="13" t="s">
        <v>5165</v>
      </c>
      <c r="F17" s="13">
        <v>6.4</v>
      </c>
      <c r="G17" s="13" t="s">
        <v>46</v>
      </c>
      <c r="H17" s="13" t="s">
        <v>5166</v>
      </c>
      <c r="I17" s="13" t="s">
        <v>5167</v>
      </c>
      <c r="J17" s="9" t="s">
        <v>5168</v>
      </c>
      <c r="K17" s="13">
        <v>13</v>
      </c>
    </row>
    <row r="18" spans="1:11" ht="15" customHeight="1" x14ac:dyDescent="0.2">
      <c r="A18" s="13" t="s">
        <v>5169</v>
      </c>
      <c r="B18" s="13" t="s">
        <v>5170</v>
      </c>
      <c r="C18" s="13" t="s">
        <v>5171</v>
      </c>
      <c r="D18" s="13" t="s">
        <v>3616</v>
      </c>
      <c r="E18" s="13" t="s">
        <v>5172</v>
      </c>
      <c r="F18" s="13">
        <v>7.3470000000000004</v>
      </c>
      <c r="G18" s="13" t="s">
        <v>18</v>
      </c>
      <c r="H18" s="13" t="s">
        <v>5173</v>
      </c>
      <c r="I18" s="13" t="s">
        <v>5174</v>
      </c>
      <c r="J18" s="9" t="s">
        <v>5175</v>
      </c>
      <c r="K18" s="13">
        <v>36</v>
      </c>
    </row>
    <row r="19" spans="1:11" ht="15" customHeight="1" x14ac:dyDescent="0.2">
      <c r="A19" s="13" t="s">
        <v>5176</v>
      </c>
      <c r="B19" s="13" t="s">
        <v>5177</v>
      </c>
      <c r="C19" s="13">
        <v>1959</v>
      </c>
      <c r="D19" s="13" t="s">
        <v>15</v>
      </c>
      <c r="E19" s="13" t="s">
        <v>5178</v>
      </c>
      <c r="F19" s="13">
        <v>5.8</v>
      </c>
      <c r="G19" s="13" t="s">
        <v>46</v>
      </c>
      <c r="H19" s="13" t="s">
        <v>5179</v>
      </c>
      <c r="I19" s="13" t="s">
        <v>5180</v>
      </c>
      <c r="J19" s="9" t="s">
        <v>5181</v>
      </c>
      <c r="K19" s="13">
        <v>26</v>
      </c>
    </row>
    <row r="20" spans="1:11" ht="15" customHeight="1" x14ac:dyDescent="0.2">
      <c r="A20" s="13" t="s">
        <v>5182</v>
      </c>
      <c r="B20" s="13" t="s">
        <v>5183</v>
      </c>
      <c r="C20" s="13">
        <v>1950</v>
      </c>
      <c r="D20" s="13" t="s">
        <v>15</v>
      </c>
      <c r="E20" s="13" t="s">
        <v>566</v>
      </c>
      <c r="F20" s="13">
        <v>8.08</v>
      </c>
      <c r="G20" s="13" t="s">
        <v>77</v>
      </c>
      <c r="H20" s="13" t="s">
        <v>5184</v>
      </c>
      <c r="I20" s="13" t="s">
        <v>5185</v>
      </c>
      <c r="J20" s="9" t="s">
        <v>5186</v>
      </c>
      <c r="K20" s="13">
        <v>1630</v>
      </c>
    </row>
    <row r="21" spans="1:11" ht="15" customHeight="1" x14ac:dyDescent="0.2">
      <c r="A21" s="15" t="s">
        <v>5187</v>
      </c>
      <c r="B21" s="15" t="s">
        <v>5188</v>
      </c>
      <c r="C21" s="15">
        <v>1963</v>
      </c>
      <c r="D21" s="15" t="s">
        <v>15</v>
      </c>
      <c r="E21" s="15" t="s">
        <v>566</v>
      </c>
      <c r="F21" s="15">
        <v>6.5</v>
      </c>
      <c r="G21" s="15" t="s">
        <v>46</v>
      </c>
      <c r="H21" s="15" t="s">
        <v>5189</v>
      </c>
      <c r="I21" s="15" t="s">
        <v>5190</v>
      </c>
      <c r="J21" s="10"/>
      <c r="K21" s="15">
        <v>8</v>
      </c>
    </row>
    <row r="22" spans="1:11" ht="15" customHeight="1" x14ac:dyDescent="0.2">
      <c r="A22" s="13" t="s">
        <v>1347</v>
      </c>
      <c r="B22" s="13" t="s">
        <v>1347</v>
      </c>
      <c r="C22" s="13">
        <v>1953</v>
      </c>
      <c r="D22" s="13" t="s">
        <v>350</v>
      </c>
      <c r="E22" s="13" t="s">
        <v>399</v>
      </c>
      <c r="F22" s="13">
        <v>0</v>
      </c>
      <c r="G22" s="13"/>
      <c r="H22" s="13" t="s">
        <v>1348</v>
      </c>
      <c r="I22" s="13" t="s">
        <v>1349</v>
      </c>
      <c r="J22" s="9" t="s">
        <v>1350</v>
      </c>
      <c r="K22" s="13">
        <v>0</v>
      </c>
    </row>
    <row r="23" spans="1:11" ht="15" customHeight="1" x14ac:dyDescent="0.2">
      <c r="A23" s="13" t="s">
        <v>5191</v>
      </c>
      <c r="B23" s="13" t="s">
        <v>5191</v>
      </c>
      <c r="C23" s="13">
        <v>1983</v>
      </c>
      <c r="D23" s="13" t="s">
        <v>15</v>
      </c>
      <c r="E23" s="13" t="s">
        <v>5192</v>
      </c>
      <c r="F23" s="13">
        <v>7.3</v>
      </c>
      <c r="G23" s="13" t="s">
        <v>18</v>
      </c>
      <c r="H23" s="13" t="s">
        <v>5193</v>
      </c>
      <c r="I23" s="13" t="s">
        <v>5194</v>
      </c>
      <c r="J23" s="9" t="s">
        <v>5195</v>
      </c>
      <c r="K23" s="13">
        <v>11</v>
      </c>
    </row>
    <row r="24" spans="1:11" ht="15" customHeight="1" x14ac:dyDescent="0.2">
      <c r="A24" s="13" t="s">
        <v>5196</v>
      </c>
      <c r="B24" s="13" t="s">
        <v>1211</v>
      </c>
      <c r="C24" s="13">
        <v>1957</v>
      </c>
      <c r="D24" s="13" t="s">
        <v>15</v>
      </c>
      <c r="E24" s="13" t="s">
        <v>1024</v>
      </c>
      <c r="F24" s="13">
        <v>7.3520000000000003</v>
      </c>
      <c r="G24" s="13" t="s">
        <v>18</v>
      </c>
      <c r="H24" s="13" t="s">
        <v>1212</v>
      </c>
      <c r="I24" s="13" t="s">
        <v>1213</v>
      </c>
      <c r="J24" s="9" t="s">
        <v>1214</v>
      </c>
      <c r="K24" s="13">
        <v>493</v>
      </c>
    </row>
    <row r="25" spans="1:11" ht="15" customHeight="1" x14ac:dyDescent="0.2">
      <c r="A25" s="13" t="s">
        <v>5197</v>
      </c>
      <c r="B25" s="13" t="s">
        <v>5198</v>
      </c>
      <c r="C25" s="13">
        <v>1945</v>
      </c>
      <c r="D25" s="13" t="s">
        <v>15</v>
      </c>
      <c r="E25" s="13" t="s">
        <v>1595</v>
      </c>
      <c r="F25" s="13">
        <v>6.8</v>
      </c>
      <c r="G25" s="13" t="s">
        <v>18</v>
      </c>
      <c r="H25" s="13" t="s">
        <v>5199</v>
      </c>
      <c r="I25" s="13" t="s">
        <v>5200</v>
      </c>
      <c r="J25" s="9" t="s">
        <v>5201</v>
      </c>
      <c r="K25" s="13">
        <v>163</v>
      </c>
    </row>
    <row r="26" spans="1:11" ht="15" customHeight="1" x14ac:dyDescent="0.2">
      <c r="A26" s="13" t="s">
        <v>5202</v>
      </c>
      <c r="B26" s="13" t="s">
        <v>5203</v>
      </c>
      <c r="C26" s="13">
        <v>1974</v>
      </c>
      <c r="D26" s="13" t="s">
        <v>3641</v>
      </c>
      <c r="E26" s="13" t="s">
        <v>3345</v>
      </c>
      <c r="F26" s="13">
        <v>5.7</v>
      </c>
      <c r="G26" s="13" t="s">
        <v>46</v>
      </c>
      <c r="H26" s="13" t="s">
        <v>5204</v>
      </c>
      <c r="I26" s="13" t="s">
        <v>5205</v>
      </c>
      <c r="J26" s="9" t="s">
        <v>5206</v>
      </c>
      <c r="K26" s="13">
        <v>106</v>
      </c>
    </row>
    <row r="27" spans="1:11" ht="15" customHeight="1" x14ac:dyDescent="0.2">
      <c r="A27" s="13" t="s">
        <v>5207</v>
      </c>
      <c r="B27" s="13" t="s">
        <v>5208</v>
      </c>
      <c r="C27" s="13">
        <v>1990</v>
      </c>
      <c r="D27" s="13" t="s">
        <v>15</v>
      </c>
      <c r="E27" s="13" t="s">
        <v>5209</v>
      </c>
      <c r="F27" s="13">
        <v>5.9939999999999998</v>
      </c>
      <c r="G27" s="13" t="s">
        <v>46</v>
      </c>
      <c r="H27" s="13" t="s">
        <v>5210</v>
      </c>
      <c r="I27" s="13" t="s">
        <v>5211</v>
      </c>
      <c r="J27" s="9" t="s">
        <v>5212</v>
      </c>
      <c r="K27" s="13">
        <v>946</v>
      </c>
    </row>
    <row r="28" spans="1:11" ht="15" customHeight="1" x14ac:dyDescent="0.2">
      <c r="A28" s="13" t="s">
        <v>5213</v>
      </c>
      <c r="B28" s="13" t="s">
        <v>5214</v>
      </c>
      <c r="C28" s="13">
        <v>1948</v>
      </c>
      <c r="D28" s="13" t="s">
        <v>15</v>
      </c>
      <c r="E28" s="13" t="s">
        <v>1134</v>
      </c>
      <c r="F28" s="13">
        <v>7.8570000000000002</v>
      </c>
      <c r="G28" s="13" t="s">
        <v>77</v>
      </c>
      <c r="H28" s="13" t="s">
        <v>5215</v>
      </c>
      <c r="I28" s="13" t="s">
        <v>5216</v>
      </c>
      <c r="J28" s="9" t="s">
        <v>5217</v>
      </c>
      <c r="K28" s="13">
        <v>7</v>
      </c>
    </row>
    <row r="29" spans="1:11" ht="15" customHeight="1" x14ac:dyDescent="0.2">
      <c r="A29" s="13" t="s">
        <v>5218</v>
      </c>
      <c r="B29" s="13" t="s">
        <v>5219</v>
      </c>
      <c r="C29" s="13">
        <v>1958</v>
      </c>
      <c r="D29" s="13" t="s">
        <v>927</v>
      </c>
      <c r="E29" s="13" t="s">
        <v>1227</v>
      </c>
      <c r="F29" s="13">
        <v>7.5919999999999996</v>
      </c>
      <c r="G29" s="13" t="s">
        <v>77</v>
      </c>
      <c r="H29" s="13" t="s">
        <v>5220</v>
      </c>
      <c r="I29" s="13" t="s">
        <v>5221</v>
      </c>
      <c r="J29" s="9" t="s">
        <v>5222</v>
      </c>
      <c r="K29" s="13">
        <v>666</v>
      </c>
    </row>
    <row r="30" spans="1:11" ht="15" customHeight="1" x14ac:dyDescent="0.2">
      <c r="A30" s="13" t="s">
        <v>5223</v>
      </c>
      <c r="B30" s="13" t="s">
        <v>5224</v>
      </c>
      <c r="C30" s="13">
        <v>1958</v>
      </c>
      <c r="D30" s="13" t="s">
        <v>15</v>
      </c>
      <c r="E30" s="13" t="s">
        <v>1013</v>
      </c>
      <c r="F30" s="13">
        <v>7</v>
      </c>
      <c r="G30" s="13" t="s">
        <v>18</v>
      </c>
      <c r="H30" s="13" t="s">
        <v>5225</v>
      </c>
      <c r="I30" s="13" t="s">
        <v>5226</v>
      </c>
      <c r="J30" s="9" t="s">
        <v>5227</v>
      </c>
      <c r="K30" s="13">
        <v>120</v>
      </c>
    </row>
    <row r="31" spans="1:11" ht="15" customHeight="1" x14ac:dyDescent="0.2">
      <c r="A31" s="15" t="s">
        <v>5228</v>
      </c>
      <c r="B31" s="15" t="s">
        <v>5228</v>
      </c>
      <c r="C31" s="15">
        <v>1947</v>
      </c>
      <c r="D31" s="15" t="s">
        <v>2047</v>
      </c>
      <c r="E31" s="15" t="s">
        <v>5192</v>
      </c>
      <c r="F31" s="15">
        <v>7.3</v>
      </c>
      <c r="G31" s="15" t="s">
        <v>18</v>
      </c>
      <c r="H31" s="15" t="s">
        <v>5229</v>
      </c>
      <c r="I31" s="15" t="s">
        <v>5230</v>
      </c>
      <c r="J31" s="10" t="s">
        <v>5231</v>
      </c>
      <c r="K31" s="15">
        <v>219</v>
      </c>
    </row>
    <row r="32" spans="1:11" ht="15" customHeight="1" x14ac:dyDescent="0.2">
      <c r="A32" s="13" t="s">
        <v>5232</v>
      </c>
      <c r="B32" s="13" t="s">
        <v>5233</v>
      </c>
      <c r="C32" s="13">
        <v>1972</v>
      </c>
      <c r="D32" s="13" t="s">
        <v>5234</v>
      </c>
      <c r="E32" s="13" t="s">
        <v>5235</v>
      </c>
      <c r="F32" s="13">
        <v>2.75</v>
      </c>
      <c r="G32" s="13" t="s">
        <v>169</v>
      </c>
      <c r="H32" s="13" t="s">
        <v>5236</v>
      </c>
      <c r="I32" s="13" t="s">
        <v>5237</v>
      </c>
      <c r="J32" s="9" t="s">
        <v>5238</v>
      </c>
      <c r="K32" s="13">
        <v>4</v>
      </c>
    </row>
    <row r="33" spans="1:11" ht="15" customHeight="1" x14ac:dyDescent="0.2">
      <c r="A33" s="13" t="s">
        <v>5239</v>
      </c>
      <c r="B33" s="13" t="s">
        <v>5240</v>
      </c>
      <c r="C33" s="13">
        <v>1961</v>
      </c>
      <c r="D33" s="13" t="s">
        <v>15</v>
      </c>
      <c r="E33" s="13" t="s">
        <v>1052</v>
      </c>
      <c r="F33" s="13">
        <v>6.2709999999999999</v>
      </c>
      <c r="G33" s="13" t="s">
        <v>46</v>
      </c>
      <c r="H33" s="13" t="s">
        <v>5241</v>
      </c>
      <c r="I33" s="13" t="s">
        <v>5242</v>
      </c>
      <c r="J33" s="9" t="s">
        <v>5243</v>
      </c>
      <c r="K33" s="13">
        <v>24</v>
      </c>
    </row>
    <row r="34" spans="1:11" ht="15" customHeight="1" x14ac:dyDescent="0.2">
      <c r="A34" s="13" t="s">
        <v>5244</v>
      </c>
      <c r="B34" s="13" t="s">
        <v>5245</v>
      </c>
      <c r="C34" s="13">
        <v>1990</v>
      </c>
      <c r="D34" s="13" t="s">
        <v>15</v>
      </c>
      <c r="E34" s="13" t="s">
        <v>531</v>
      </c>
      <c r="F34" s="13">
        <v>5.9530000000000003</v>
      </c>
      <c r="G34" s="13" t="s">
        <v>46</v>
      </c>
      <c r="H34" s="13" t="s">
        <v>5246</v>
      </c>
      <c r="I34" s="13" t="s">
        <v>5247</v>
      </c>
      <c r="J34" s="9" t="s">
        <v>5248</v>
      </c>
      <c r="K34" s="13">
        <v>180</v>
      </c>
    </row>
    <row r="35" spans="1:11" ht="15" customHeight="1" x14ac:dyDescent="0.2">
      <c r="A35" s="13" t="s">
        <v>5249</v>
      </c>
      <c r="B35" s="13" t="s">
        <v>5250</v>
      </c>
      <c r="C35" s="13">
        <v>1957</v>
      </c>
      <c r="D35" s="13" t="s">
        <v>15</v>
      </c>
      <c r="E35" s="13" t="s">
        <v>1270</v>
      </c>
      <c r="F35" s="13">
        <v>6.4</v>
      </c>
      <c r="G35" s="13" t="s">
        <v>46</v>
      </c>
      <c r="H35" s="13" t="s">
        <v>5251</v>
      </c>
      <c r="I35" s="13" t="s">
        <v>5252</v>
      </c>
      <c r="J35" s="9" t="s">
        <v>5253</v>
      </c>
      <c r="K35" s="13">
        <v>22</v>
      </c>
    </row>
    <row r="36" spans="1:11" ht="15" customHeight="1" x14ac:dyDescent="0.2">
      <c r="A36" s="13" t="s">
        <v>5254</v>
      </c>
      <c r="B36" s="13" t="s">
        <v>5254</v>
      </c>
      <c r="C36" s="13">
        <v>1951</v>
      </c>
      <c r="D36" s="13" t="s">
        <v>3607</v>
      </c>
      <c r="E36" s="13" t="s">
        <v>566</v>
      </c>
      <c r="F36" s="13">
        <v>7.8</v>
      </c>
      <c r="G36" s="13" t="s">
        <v>77</v>
      </c>
      <c r="H36" s="13" t="s">
        <v>5255</v>
      </c>
      <c r="I36" s="13" t="s">
        <v>5256</v>
      </c>
      <c r="J36" s="9" t="s">
        <v>5257</v>
      </c>
      <c r="K36" s="13">
        <v>239</v>
      </c>
    </row>
    <row r="37" spans="1:11" ht="15" customHeight="1" x14ac:dyDescent="0.2">
      <c r="A37" s="13" t="s">
        <v>5258</v>
      </c>
      <c r="B37" s="13" t="s">
        <v>5259</v>
      </c>
      <c r="C37" s="13">
        <v>1960</v>
      </c>
      <c r="D37" s="13" t="s">
        <v>15</v>
      </c>
      <c r="E37" s="13" t="s">
        <v>1052</v>
      </c>
      <c r="F37" s="13">
        <v>6.3</v>
      </c>
      <c r="G37" s="13" t="s">
        <v>46</v>
      </c>
      <c r="H37" s="13" t="s">
        <v>5260</v>
      </c>
      <c r="I37" s="13" t="s">
        <v>5261</v>
      </c>
      <c r="J37" s="9" t="s">
        <v>5262</v>
      </c>
      <c r="K37" s="13">
        <v>47</v>
      </c>
    </row>
    <row r="38" spans="1:11" ht="15" customHeight="1" x14ac:dyDescent="0.2">
      <c r="A38" s="13" t="s">
        <v>5263</v>
      </c>
      <c r="B38" s="13" t="s">
        <v>5264</v>
      </c>
      <c r="C38" s="13">
        <v>1948</v>
      </c>
      <c r="D38" s="13" t="s">
        <v>15</v>
      </c>
      <c r="E38" s="13" t="s">
        <v>5265</v>
      </c>
      <c r="F38" s="13">
        <v>6.2</v>
      </c>
      <c r="G38" s="13" t="s">
        <v>46</v>
      </c>
      <c r="H38" s="13" t="s">
        <v>5266</v>
      </c>
      <c r="I38" s="13" t="s">
        <v>5267</v>
      </c>
      <c r="J38" s="9" t="s">
        <v>5268</v>
      </c>
      <c r="K38" s="13">
        <v>59</v>
      </c>
    </row>
    <row r="39" spans="1:11" ht="15" customHeight="1" x14ac:dyDescent="0.2">
      <c r="A39" s="13" t="s">
        <v>5269</v>
      </c>
      <c r="B39" s="13" t="s">
        <v>3719</v>
      </c>
      <c r="C39" s="13">
        <v>1930</v>
      </c>
      <c r="D39" s="13" t="s">
        <v>15</v>
      </c>
      <c r="E39" s="13" t="s">
        <v>542</v>
      </c>
      <c r="F39" s="13">
        <v>4.3</v>
      </c>
      <c r="G39" s="13" t="s">
        <v>86</v>
      </c>
      <c r="H39" s="13" t="s">
        <v>3720</v>
      </c>
      <c r="I39" s="13" t="s">
        <v>5270</v>
      </c>
      <c r="J39" s="9"/>
      <c r="K39" s="13">
        <v>12</v>
      </c>
    </row>
    <row r="40" spans="1:11" ht="15" customHeight="1" x14ac:dyDescent="0.2">
      <c r="A40" s="13" t="s">
        <v>5271</v>
      </c>
      <c r="B40" s="13" t="s">
        <v>5272</v>
      </c>
      <c r="C40" s="13">
        <v>1989</v>
      </c>
      <c r="D40" s="13" t="s">
        <v>3661</v>
      </c>
      <c r="E40" s="13" t="s">
        <v>566</v>
      </c>
      <c r="F40" s="13">
        <v>6.585</v>
      </c>
      <c r="G40" s="13" t="s">
        <v>18</v>
      </c>
      <c r="H40" s="13" t="s">
        <v>5273</v>
      </c>
      <c r="I40" s="13" t="s">
        <v>5274</v>
      </c>
      <c r="J40" s="9" t="s">
        <v>5275</v>
      </c>
      <c r="K40" s="13">
        <v>1175</v>
      </c>
    </row>
    <row r="41" spans="1:11" ht="15" customHeight="1" x14ac:dyDescent="0.2">
      <c r="A41" s="15" t="s">
        <v>5276</v>
      </c>
      <c r="B41" s="15" t="s">
        <v>5277</v>
      </c>
      <c r="C41" s="15">
        <v>1938</v>
      </c>
      <c r="D41" s="15" t="s">
        <v>15</v>
      </c>
      <c r="E41" s="15" t="s">
        <v>1052</v>
      </c>
      <c r="F41" s="15">
        <v>7</v>
      </c>
      <c r="G41" s="15" t="s">
        <v>18</v>
      </c>
      <c r="H41" s="15" t="s">
        <v>5278</v>
      </c>
      <c r="I41" s="15" t="s">
        <v>5279</v>
      </c>
      <c r="J41" s="10" t="s">
        <v>5280</v>
      </c>
      <c r="K41" s="15">
        <v>95</v>
      </c>
    </row>
    <row r="42" spans="1:11" ht="15" customHeight="1" x14ac:dyDescent="0.2">
      <c r="A42" s="13" t="s">
        <v>5281</v>
      </c>
      <c r="B42" s="13" t="s">
        <v>5282</v>
      </c>
      <c r="C42" s="13">
        <v>1962</v>
      </c>
      <c r="D42" s="13" t="s">
        <v>15</v>
      </c>
      <c r="E42" s="13" t="s">
        <v>1052</v>
      </c>
      <c r="F42" s="13">
        <v>5.7</v>
      </c>
      <c r="G42" s="13" t="s">
        <v>46</v>
      </c>
      <c r="H42" s="13" t="s">
        <v>5283</v>
      </c>
      <c r="I42" s="13" t="s">
        <v>5284</v>
      </c>
      <c r="J42" s="9" t="s">
        <v>5285</v>
      </c>
      <c r="K42" s="13">
        <v>27</v>
      </c>
    </row>
    <row r="43" spans="1:11" ht="15" customHeight="1" x14ac:dyDescent="0.2">
      <c r="A43" s="13" t="s">
        <v>5286</v>
      </c>
      <c r="B43" s="13" t="s">
        <v>5287</v>
      </c>
      <c r="C43" s="13">
        <v>1961</v>
      </c>
      <c r="D43" s="13" t="s">
        <v>15</v>
      </c>
      <c r="E43" s="13" t="s">
        <v>2265</v>
      </c>
      <c r="F43" s="13">
        <v>7.63</v>
      </c>
      <c r="G43" s="13" t="s">
        <v>77</v>
      </c>
      <c r="H43" s="13" t="s">
        <v>5288</v>
      </c>
      <c r="I43" s="13" t="s">
        <v>5289</v>
      </c>
      <c r="J43" s="9" t="s">
        <v>5290</v>
      </c>
      <c r="K43" s="13">
        <v>4375</v>
      </c>
    </row>
    <row r="44" spans="1:11" ht="15" customHeight="1" x14ac:dyDescent="0.2">
      <c r="A44" s="13" t="s">
        <v>5291</v>
      </c>
      <c r="B44" s="13" t="s">
        <v>5291</v>
      </c>
      <c r="C44" s="13">
        <v>1977</v>
      </c>
      <c r="D44" s="13" t="s">
        <v>350</v>
      </c>
      <c r="E44" s="13" t="s">
        <v>566</v>
      </c>
      <c r="F44" s="13">
        <v>6.5</v>
      </c>
      <c r="G44" s="13" t="s">
        <v>46</v>
      </c>
      <c r="H44" s="13" t="s">
        <v>5292</v>
      </c>
      <c r="I44" s="13" t="s">
        <v>5293</v>
      </c>
      <c r="J44" s="9" t="s">
        <v>5294</v>
      </c>
      <c r="K44" s="13">
        <v>2</v>
      </c>
    </row>
    <row r="45" spans="1:11" ht="15" customHeight="1" x14ac:dyDescent="0.2">
      <c r="A45" s="13" t="s">
        <v>2103</v>
      </c>
      <c r="B45" s="13" t="s">
        <v>2104</v>
      </c>
      <c r="C45" s="13">
        <v>1940</v>
      </c>
      <c r="D45" s="13" t="s">
        <v>15</v>
      </c>
      <c r="E45" s="13" t="s">
        <v>2105</v>
      </c>
      <c r="F45" s="13">
        <v>6.5270000000000001</v>
      </c>
      <c r="G45" s="13" t="s">
        <v>18</v>
      </c>
      <c r="H45" s="13" t="s">
        <v>2106</v>
      </c>
      <c r="I45" s="13" t="s">
        <v>2107</v>
      </c>
      <c r="J45" s="9" t="s">
        <v>2108</v>
      </c>
      <c r="K45" s="13">
        <v>37</v>
      </c>
    </row>
    <row r="46" spans="1:11" ht="15" customHeight="1" x14ac:dyDescent="0.2">
      <c r="A46" s="13" t="s">
        <v>5295</v>
      </c>
      <c r="B46" s="13" t="s">
        <v>5296</v>
      </c>
      <c r="C46" s="13">
        <v>1956</v>
      </c>
      <c r="D46" s="13" t="s">
        <v>15</v>
      </c>
      <c r="E46" s="13" t="s">
        <v>1480</v>
      </c>
      <c r="F46" s="13">
        <v>6.2</v>
      </c>
      <c r="G46" s="13" t="s">
        <v>46</v>
      </c>
      <c r="H46" s="13" t="s">
        <v>5297</v>
      </c>
      <c r="I46" s="13" t="s">
        <v>5298</v>
      </c>
      <c r="J46" s="9" t="s">
        <v>5299</v>
      </c>
      <c r="K46" s="13">
        <v>17</v>
      </c>
    </row>
    <row r="47" spans="1:11" ht="15" customHeight="1" x14ac:dyDescent="0.2">
      <c r="A47" s="13" t="s">
        <v>5300</v>
      </c>
      <c r="B47" s="13" t="s">
        <v>5301</v>
      </c>
      <c r="C47" s="13">
        <v>1933</v>
      </c>
      <c r="D47" s="13" t="s">
        <v>15</v>
      </c>
      <c r="E47" s="13" t="s">
        <v>5302</v>
      </c>
      <c r="F47" s="13">
        <v>5.556</v>
      </c>
      <c r="G47" s="13" t="s">
        <v>46</v>
      </c>
      <c r="H47" s="13" t="s">
        <v>5303</v>
      </c>
      <c r="I47" s="13" t="s">
        <v>5304</v>
      </c>
      <c r="J47" s="9" t="s">
        <v>5305</v>
      </c>
      <c r="K47" s="13">
        <v>18</v>
      </c>
    </row>
    <row r="48" spans="1:11" ht="15" customHeight="1" x14ac:dyDescent="0.2">
      <c r="A48" s="13" t="s">
        <v>5306</v>
      </c>
      <c r="B48" s="13" t="s">
        <v>5307</v>
      </c>
      <c r="C48" s="13">
        <v>1969</v>
      </c>
      <c r="D48" s="13" t="s">
        <v>15</v>
      </c>
      <c r="E48" s="13" t="s">
        <v>1052</v>
      </c>
      <c r="F48" s="13">
        <v>7.1189999999999998</v>
      </c>
      <c r="G48" s="13" t="s">
        <v>18</v>
      </c>
      <c r="H48" s="13" t="s">
        <v>5308</v>
      </c>
      <c r="I48" s="13" t="s">
        <v>5309</v>
      </c>
      <c r="J48" s="9" t="s">
        <v>5310</v>
      </c>
      <c r="K48" s="13">
        <v>231</v>
      </c>
    </row>
    <row r="49" spans="1:11" ht="15" customHeight="1" x14ac:dyDescent="0.2">
      <c r="A49" s="13" t="s">
        <v>5311</v>
      </c>
      <c r="B49" s="13" t="s">
        <v>5312</v>
      </c>
      <c r="C49" s="13">
        <v>1991</v>
      </c>
      <c r="D49" s="13" t="s">
        <v>15</v>
      </c>
      <c r="E49" s="13" t="s">
        <v>468</v>
      </c>
      <c r="F49" s="13">
        <v>7.2519999999999998</v>
      </c>
      <c r="G49" s="13" t="s">
        <v>18</v>
      </c>
      <c r="H49" s="13" t="s">
        <v>5313</v>
      </c>
      <c r="I49" s="13" t="s">
        <v>5314</v>
      </c>
      <c r="J49" s="9" t="s">
        <v>5315</v>
      </c>
      <c r="K49" s="13">
        <v>3703</v>
      </c>
    </row>
    <row r="50" spans="1:11" ht="15" customHeight="1" x14ac:dyDescent="0.2">
      <c r="A50" s="13" t="s">
        <v>5316</v>
      </c>
      <c r="B50" s="13" t="s">
        <v>5316</v>
      </c>
      <c r="C50" s="13">
        <v>1995</v>
      </c>
      <c r="D50" s="13" t="s">
        <v>5317</v>
      </c>
      <c r="E50" s="13" t="s">
        <v>1900</v>
      </c>
      <c r="F50" s="13">
        <v>8</v>
      </c>
      <c r="G50" s="13" t="s">
        <v>77</v>
      </c>
      <c r="H50" s="13" t="s">
        <v>5318</v>
      </c>
      <c r="I50" s="13" t="s">
        <v>5319</v>
      </c>
      <c r="J50" s="9" t="s">
        <v>5320</v>
      </c>
      <c r="K50" s="13">
        <v>6287</v>
      </c>
    </row>
    <row r="51" spans="1:11" ht="15" customHeight="1" x14ac:dyDescent="0.2">
      <c r="A51" s="15" t="s">
        <v>5321</v>
      </c>
      <c r="B51" s="15" t="s">
        <v>5322</v>
      </c>
      <c r="C51" s="15">
        <v>1951</v>
      </c>
      <c r="D51" s="15" t="s">
        <v>15</v>
      </c>
      <c r="E51" s="15" t="s">
        <v>2434</v>
      </c>
      <c r="F51" s="15">
        <v>5.8949999999999996</v>
      </c>
      <c r="G51" s="15" t="s">
        <v>46</v>
      </c>
      <c r="H51" s="15" t="s">
        <v>5323</v>
      </c>
      <c r="I51" s="15" t="s">
        <v>5324</v>
      </c>
      <c r="J51" s="10" t="s">
        <v>5325</v>
      </c>
      <c r="K51" s="15">
        <v>43</v>
      </c>
    </row>
    <row r="52" spans="1:11" ht="15" customHeight="1" x14ac:dyDescent="0.2">
      <c r="A52" s="13" t="s">
        <v>5326</v>
      </c>
      <c r="B52" s="13" t="s">
        <v>5327</v>
      </c>
      <c r="C52" s="13">
        <v>1935</v>
      </c>
      <c r="D52" s="13" t="s">
        <v>15</v>
      </c>
      <c r="E52" s="13" t="s">
        <v>3084</v>
      </c>
      <c r="F52" s="13">
        <v>6.1</v>
      </c>
      <c r="G52" s="13" t="s">
        <v>46</v>
      </c>
      <c r="H52" s="13" t="s">
        <v>5328</v>
      </c>
      <c r="I52" s="13" t="s">
        <v>5329</v>
      </c>
      <c r="J52" s="9" t="s">
        <v>5330</v>
      </c>
      <c r="K52" s="13">
        <v>34</v>
      </c>
    </row>
    <row r="53" spans="1:11" ht="15" customHeight="1" x14ac:dyDescent="0.2">
      <c r="A53" s="13" t="s">
        <v>5331</v>
      </c>
      <c r="B53" s="13" t="s">
        <v>5332</v>
      </c>
      <c r="C53" s="13">
        <v>1951</v>
      </c>
      <c r="D53" s="13" t="s">
        <v>15</v>
      </c>
      <c r="E53" s="13" t="s">
        <v>1578</v>
      </c>
      <c r="F53" s="13">
        <v>6.4550000000000001</v>
      </c>
      <c r="G53" s="13" t="s">
        <v>46</v>
      </c>
      <c r="H53" s="13" t="s">
        <v>5333</v>
      </c>
      <c r="I53" s="13" t="s">
        <v>5334</v>
      </c>
      <c r="J53" s="9" t="s">
        <v>5335</v>
      </c>
      <c r="K53" s="13">
        <v>22</v>
      </c>
    </row>
    <row r="54" spans="1:11" ht="15" customHeight="1" x14ac:dyDescent="0.2">
      <c r="A54" s="13" t="s">
        <v>5336</v>
      </c>
      <c r="B54" s="13" t="s">
        <v>5336</v>
      </c>
      <c r="C54" s="13">
        <v>1941</v>
      </c>
      <c r="D54" s="13" t="s">
        <v>413</v>
      </c>
      <c r="E54" s="13" t="s">
        <v>974</v>
      </c>
      <c r="F54" s="13">
        <v>7.9969999999999999</v>
      </c>
      <c r="G54" s="13" t="s">
        <v>77</v>
      </c>
      <c r="H54" s="13" t="s">
        <v>5337</v>
      </c>
      <c r="I54" s="13" t="s">
        <v>5338</v>
      </c>
      <c r="J54" s="9" t="s">
        <v>5339</v>
      </c>
      <c r="K54" s="13">
        <v>5834</v>
      </c>
    </row>
    <row r="55" spans="1:11" ht="15" customHeight="1" x14ac:dyDescent="0.2">
      <c r="A55" s="13" t="s">
        <v>5340</v>
      </c>
      <c r="B55" s="13" t="s">
        <v>5341</v>
      </c>
      <c r="C55" s="13">
        <v>1985</v>
      </c>
      <c r="D55" s="13" t="s">
        <v>15</v>
      </c>
      <c r="E55" s="13" t="s">
        <v>5342</v>
      </c>
      <c r="F55" s="13">
        <v>7.2</v>
      </c>
      <c r="G55" s="13" t="s">
        <v>18</v>
      </c>
      <c r="H55" s="13" t="s">
        <v>5343</v>
      </c>
      <c r="I55" s="13" t="s">
        <v>5344</v>
      </c>
      <c r="J55" s="9" t="s">
        <v>5345</v>
      </c>
      <c r="K55" s="13">
        <v>1867</v>
      </c>
    </row>
    <row r="56" spans="1:11" ht="15" customHeight="1" x14ac:dyDescent="0.2">
      <c r="A56" s="13" t="s">
        <v>5346</v>
      </c>
      <c r="B56" s="13" t="s">
        <v>5347</v>
      </c>
      <c r="C56" s="13">
        <v>1941</v>
      </c>
      <c r="D56" s="13" t="s">
        <v>15</v>
      </c>
      <c r="E56" s="13" t="s">
        <v>1052</v>
      </c>
      <c r="F56" s="13">
        <v>6.8</v>
      </c>
      <c r="G56" s="13" t="s">
        <v>18</v>
      </c>
      <c r="H56" s="13" t="s">
        <v>5348</v>
      </c>
      <c r="I56" s="13" t="s">
        <v>5349</v>
      </c>
      <c r="J56" s="9" t="s">
        <v>5350</v>
      </c>
      <c r="K56" s="13">
        <v>29</v>
      </c>
    </row>
    <row r="57" spans="1:11" ht="15" customHeight="1" x14ac:dyDescent="0.2">
      <c r="A57" s="13" t="s">
        <v>5351</v>
      </c>
      <c r="B57" s="13" t="s">
        <v>5352</v>
      </c>
      <c r="C57" s="13">
        <v>1965</v>
      </c>
      <c r="D57" s="13" t="s">
        <v>3641</v>
      </c>
      <c r="E57" s="13" t="s">
        <v>5353</v>
      </c>
      <c r="F57" s="13">
        <v>6.9</v>
      </c>
      <c r="G57" s="13" t="s">
        <v>18</v>
      </c>
      <c r="H57" s="13" t="s">
        <v>5354</v>
      </c>
      <c r="I57" s="13" t="s">
        <v>5355</v>
      </c>
      <c r="J57" s="9" t="s">
        <v>5356</v>
      </c>
      <c r="K57" s="13">
        <v>92</v>
      </c>
    </row>
    <row r="58" spans="1:11" ht="15" customHeight="1" x14ac:dyDescent="0.2">
      <c r="A58" s="13" t="s">
        <v>5357</v>
      </c>
      <c r="B58" s="13" t="s">
        <v>5357</v>
      </c>
      <c r="C58" s="13">
        <v>1997</v>
      </c>
      <c r="D58" s="13" t="s">
        <v>15</v>
      </c>
      <c r="E58" s="13" t="s">
        <v>2470</v>
      </c>
      <c r="F58" s="13">
        <v>6.7939999999999996</v>
      </c>
      <c r="G58" s="13" t="s">
        <v>18</v>
      </c>
      <c r="H58" s="13" t="s">
        <v>5358</v>
      </c>
      <c r="I58" s="13" t="s">
        <v>5359</v>
      </c>
      <c r="J58" s="9" t="s">
        <v>5360</v>
      </c>
      <c r="K58" s="13">
        <v>1708</v>
      </c>
    </row>
    <row r="59" spans="1:11" ht="15" customHeight="1" x14ac:dyDescent="0.2">
      <c r="A59" s="13" t="s">
        <v>5361</v>
      </c>
      <c r="B59" s="13" t="s">
        <v>5362</v>
      </c>
      <c r="C59" s="13">
        <v>1948</v>
      </c>
      <c r="D59" s="13" t="s">
        <v>15</v>
      </c>
      <c r="E59" s="13" t="s">
        <v>2082</v>
      </c>
      <c r="F59" s="13">
        <v>6.7359999999999998</v>
      </c>
      <c r="G59" s="13" t="s">
        <v>18</v>
      </c>
      <c r="H59" s="13" t="s">
        <v>5363</v>
      </c>
      <c r="I59" s="13" t="s">
        <v>5364</v>
      </c>
      <c r="J59" s="9" t="s">
        <v>5365</v>
      </c>
      <c r="K59" s="13">
        <v>70</v>
      </c>
    </row>
    <row r="60" spans="1:11" ht="15" customHeight="1" x14ac:dyDescent="0.2">
      <c r="A60" s="13" t="s">
        <v>5366</v>
      </c>
      <c r="B60" s="13" t="s">
        <v>5367</v>
      </c>
      <c r="C60" s="13">
        <v>1958</v>
      </c>
      <c r="D60" s="13" t="s">
        <v>15</v>
      </c>
      <c r="E60" s="13" t="s">
        <v>1863</v>
      </c>
      <c r="F60" s="13">
        <v>6.3</v>
      </c>
      <c r="G60" s="13" t="s">
        <v>46</v>
      </c>
      <c r="H60" s="13" t="s">
        <v>5368</v>
      </c>
      <c r="I60" s="13" t="s">
        <v>5369</v>
      </c>
      <c r="J60" s="9" t="s">
        <v>5370</v>
      </c>
      <c r="K60" s="13">
        <v>25</v>
      </c>
    </row>
    <row r="61" spans="1:11" ht="15" customHeight="1" x14ac:dyDescent="0.2">
      <c r="A61" s="15" t="s">
        <v>5371</v>
      </c>
      <c r="B61" s="15" t="s">
        <v>5371</v>
      </c>
      <c r="C61" s="15">
        <v>1953</v>
      </c>
      <c r="D61" s="15" t="s">
        <v>350</v>
      </c>
      <c r="E61" s="15" t="s">
        <v>399</v>
      </c>
      <c r="F61" s="15">
        <v>0</v>
      </c>
      <c r="G61" s="15"/>
      <c r="H61" s="15" t="s">
        <v>5372</v>
      </c>
      <c r="I61" s="15" t="s">
        <v>5373</v>
      </c>
      <c r="J61" s="10" t="s">
        <v>5374</v>
      </c>
      <c r="K61" s="15">
        <v>0</v>
      </c>
    </row>
    <row r="62" spans="1:11" ht="15" customHeight="1" x14ac:dyDescent="0.2">
      <c r="A62" s="13" t="s">
        <v>5375</v>
      </c>
      <c r="B62" s="13" t="s">
        <v>5376</v>
      </c>
      <c r="C62" s="13">
        <v>1968</v>
      </c>
      <c r="D62" s="13" t="s">
        <v>15</v>
      </c>
      <c r="E62" s="13" t="s">
        <v>566</v>
      </c>
      <c r="F62" s="13">
        <v>4</v>
      </c>
      <c r="G62" s="13" t="s">
        <v>86</v>
      </c>
      <c r="H62" s="13" t="s">
        <v>5377</v>
      </c>
      <c r="I62" s="13" t="s">
        <v>5378</v>
      </c>
      <c r="J62" s="9"/>
      <c r="K62" s="13">
        <v>1</v>
      </c>
    </row>
    <row r="63" spans="1:11" ht="15" customHeight="1" x14ac:dyDescent="0.2">
      <c r="A63" s="13" t="s">
        <v>5379</v>
      </c>
      <c r="B63" s="13" t="s">
        <v>5379</v>
      </c>
      <c r="C63" s="13">
        <v>1960</v>
      </c>
      <c r="D63" s="13" t="s">
        <v>15</v>
      </c>
      <c r="E63" s="13" t="s">
        <v>49</v>
      </c>
      <c r="F63" s="13"/>
      <c r="G63" s="13"/>
      <c r="H63" s="13" t="s">
        <v>5380</v>
      </c>
      <c r="I63" s="13" t="s">
        <v>5381</v>
      </c>
      <c r="J63" s="9" t="s">
        <v>5382</v>
      </c>
      <c r="K63" s="13"/>
    </row>
    <row r="64" spans="1:11" ht="15" customHeight="1" x14ac:dyDescent="0.2">
      <c r="A64" s="13" t="s">
        <v>5383</v>
      </c>
      <c r="B64" s="13" t="s">
        <v>5383</v>
      </c>
      <c r="C64" s="13">
        <v>1964</v>
      </c>
      <c r="D64" s="13" t="s">
        <v>350</v>
      </c>
      <c r="E64" s="13" t="s">
        <v>1270</v>
      </c>
      <c r="F64" s="13">
        <v>10</v>
      </c>
      <c r="G64" s="13" t="s">
        <v>2037</v>
      </c>
      <c r="H64" s="13" t="s">
        <v>5384</v>
      </c>
      <c r="I64" s="13" t="s">
        <v>5385</v>
      </c>
      <c r="J64" s="9" t="s">
        <v>5386</v>
      </c>
      <c r="K64" s="13">
        <v>1</v>
      </c>
    </row>
    <row r="65" spans="1:11" ht="15" customHeight="1" x14ac:dyDescent="0.2">
      <c r="A65" s="13" t="s">
        <v>5387</v>
      </c>
      <c r="B65" s="13" t="s">
        <v>5387</v>
      </c>
      <c r="C65" s="13">
        <v>1997</v>
      </c>
      <c r="D65" s="13" t="s">
        <v>5388</v>
      </c>
      <c r="E65" s="13" t="s">
        <v>881</v>
      </c>
      <c r="F65" s="13">
        <v>8.44</v>
      </c>
      <c r="G65" s="13" t="s">
        <v>77</v>
      </c>
      <c r="H65" s="13" t="s">
        <v>5389</v>
      </c>
      <c r="I65" s="13" t="s">
        <v>5390</v>
      </c>
      <c r="J65" s="9" t="s">
        <v>5391</v>
      </c>
      <c r="K65" s="13">
        <v>13670</v>
      </c>
    </row>
    <row r="66" spans="1:11" ht="15" customHeight="1" x14ac:dyDescent="0.2">
      <c r="A66" s="13" t="s">
        <v>5392</v>
      </c>
      <c r="B66" s="13" t="s">
        <v>5393</v>
      </c>
      <c r="C66" s="13">
        <v>1946</v>
      </c>
      <c r="D66" s="13" t="s">
        <v>3167</v>
      </c>
      <c r="E66" s="13" t="s">
        <v>566</v>
      </c>
      <c r="F66" s="13">
        <v>0</v>
      </c>
      <c r="G66" s="13"/>
      <c r="H66" s="13" t="s">
        <v>5394</v>
      </c>
      <c r="I66" s="13" t="s">
        <v>5395</v>
      </c>
      <c r="J66" s="9" t="s">
        <v>5396</v>
      </c>
      <c r="K66" s="13">
        <v>0</v>
      </c>
    </row>
    <row r="67" spans="1:11" ht="15" customHeight="1" x14ac:dyDescent="0.2">
      <c r="A67" s="13" t="s">
        <v>5397</v>
      </c>
      <c r="B67" s="13" t="s">
        <v>5397</v>
      </c>
      <c r="C67" s="13">
        <v>1975</v>
      </c>
      <c r="D67" s="13" t="s">
        <v>15</v>
      </c>
      <c r="E67" s="13" t="s">
        <v>5398</v>
      </c>
      <c r="F67" s="13">
        <v>6.7</v>
      </c>
      <c r="G67" s="13" t="s">
        <v>18</v>
      </c>
      <c r="H67" s="13" t="s">
        <v>5399</v>
      </c>
      <c r="I67" s="13" t="s">
        <v>5400</v>
      </c>
      <c r="J67" s="9" t="s">
        <v>5401</v>
      </c>
      <c r="K67" s="13">
        <v>70</v>
      </c>
    </row>
    <row r="68" spans="1:11" ht="15" customHeight="1" x14ac:dyDescent="0.2">
      <c r="A68" s="13" t="s">
        <v>5402</v>
      </c>
      <c r="B68" s="13" t="s">
        <v>5403</v>
      </c>
      <c r="C68" s="13">
        <v>1956</v>
      </c>
      <c r="D68" s="13" t="s">
        <v>15</v>
      </c>
      <c r="E68" s="13" t="s">
        <v>49</v>
      </c>
      <c r="F68" s="13">
        <v>5.2</v>
      </c>
      <c r="G68" s="13" t="s">
        <v>28</v>
      </c>
      <c r="H68" s="13" t="s">
        <v>5404</v>
      </c>
      <c r="I68" s="13" t="s">
        <v>5405</v>
      </c>
      <c r="J68" s="9" t="s">
        <v>5406</v>
      </c>
      <c r="K68" s="13">
        <v>20</v>
      </c>
    </row>
    <row r="69" spans="1:11" ht="15" customHeight="1" x14ac:dyDescent="0.2">
      <c r="A69" s="13" t="s">
        <v>5407</v>
      </c>
      <c r="B69" s="13" t="s">
        <v>5408</v>
      </c>
      <c r="C69" s="13">
        <v>1959</v>
      </c>
      <c r="D69" s="13" t="s">
        <v>15</v>
      </c>
      <c r="E69" s="13" t="s">
        <v>934</v>
      </c>
      <c r="F69" s="13">
        <v>6</v>
      </c>
      <c r="G69" s="13" t="s">
        <v>46</v>
      </c>
      <c r="H69" s="13" t="s">
        <v>5409</v>
      </c>
      <c r="I69" s="13" t="s">
        <v>5410</v>
      </c>
      <c r="J69" s="9" t="s">
        <v>5411</v>
      </c>
      <c r="K69" s="13">
        <v>8</v>
      </c>
    </row>
    <row r="70" spans="1:11" ht="15" customHeight="1" x14ac:dyDescent="0.2">
      <c r="A70" s="13" t="s">
        <v>5412</v>
      </c>
      <c r="B70" s="13" t="s">
        <v>5413</v>
      </c>
      <c r="C70" s="13">
        <v>1943</v>
      </c>
      <c r="D70" s="13" t="s">
        <v>15</v>
      </c>
      <c r="E70" s="13" t="s">
        <v>946</v>
      </c>
      <c r="F70" s="13">
        <v>7</v>
      </c>
      <c r="G70" s="13" t="s">
        <v>18</v>
      </c>
      <c r="H70" s="13" t="s">
        <v>5414</v>
      </c>
      <c r="I70" s="13" t="s">
        <v>5415</v>
      </c>
      <c r="J70" s="9" t="s">
        <v>5416</v>
      </c>
      <c r="K70" s="13">
        <v>34</v>
      </c>
    </row>
    <row r="71" spans="1:11" ht="15" customHeight="1" x14ac:dyDescent="0.2">
      <c r="A71" s="15" t="s">
        <v>5417</v>
      </c>
      <c r="B71" s="15" t="s">
        <v>5418</v>
      </c>
      <c r="C71" s="15">
        <v>1989</v>
      </c>
      <c r="D71" s="15" t="s">
        <v>15</v>
      </c>
      <c r="E71" s="15" t="s">
        <v>5419</v>
      </c>
      <c r="F71" s="15">
        <v>6.6</v>
      </c>
      <c r="G71" s="15" t="s">
        <v>18</v>
      </c>
      <c r="H71" s="15" t="s">
        <v>5420</v>
      </c>
      <c r="I71" s="15" t="s">
        <v>5421</v>
      </c>
      <c r="J71" s="10" t="s">
        <v>5422</v>
      </c>
      <c r="K71" s="15">
        <v>798</v>
      </c>
    </row>
    <row r="72" spans="1:11" ht="15" customHeight="1" x14ac:dyDescent="0.2">
      <c r="A72" s="13" t="s">
        <v>5423</v>
      </c>
      <c r="B72" s="13" t="s">
        <v>5423</v>
      </c>
      <c r="C72" s="13">
        <v>1977</v>
      </c>
      <c r="D72" s="13" t="s">
        <v>5424</v>
      </c>
      <c r="E72" s="13" t="s">
        <v>2118</v>
      </c>
      <c r="F72" s="13">
        <v>7.0620000000000003</v>
      </c>
      <c r="G72" s="13" t="s">
        <v>18</v>
      </c>
      <c r="H72" s="13" t="s">
        <v>5425</v>
      </c>
      <c r="I72" s="13" t="s">
        <v>5426</v>
      </c>
      <c r="J72" s="9" t="s">
        <v>5427</v>
      </c>
      <c r="K72" s="13">
        <v>417</v>
      </c>
    </row>
    <row r="73" spans="1:11" ht="15" customHeight="1" x14ac:dyDescent="0.2">
      <c r="A73" s="13" t="s">
        <v>5428</v>
      </c>
      <c r="B73" s="13" t="s">
        <v>5428</v>
      </c>
      <c r="C73" s="13">
        <v>1956</v>
      </c>
      <c r="D73" s="13" t="s">
        <v>15</v>
      </c>
      <c r="E73" s="13" t="s">
        <v>531</v>
      </c>
      <c r="F73" s="13">
        <v>7.1440000000000001</v>
      </c>
      <c r="G73" s="13" t="s">
        <v>18</v>
      </c>
      <c r="H73" s="13" t="s">
        <v>5429</v>
      </c>
      <c r="I73" s="13" t="s">
        <v>5430</v>
      </c>
      <c r="J73" s="9" t="s">
        <v>5431</v>
      </c>
      <c r="K73" s="13">
        <v>592</v>
      </c>
    </row>
    <row r="74" spans="1:11" ht="15" customHeight="1" x14ac:dyDescent="0.2">
      <c r="A74" s="13" t="s">
        <v>5432</v>
      </c>
      <c r="B74" s="13" t="s">
        <v>5433</v>
      </c>
      <c r="C74" s="13">
        <v>1965</v>
      </c>
      <c r="D74" s="13" t="s">
        <v>15</v>
      </c>
      <c r="E74" s="13" t="s">
        <v>399</v>
      </c>
      <c r="F74" s="13">
        <v>0</v>
      </c>
      <c r="G74" s="13"/>
      <c r="H74" s="13" t="s">
        <v>5434</v>
      </c>
      <c r="I74" s="13" t="s">
        <v>5435</v>
      </c>
      <c r="J74" s="9" t="s">
        <v>5436</v>
      </c>
      <c r="K74" s="13">
        <v>0</v>
      </c>
    </row>
    <row r="75" spans="1:11" ht="15" customHeight="1" x14ac:dyDescent="0.2">
      <c r="A75" s="13" t="s">
        <v>5437</v>
      </c>
      <c r="B75" s="13" t="s">
        <v>5437</v>
      </c>
      <c r="C75" s="13">
        <v>1957</v>
      </c>
      <c r="D75" s="13" t="s">
        <v>15</v>
      </c>
      <c r="E75" s="13" t="s">
        <v>49</v>
      </c>
      <c r="F75" s="13">
        <v>0</v>
      </c>
      <c r="G75" s="13"/>
      <c r="H75" s="13" t="s">
        <v>5438</v>
      </c>
      <c r="I75" s="13" t="s">
        <v>5439</v>
      </c>
      <c r="J75" s="9" t="s">
        <v>5440</v>
      </c>
      <c r="K75" s="13">
        <v>0</v>
      </c>
    </row>
    <row r="76" spans="1:11" ht="15" customHeight="1" x14ac:dyDescent="0.2">
      <c r="A76" s="13" t="s">
        <v>5441</v>
      </c>
      <c r="B76" s="13" t="s">
        <v>5442</v>
      </c>
      <c r="C76" s="13">
        <v>1997</v>
      </c>
      <c r="D76" s="13" t="s">
        <v>15</v>
      </c>
      <c r="E76" s="13" t="s">
        <v>531</v>
      </c>
      <c r="F76" s="13">
        <v>0</v>
      </c>
      <c r="G76" s="13"/>
      <c r="H76" s="13" t="s">
        <v>5443</v>
      </c>
      <c r="I76" s="13" t="s">
        <v>5444</v>
      </c>
      <c r="J76" s="9" t="s">
        <v>5445</v>
      </c>
      <c r="K76" s="13">
        <v>0</v>
      </c>
    </row>
    <row r="77" spans="1:11" ht="15" customHeight="1" x14ac:dyDescent="0.2">
      <c r="A77" s="13" t="s">
        <v>2815</v>
      </c>
      <c r="B77" s="13" t="s">
        <v>5446</v>
      </c>
      <c r="C77" s="13">
        <v>1958</v>
      </c>
      <c r="D77" s="13" t="s">
        <v>1316</v>
      </c>
      <c r="E77" s="13" t="s">
        <v>5398</v>
      </c>
      <c r="F77" s="13">
        <v>6</v>
      </c>
      <c r="G77" s="13" t="s">
        <v>46</v>
      </c>
      <c r="H77" s="13" t="s">
        <v>2817</v>
      </c>
      <c r="I77" s="13" t="s">
        <v>5447</v>
      </c>
      <c r="J77" s="9" t="s">
        <v>2819</v>
      </c>
      <c r="K77" s="13">
        <v>28</v>
      </c>
    </row>
    <row r="78" spans="1:11" ht="15" customHeight="1" x14ac:dyDescent="0.2">
      <c r="A78" s="13" t="s">
        <v>5448</v>
      </c>
      <c r="B78" s="13" t="s">
        <v>5449</v>
      </c>
      <c r="C78" s="13">
        <v>1965</v>
      </c>
      <c r="D78" s="13" t="s">
        <v>2047</v>
      </c>
      <c r="E78" s="13" t="s">
        <v>881</v>
      </c>
      <c r="F78" s="13">
        <v>6.2</v>
      </c>
      <c r="G78" s="13" t="s">
        <v>46</v>
      </c>
      <c r="H78" s="13" t="s">
        <v>5450</v>
      </c>
      <c r="I78" s="13" t="s">
        <v>5451</v>
      </c>
      <c r="J78" s="9" t="s">
        <v>5452</v>
      </c>
      <c r="K78" s="13">
        <v>43</v>
      </c>
    </row>
    <row r="79" spans="1:11" ht="15" customHeight="1" x14ac:dyDescent="0.2">
      <c r="A79" s="13" t="s">
        <v>5453</v>
      </c>
      <c r="B79" s="13" t="s">
        <v>5453</v>
      </c>
      <c r="C79" s="13">
        <v>1982</v>
      </c>
      <c r="D79" s="13" t="s">
        <v>350</v>
      </c>
      <c r="E79" s="13" t="s">
        <v>566</v>
      </c>
      <c r="F79" s="13">
        <v>6</v>
      </c>
      <c r="G79" s="13" t="s">
        <v>46</v>
      </c>
      <c r="H79" s="13" t="s">
        <v>5454</v>
      </c>
      <c r="I79" s="13" t="s">
        <v>5455</v>
      </c>
      <c r="J79" s="9" t="s">
        <v>5456</v>
      </c>
      <c r="K79" s="13">
        <v>12</v>
      </c>
    </row>
    <row r="80" spans="1:11" ht="15" customHeight="1" x14ac:dyDescent="0.2">
      <c r="A80" s="13" t="s">
        <v>5457</v>
      </c>
      <c r="B80" s="13" t="s">
        <v>5458</v>
      </c>
      <c r="C80" s="13">
        <v>1943</v>
      </c>
      <c r="D80" s="13" t="s">
        <v>350</v>
      </c>
      <c r="E80" s="13" t="s">
        <v>399</v>
      </c>
      <c r="F80" s="13">
        <v>6.2</v>
      </c>
      <c r="G80" s="13" t="s">
        <v>46</v>
      </c>
      <c r="H80" s="13" t="s">
        <v>5459</v>
      </c>
      <c r="I80" s="13" t="s">
        <v>5460</v>
      </c>
      <c r="J80" s="9" t="s">
        <v>5461</v>
      </c>
      <c r="K80" s="13">
        <v>4</v>
      </c>
    </row>
    <row r="81" spans="1:11" ht="15" customHeight="1" x14ac:dyDescent="0.2">
      <c r="A81" s="15" t="s">
        <v>4430</v>
      </c>
      <c r="B81" s="15" t="s">
        <v>4431</v>
      </c>
      <c r="C81" s="15">
        <v>1994</v>
      </c>
      <c r="D81" s="15" t="s">
        <v>530</v>
      </c>
      <c r="E81" s="15" t="s">
        <v>566</v>
      </c>
      <c r="F81" s="15">
        <v>8.7129999999999992</v>
      </c>
      <c r="G81" s="15" t="s">
        <v>1813</v>
      </c>
      <c r="H81" s="15" t="s">
        <v>4432</v>
      </c>
      <c r="I81" s="15" t="s">
        <v>4433</v>
      </c>
      <c r="J81" s="10" t="s">
        <v>4434</v>
      </c>
      <c r="K81" s="15">
        <v>29361</v>
      </c>
    </row>
    <row r="82" spans="1:11" ht="15" customHeight="1" x14ac:dyDescent="0.2">
      <c r="A82" s="13" t="s">
        <v>5462</v>
      </c>
      <c r="B82" s="13" t="s">
        <v>5462</v>
      </c>
      <c r="C82" s="13">
        <v>1923</v>
      </c>
      <c r="D82" s="13" t="s">
        <v>350</v>
      </c>
      <c r="E82" s="13" t="s">
        <v>566</v>
      </c>
      <c r="F82" s="13">
        <v>5</v>
      </c>
      <c r="G82" s="13" t="s">
        <v>28</v>
      </c>
      <c r="H82" s="13" t="s">
        <v>5463</v>
      </c>
      <c r="I82" s="13" t="s">
        <v>5464</v>
      </c>
      <c r="J82" s="9" t="s">
        <v>5465</v>
      </c>
      <c r="K82" s="13">
        <v>1</v>
      </c>
    </row>
    <row r="83" spans="1:11" ht="15" customHeight="1" x14ac:dyDescent="0.2">
      <c r="A83" s="13" t="s">
        <v>1741</v>
      </c>
      <c r="B83" s="13" t="s">
        <v>1742</v>
      </c>
      <c r="C83" s="13">
        <v>1944</v>
      </c>
      <c r="D83" s="13" t="s">
        <v>2047</v>
      </c>
      <c r="E83" s="13" t="s">
        <v>566</v>
      </c>
      <c r="F83" s="13">
        <v>0</v>
      </c>
      <c r="G83" s="13"/>
      <c r="H83" s="13" t="s">
        <v>1743</v>
      </c>
      <c r="I83" s="13" t="s">
        <v>1744</v>
      </c>
      <c r="J83" s="9" t="s">
        <v>1745</v>
      </c>
      <c r="K83" s="13">
        <v>0</v>
      </c>
    </row>
    <row r="84" spans="1:11" ht="15" customHeight="1" x14ac:dyDescent="0.2">
      <c r="A84" s="13" t="s">
        <v>5466</v>
      </c>
      <c r="B84" s="13" t="s">
        <v>5466</v>
      </c>
      <c r="C84" s="13">
        <v>1950</v>
      </c>
      <c r="D84" s="13" t="s">
        <v>15</v>
      </c>
      <c r="E84" s="13" t="s">
        <v>566</v>
      </c>
      <c r="F84" s="13">
        <v>0</v>
      </c>
      <c r="G84" s="13"/>
      <c r="H84" s="13" t="s">
        <v>5467</v>
      </c>
      <c r="I84" s="13" t="s">
        <v>5468</v>
      </c>
      <c r="J84" s="9" t="s">
        <v>5469</v>
      </c>
      <c r="K84" s="13">
        <v>0</v>
      </c>
    </row>
    <row r="85" spans="1:11" ht="15" customHeight="1" x14ac:dyDescent="0.2">
      <c r="A85" s="13" t="s">
        <v>5470</v>
      </c>
      <c r="B85" s="13" t="s">
        <v>5471</v>
      </c>
      <c r="C85" s="13">
        <v>1975</v>
      </c>
      <c r="D85" s="13" t="s">
        <v>15</v>
      </c>
      <c r="E85" s="13" t="s">
        <v>881</v>
      </c>
      <c r="F85" s="13">
        <v>6.6829999999999998</v>
      </c>
      <c r="G85" s="13" t="s">
        <v>18</v>
      </c>
      <c r="H85" s="13" t="s">
        <v>5472</v>
      </c>
      <c r="I85" s="13" t="s">
        <v>5473</v>
      </c>
      <c r="J85" s="9" t="s">
        <v>5474</v>
      </c>
      <c r="K85" s="13">
        <v>336</v>
      </c>
    </row>
    <row r="86" spans="1:11" ht="15" customHeight="1" x14ac:dyDescent="0.2">
      <c r="A86" s="13" t="s">
        <v>5475</v>
      </c>
      <c r="B86" s="13" t="s">
        <v>5475</v>
      </c>
      <c r="C86" s="13">
        <v>1980</v>
      </c>
      <c r="D86" s="13" t="s">
        <v>3641</v>
      </c>
      <c r="E86" s="13" t="s">
        <v>2470</v>
      </c>
      <c r="F86" s="13">
        <v>6.5</v>
      </c>
      <c r="G86" s="13" t="s">
        <v>46</v>
      </c>
      <c r="H86" s="13" t="s">
        <v>5476</v>
      </c>
      <c r="I86" s="13" t="s">
        <v>5477</v>
      </c>
      <c r="J86" s="9" t="s">
        <v>5478</v>
      </c>
      <c r="K86" s="13">
        <v>12</v>
      </c>
    </row>
    <row r="87" spans="1:11" ht="15" customHeight="1" x14ac:dyDescent="0.2">
      <c r="A87" s="13" t="s">
        <v>5479</v>
      </c>
      <c r="B87" s="13" t="s">
        <v>5480</v>
      </c>
      <c r="C87" s="13">
        <v>1962</v>
      </c>
      <c r="D87" s="13" t="s">
        <v>5481</v>
      </c>
      <c r="E87" s="13" t="s">
        <v>251</v>
      </c>
      <c r="F87" s="13">
        <v>0</v>
      </c>
      <c r="G87" s="13"/>
      <c r="H87" s="13" t="s">
        <v>5482</v>
      </c>
      <c r="I87" s="13" t="s">
        <v>5483</v>
      </c>
      <c r="J87" s="9" t="s">
        <v>5484</v>
      </c>
      <c r="K87" s="13">
        <v>0</v>
      </c>
    </row>
    <row r="88" spans="1:11" ht="15" customHeight="1" x14ac:dyDescent="0.2">
      <c r="A88" s="13" t="s">
        <v>5485</v>
      </c>
      <c r="B88" s="13" t="s">
        <v>5486</v>
      </c>
      <c r="C88" s="13">
        <v>1950</v>
      </c>
      <c r="D88" s="13" t="s">
        <v>2047</v>
      </c>
      <c r="E88" s="13" t="s">
        <v>881</v>
      </c>
      <c r="F88" s="13">
        <v>8.0280000000000005</v>
      </c>
      <c r="G88" s="13" t="s">
        <v>77</v>
      </c>
      <c r="H88" s="13" t="s">
        <v>5487</v>
      </c>
      <c r="I88" s="13" t="s">
        <v>49</v>
      </c>
      <c r="J88" s="9" t="s">
        <v>5488</v>
      </c>
      <c r="K88" s="13">
        <v>514</v>
      </c>
    </row>
    <row r="89" spans="1:11" ht="15" customHeight="1" x14ac:dyDescent="0.2">
      <c r="A89" s="13" t="s">
        <v>5489</v>
      </c>
      <c r="B89" s="13" t="s">
        <v>5489</v>
      </c>
      <c r="C89" s="13">
        <v>1956</v>
      </c>
      <c r="D89" s="13" t="s">
        <v>2047</v>
      </c>
      <c r="E89" s="13" t="s">
        <v>566</v>
      </c>
      <c r="F89" s="13">
        <v>8</v>
      </c>
      <c r="G89" s="13" t="s">
        <v>77</v>
      </c>
      <c r="H89" s="13" t="s">
        <v>5490</v>
      </c>
      <c r="I89" s="13" t="s">
        <v>5491</v>
      </c>
      <c r="J89" s="9" t="s">
        <v>5492</v>
      </c>
      <c r="K89" s="13">
        <v>1</v>
      </c>
    </row>
    <row r="90" spans="1:11" ht="15" customHeight="1" x14ac:dyDescent="0.2">
      <c r="A90" s="13" t="s">
        <v>5493</v>
      </c>
      <c r="B90" s="13" t="s">
        <v>5494</v>
      </c>
      <c r="C90" s="13">
        <v>1938</v>
      </c>
      <c r="D90" s="13" t="s">
        <v>15</v>
      </c>
      <c r="E90" s="13" t="s">
        <v>566</v>
      </c>
      <c r="F90" s="13">
        <v>6.452</v>
      </c>
      <c r="G90" s="13" t="s">
        <v>18</v>
      </c>
      <c r="H90" s="13" t="s">
        <v>5495</v>
      </c>
      <c r="I90" s="13" t="s">
        <v>5496</v>
      </c>
      <c r="J90" s="9"/>
      <c r="K90" s="13">
        <v>31</v>
      </c>
    </row>
    <row r="91" spans="1:11" ht="15" customHeight="1" x14ac:dyDescent="0.2">
      <c r="A91" s="15" t="s">
        <v>5497</v>
      </c>
      <c r="B91" s="15" t="s">
        <v>5498</v>
      </c>
      <c r="C91" s="15">
        <v>1967</v>
      </c>
      <c r="D91" s="15" t="s">
        <v>15</v>
      </c>
      <c r="E91" s="15" t="s">
        <v>1270</v>
      </c>
      <c r="F91" s="15">
        <v>5.6</v>
      </c>
      <c r="G91" s="15" t="s">
        <v>46</v>
      </c>
      <c r="H91" s="15" t="s">
        <v>5499</v>
      </c>
      <c r="I91" s="15" t="s">
        <v>5500</v>
      </c>
      <c r="J91" s="10"/>
      <c r="K91" s="15">
        <v>24</v>
      </c>
    </row>
    <row r="92" spans="1:11" ht="15" customHeight="1" x14ac:dyDescent="0.2">
      <c r="A92" s="13" t="s">
        <v>5501</v>
      </c>
      <c r="B92" s="13" t="s">
        <v>5502</v>
      </c>
      <c r="C92" s="13">
        <v>1961</v>
      </c>
      <c r="D92" s="13" t="s">
        <v>191</v>
      </c>
      <c r="E92" s="13" t="s">
        <v>928</v>
      </c>
      <c r="F92" s="13">
        <v>7.8810000000000002</v>
      </c>
      <c r="G92" s="13" t="s">
        <v>77</v>
      </c>
      <c r="H92" s="13" t="s">
        <v>5503</v>
      </c>
      <c r="I92" s="13" t="s">
        <v>5504</v>
      </c>
      <c r="J92" s="9" t="s">
        <v>5505</v>
      </c>
      <c r="K92" s="13">
        <v>509</v>
      </c>
    </row>
    <row r="93" spans="1:11" ht="15" customHeight="1" x14ac:dyDescent="0.2">
      <c r="A93" s="13" t="s">
        <v>5506</v>
      </c>
      <c r="B93" s="13" t="s">
        <v>5507</v>
      </c>
      <c r="C93" s="13">
        <v>1967</v>
      </c>
      <c r="D93" s="13" t="s">
        <v>1316</v>
      </c>
      <c r="E93" s="13" t="s">
        <v>1270</v>
      </c>
      <c r="F93" s="13">
        <v>6.64</v>
      </c>
      <c r="G93" s="13" t="s">
        <v>18</v>
      </c>
      <c r="H93" s="13" t="s">
        <v>5508</v>
      </c>
      <c r="I93" s="13" t="s">
        <v>5509</v>
      </c>
      <c r="J93" s="9" t="s">
        <v>5510</v>
      </c>
      <c r="K93" s="13">
        <v>57</v>
      </c>
    </row>
    <row r="94" spans="1:11" ht="15" customHeight="1" x14ac:dyDescent="0.2">
      <c r="A94" s="13" t="s">
        <v>5511</v>
      </c>
      <c r="B94" s="13" t="s">
        <v>5512</v>
      </c>
      <c r="C94" s="13">
        <v>1964</v>
      </c>
      <c r="D94" s="13" t="s">
        <v>15</v>
      </c>
      <c r="E94" s="13" t="s">
        <v>399</v>
      </c>
      <c r="F94" s="13">
        <v>6.9</v>
      </c>
      <c r="G94" s="13" t="s">
        <v>18</v>
      </c>
      <c r="H94" s="13" t="s">
        <v>5513</v>
      </c>
      <c r="I94" s="13" t="s">
        <v>5514</v>
      </c>
      <c r="J94" s="9" t="s">
        <v>5515</v>
      </c>
      <c r="K94" s="13">
        <v>110</v>
      </c>
    </row>
    <row r="95" spans="1:11" ht="15" customHeight="1" x14ac:dyDescent="0.2">
      <c r="A95" s="13" t="s">
        <v>4606</v>
      </c>
      <c r="B95" s="13" t="s">
        <v>4607</v>
      </c>
      <c r="C95" s="13">
        <v>1955</v>
      </c>
      <c r="D95" s="13" t="s">
        <v>15</v>
      </c>
      <c r="E95" s="13" t="s">
        <v>566</v>
      </c>
      <c r="F95" s="13">
        <v>7.5389999999999997</v>
      </c>
      <c r="G95" s="13" t="s">
        <v>77</v>
      </c>
      <c r="H95" s="13" t="s">
        <v>4608</v>
      </c>
      <c r="I95" s="13" t="s">
        <v>4609</v>
      </c>
      <c r="J95" s="9" t="s">
        <v>4610</v>
      </c>
      <c r="K95" s="13">
        <v>787</v>
      </c>
    </row>
    <row r="96" spans="1:11" ht="15" customHeight="1" x14ac:dyDescent="0.2">
      <c r="A96" s="13" t="s">
        <v>5516</v>
      </c>
      <c r="B96" s="13" t="s">
        <v>5516</v>
      </c>
      <c r="C96" s="13">
        <v>1955</v>
      </c>
      <c r="D96" s="13" t="s">
        <v>15</v>
      </c>
      <c r="E96" s="13" t="s">
        <v>5398</v>
      </c>
      <c r="F96" s="13">
        <v>3</v>
      </c>
      <c r="G96" s="13" t="s">
        <v>169</v>
      </c>
      <c r="H96" s="13" t="s">
        <v>5517</v>
      </c>
      <c r="I96" s="13" t="s">
        <v>5518</v>
      </c>
      <c r="J96" s="9" t="s">
        <v>5519</v>
      </c>
      <c r="K96" s="13">
        <v>3</v>
      </c>
    </row>
    <row r="97" spans="1:11" ht="15" customHeight="1" x14ac:dyDescent="0.2">
      <c r="A97" s="13" t="s">
        <v>5520</v>
      </c>
      <c r="B97" s="13" t="s">
        <v>5521</v>
      </c>
      <c r="C97" s="13">
        <v>1950</v>
      </c>
      <c r="D97" s="13" t="s">
        <v>15</v>
      </c>
      <c r="E97" s="13" t="s">
        <v>399</v>
      </c>
      <c r="F97" s="13">
        <v>0</v>
      </c>
      <c r="G97" s="13"/>
      <c r="H97" s="13" t="s">
        <v>5522</v>
      </c>
      <c r="I97" s="13" t="s">
        <v>5523</v>
      </c>
      <c r="J97" s="9" t="s">
        <v>5524</v>
      </c>
      <c r="K97" s="13">
        <v>0</v>
      </c>
    </row>
    <row r="98" spans="1:11" ht="15" customHeight="1" x14ac:dyDescent="0.2">
      <c r="A98" s="13" t="s">
        <v>5525</v>
      </c>
      <c r="B98" s="13" t="s">
        <v>5525</v>
      </c>
      <c r="C98" s="13">
        <v>1949</v>
      </c>
      <c r="D98" s="13" t="s">
        <v>350</v>
      </c>
      <c r="E98" s="13" t="s">
        <v>399</v>
      </c>
      <c r="F98" s="13"/>
      <c r="G98" s="13"/>
      <c r="H98" s="13" t="s">
        <v>5526</v>
      </c>
      <c r="I98" s="13" t="s">
        <v>5527</v>
      </c>
      <c r="J98" s="9"/>
      <c r="K98" s="13"/>
    </row>
    <row r="99" spans="1:11" ht="15" customHeight="1" x14ac:dyDescent="0.2">
      <c r="A99" s="13" t="s">
        <v>5528</v>
      </c>
      <c r="B99" s="13" t="s">
        <v>5529</v>
      </c>
      <c r="C99" s="13">
        <v>1987</v>
      </c>
      <c r="D99" s="13" t="s">
        <v>15</v>
      </c>
      <c r="E99" s="13" t="s">
        <v>5530</v>
      </c>
      <c r="F99" s="13">
        <v>5.2539999999999996</v>
      </c>
      <c r="G99" s="13" t="s">
        <v>28</v>
      </c>
      <c r="H99" s="13" t="s">
        <v>5531</v>
      </c>
      <c r="I99" s="13" t="s">
        <v>5532</v>
      </c>
      <c r="J99" s="9" t="s">
        <v>5533</v>
      </c>
      <c r="K99" s="13">
        <v>177</v>
      </c>
    </row>
    <row r="100" spans="1:11" ht="15" customHeight="1" x14ac:dyDescent="0.2">
      <c r="A100" s="13" t="s">
        <v>5534</v>
      </c>
      <c r="B100" s="13" t="s">
        <v>5535</v>
      </c>
      <c r="C100" s="13">
        <v>1963</v>
      </c>
      <c r="D100" s="13" t="s">
        <v>15</v>
      </c>
      <c r="E100" s="13" t="s">
        <v>49</v>
      </c>
      <c r="F100" s="13">
        <v>0</v>
      </c>
      <c r="G100" s="13"/>
      <c r="H100" s="13" t="s">
        <v>5536</v>
      </c>
      <c r="I100" s="13" t="s">
        <v>5537</v>
      </c>
      <c r="J100" s="9" t="s">
        <v>5538</v>
      </c>
      <c r="K100" s="13">
        <v>0</v>
      </c>
    </row>
    <row r="101" spans="1:11" ht="15" customHeight="1" x14ac:dyDescent="0.2">
      <c r="A101" s="15" t="s">
        <v>5539</v>
      </c>
      <c r="B101" s="15" t="s">
        <v>5540</v>
      </c>
      <c r="C101" s="15">
        <v>1956</v>
      </c>
      <c r="D101" s="15" t="s">
        <v>927</v>
      </c>
      <c r="E101" s="15" t="s">
        <v>1024</v>
      </c>
      <c r="F101" s="15">
        <v>6</v>
      </c>
      <c r="G101" s="15" t="s">
        <v>46</v>
      </c>
      <c r="H101" s="15" t="s">
        <v>5541</v>
      </c>
      <c r="I101" s="15" t="s">
        <v>5542</v>
      </c>
      <c r="J101" s="10" t="s">
        <v>5543</v>
      </c>
      <c r="K101" s="15">
        <v>242</v>
      </c>
    </row>
    <row r="102" spans="1:11" ht="15" customHeight="1" x14ac:dyDescent="0.2">
      <c r="A102" s="13" t="s">
        <v>5544</v>
      </c>
      <c r="B102" s="13" t="s">
        <v>5545</v>
      </c>
      <c r="C102" s="13">
        <v>1998</v>
      </c>
      <c r="D102" s="13" t="s">
        <v>15</v>
      </c>
      <c r="E102" s="13" t="s">
        <v>531</v>
      </c>
      <c r="F102" s="13">
        <v>0</v>
      </c>
      <c r="G102" s="13"/>
      <c r="H102" s="13" t="s">
        <v>5546</v>
      </c>
      <c r="I102" s="13" t="s">
        <v>5547</v>
      </c>
      <c r="J102" s="9" t="s">
        <v>3201</v>
      </c>
      <c r="K102" s="13">
        <v>0</v>
      </c>
    </row>
    <row r="103" spans="1:11" ht="15" customHeight="1" x14ac:dyDescent="0.2">
      <c r="A103" s="13" t="s">
        <v>5548</v>
      </c>
      <c r="B103" s="13" t="s">
        <v>5549</v>
      </c>
      <c r="C103" s="13">
        <v>1980</v>
      </c>
      <c r="D103" s="13" t="s">
        <v>15</v>
      </c>
      <c r="E103" s="13" t="s">
        <v>1298</v>
      </c>
      <c r="F103" s="13">
        <v>6.4210000000000003</v>
      </c>
      <c r="G103" s="13" t="s">
        <v>46</v>
      </c>
      <c r="H103" s="13" t="s">
        <v>5550</v>
      </c>
      <c r="I103" s="13" t="s">
        <v>5551</v>
      </c>
      <c r="J103" s="9" t="s">
        <v>5552</v>
      </c>
      <c r="K103" s="13">
        <v>485</v>
      </c>
    </row>
    <row r="104" spans="1:11" ht="15" customHeight="1" x14ac:dyDescent="0.2">
      <c r="A104" s="13" t="s">
        <v>5553</v>
      </c>
      <c r="B104" s="13" t="s">
        <v>5554</v>
      </c>
      <c r="C104" s="13">
        <v>1952</v>
      </c>
      <c r="D104" s="13" t="s">
        <v>5555</v>
      </c>
      <c r="E104" s="13" t="s">
        <v>5556</v>
      </c>
      <c r="F104" s="13">
        <v>6.69</v>
      </c>
      <c r="G104" s="13" t="s">
        <v>18</v>
      </c>
      <c r="H104" s="13" t="s">
        <v>5557</v>
      </c>
      <c r="I104" s="13" t="s">
        <v>5558</v>
      </c>
      <c r="J104" s="9" t="s">
        <v>5559</v>
      </c>
      <c r="K104" s="13">
        <v>121</v>
      </c>
    </row>
    <row r="105" spans="1:11" ht="15" customHeight="1" x14ac:dyDescent="0.2">
      <c r="A105" s="13" t="s">
        <v>5560</v>
      </c>
      <c r="B105" s="13" t="s">
        <v>5560</v>
      </c>
      <c r="C105" s="13">
        <v>1961</v>
      </c>
      <c r="D105" s="13" t="s">
        <v>15</v>
      </c>
      <c r="E105" s="13" t="s">
        <v>1358</v>
      </c>
      <c r="F105" s="13">
        <v>6.7</v>
      </c>
      <c r="G105" s="13" t="s">
        <v>18</v>
      </c>
      <c r="H105" s="13" t="s">
        <v>5561</v>
      </c>
      <c r="I105" s="13" t="s">
        <v>5562</v>
      </c>
      <c r="J105" s="9" t="s">
        <v>5563</v>
      </c>
      <c r="K105" s="13">
        <v>40</v>
      </c>
    </row>
    <row r="106" spans="1:11" ht="15" customHeight="1" x14ac:dyDescent="0.2">
      <c r="A106" s="13" t="s">
        <v>5564</v>
      </c>
      <c r="B106" s="13" t="s">
        <v>5565</v>
      </c>
      <c r="C106" s="13">
        <v>1974</v>
      </c>
      <c r="D106" s="13" t="s">
        <v>15</v>
      </c>
      <c r="E106" s="13" t="s">
        <v>5566</v>
      </c>
      <c r="F106" s="13">
        <v>2</v>
      </c>
      <c r="G106" s="13" t="s">
        <v>1310</v>
      </c>
      <c r="H106" s="13" t="s">
        <v>5567</v>
      </c>
      <c r="I106" s="13" t="s">
        <v>5568</v>
      </c>
      <c r="J106" s="9" t="s">
        <v>5569</v>
      </c>
      <c r="K106" s="13">
        <v>2</v>
      </c>
    </row>
    <row r="107" spans="1:11" ht="15" customHeight="1" x14ac:dyDescent="0.2">
      <c r="A107" s="13" t="s">
        <v>5570</v>
      </c>
      <c r="B107" s="13" t="s">
        <v>5571</v>
      </c>
      <c r="C107" s="13">
        <v>1959</v>
      </c>
      <c r="D107" s="13" t="s">
        <v>15</v>
      </c>
      <c r="E107" s="13" t="s">
        <v>566</v>
      </c>
      <c r="F107" s="13">
        <v>5.5</v>
      </c>
      <c r="G107" s="13" t="s">
        <v>46</v>
      </c>
      <c r="H107" s="13" t="s">
        <v>5572</v>
      </c>
      <c r="I107" s="13" t="s">
        <v>5573</v>
      </c>
      <c r="J107" s="9" t="s">
        <v>5574</v>
      </c>
      <c r="K107" s="13">
        <v>13</v>
      </c>
    </row>
    <row r="108" spans="1:11" ht="15" customHeight="1" x14ac:dyDescent="0.2">
      <c r="A108" s="13" t="s">
        <v>5575</v>
      </c>
      <c r="B108" s="13" t="s">
        <v>5576</v>
      </c>
      <c r="C108" s="13">
        <v>1949</v>
      </c>
      <c r="D108" s="13" t="s">
        <v>15</v>
      </c>
      <c r="E108" s="13" t="s">
        <v>1024</v>
      </c>
      <c r="F108" s="13">
        <v>7</v>
      </c>
      <c r="G108" s="13" t="s">
        <v>18</v>
      </c>
      <c r="H108" s="13" t="s">
        <v>5577</v>
      </c>
      <c r="I108" s="13" t="s">
        <v>5578</v>
      </c>
      <c r="J108" s="9" t="s">
        <v>5579</v>
      </c>
      <c r="K108" s="13">
        <v>57</v>
      </c>
    </row>
    <row r="109" spans="1:11" ht="15" customHeight="1" x14ac:dyDescent="0.2">
      <c r="A109" s="13" t="s">
        <v>5580</v>
      </c>
      <c r="B109" s="13" t="s">
        <v>5581</v>
      </c>
      <c r="C109" s="13">
        <v>1974</v>
      </c>
      <c r="D109" s="13" t="s">
        <v>15</v>
      </c>
      <c r="E109" s="13" t="s">
        <v>1270</v>
      </c>
      <c r="F109" s="13">
        <v>5.6</v>
      </c>
      <c r="G109" s="13" t="s">
        <v>46</v>
      </c>
      <c r="H109" s="13" t="s">
        <v>5582</v>
      </c>
      <c r="I109" s="13" t="s">
        <v>5583</v>
      </c>
      <c r="J109" s="9" t="s">
        <v>5584</v>
      </c>
      <c r="K109" s="13">
        <v>24</v>
      </c>
    </row>
    <row r="110" spans="1:11" ht="15" customHeight="1" x14ac:dyDescent="0.2">
      <c r="A110" s="13" t="s">
        <v>5585</v>
      </c>
      <c r="B110" s="13" t="s">
        <v>5586</v>
      </c>
      <c r="C110" s="13">
        <v>1943</v>
      </c>
      <c r="D110" s="13" t="s">
        <v>15</v>
      </c>
      <c r="E110" s="13" t="s">
        <v>2287</v>
      </c>
      <c r="F110" s="13">
        <v>7.4</v>
      </c>
      <c r="G110" s="13" t="s">
        <v>18</v>
      </c>
      <c r="H110" s="13" t="s">
        <v>5587</v>
      </c>
      <c r="I110" s="13" t="s">
        <v>5588</v>
      </c>
      <c r="J110" s="9"/>
      <c r="K110" s="13">
        <v>11</v>
      </c>
    </row>
    <row r="111" spans="1:11" ht="15" customHeight="1" x14ac:dyDescent="0.2">
      <c r="A111" s="15" t="s">
        <v>772</v>
      </c>
      <c r="B111" s="15" t="s">
        <v>772</v>
      </c>
      <c r="C111" s="15">
        <v>1972</v>
      </c>
      <c r="D111" s="15" t="s">
        <v>3616</v>
      </c>
      <c r="E111" s="15" t="s">
        <v>1510</v>
      </c>
      <c r="F111" s="15">
        <v>7.0979999999999999</v>
      </c>
      <c r="G111" s="15" t="s">
        <v>18</v>
      </c>
      <c r="H111" s="15" t="s">
        <v>5589</v>
      </c>
      <c r="I111" s="15" t="s">
        <v>5590</v>
      </c>
      <c r="J111" s="10" t="s">
        <v>5591</v>
      </c>
      <c r="K111" s="15">
        <v>976</v>
      </c>
    </row>
    <row r="112" spans="1:11" ht="15" customHeight="1" x14ac:dyDescent="0.2">
      <c r="A112" s="13" t="s">
        <v>5592</v>
      </c>
      <c r="B112" s="13" t="s">
        <v>5593</v>
      </c>
      <c r="C112" s="13">
        <v>1937</v>
      </c>
      <c r="D112" s="13" t="s">
        <v>15</v>
      </c>
      <c r="E112" s="13" t="s">
        <v>675</v>
      </c>
      <c r="F112" s="13">
        <v>0</v>
      </c>
      <c r="G112" s="13"/>
      <c r="H112" s="13" t="s">
        <v>5594</v>
      </c>
      <c r="I112" s="13" t="s">
        <v>5595</v>
      </c>
      <c r="J112" s="9" t="s">
        <v>5596</v>
      </c>
      <c r="K112" s="13">
        <v>0</v>
      </c>
    </row>
    <row r="113" spans="1:11" ht="15" customHeight="1" x14ac:dyDescent="0.2">
      <c r="A113" s="13" t="s">
        <v>5597</v>
      </c>
      <c r="B113" s="13" t="s">
        <v>5598</v>
      </c>
      <c r="C113" s="13">
        <v>1980</v>
      </c>
      <c r="D113" s="13" t="s">
        <v>15</v>
      </c>
      <c r="E113" s="13" t="s">
        <v>5599</v>
      </c>
      <c r="F113" s="13">
        <v>6</v>
      </c>
      <c r="G113" s="13" t="s">
        <v>46</v>
      </c>
      <c r="H113" s="13" t="s">
        <v>5600</v>
      </c>
      <c r="I113" s="13" t="s">
        <v>5601</v>
      </c>
      <c r="J113" s="9" t="s">
        <v>5602</v>
      </c>
      <c r="K113" s="13">
        <v>11</v>
      </c>
    </row>
    <row r="114" spans="1:11" ht="15" customHeight="1" x14ac:dyDescent="0.2">
      <c r="A114" s="13" t="s">
        <v>5603</v>
      </c>
      <c r="B114" s="13" t="s">
        <v>5604</v>
      </c>
      <c r="C114" s="13">
        <v>1961</v>
      </c>
      <c r="D114" s="13" t="s">
        <v>15</v>
      </c>
      <c r="E114" s="13" t="s">
        <v>1480</v>
      </c>
      <c r="F114" s="13">
        <v>4.5999999999999996</v>
      </c>
      <c r="G114" s="13" t="s">
        <v>28</v>
      </c>
      <c r="H114" s="13" t="s">
        <v>5605</v>
      </c>
      <c r="I114" s="13" t="s">
        <v>5606</v>
      </c>
      <c r="J114" s="9"/>
      <c r="K114" s="13">
        <v>12</v>
      </c>
    </row>
    <row r="115" spans="1:11" ht="15" customHeight="1" x14ac:dyDescent="0.2">
      <c r="A115" s="13" t="s">
        <v>5607</v>
      </c>
      <c r="B115" s="13" t="s">
        <v>5608</v>
      </c>
      <c r="C115" s="13">
        <v>1963</v>
      </c>
      <c r="D115" s="13" t="s">
        <v>15</v>
      </c>
      <c r="E115" s="13" t="s">
        <v>1052</v>
      </c>
      <c r="F115" s="13">
        <v>4.8</v>
      </c>
      <c r="G115" s="13" t="s">
        <v>28</v>
      </c>
      <c r="H115" s="13" t="s">
        <v>5609</v>
      </c>
      <c r="I115" s="13" t="s">
        <v>5610</v>
      </c>
      <c r="J115" s="9" t="s">
        <v>5611</v>
      </c>
      <c r="K115" s="13">
        <v>12</v>
      </c>
    </row>
    <row r="116" spans="1:11" ht="15" customHeight="1" x14ac:dyDescent="0.2">
      <c r="A116" s="13" t="s">
        <v>5612</v>
      </c>
      <c r="B116" s="13" t="s">
        <v>5612</v>
      </c>
      <c r="C116" s="13">
        <v>1956</v>
      </c>
      <c r="D116" s="13" t="s">
        <v>15</v>
      </c>
      <c r="E116" s="13" t="s">
        <v>881</v>
      </c>
      <c r="F116" s="13">
        <v>7.6120000000000001</v>
      </c>
      <c r="G116" s="13" t="s">
        <v>77</v>
      </c>
      <c r="H116" s="13" t="s">
        <v>5613</v>
      </c>
      <c r="I116" s="13" t="s">
        <v>5614</v>
      </c>
      <c r="J116" s="9" t="s">
        <v>5615</v>
      </c>
      <c r="K116" s="13">
        <v>727</v>
      </c>
    </row>
    <row r="117" spans="1:11" ht="15" customHeight="1" x14ac:dyDescent="0.2">
      <c r="A117" s="13" t="s">
        <v>5616</v>
      </c>
      <c r="B117" s="13" t="s">
        <v>5617</v>
      </c>
      <c r="C117" s="13">
        <v>1953</v>
      </c>
      <c r="D117" s="13" t="s">
        <v>15</v>
      </c>
      <c r="E117" s="13" t="s">
        <v>1595</v>
      </c>
      <c r="F117" s="13">
        <v>5.3</v>
      </c>
      <c r="G117" s="13" t="s">
        <v>28</v>
      </c>
      <c r="H117" s="13" t="s">
        <v>5618</v>
      </c>
      <c r="I117" s="13" t="s">
        <v>5619</v>
      </c>
      <c r="J117" s="9"/>
      <c r="K117" s="13">
        <v>17</v>
      </c>
    </row>
    <row r="118" spans="1:11" ht="15" customHeight="1" x14ac:dyDescent="0.2">
      <c r="A118" s="13" t="s">
        <v>5620</v>
      </c>
      <c r="B118" s="13" t="s">
        <v>5621</v>
      </c>
      <c r="C118" s="13">
        <v>1944</v>
      </c>
      <c r="D118" s="13" t="s">
        <v>15</v>
      </c>
      <c r="E118" s="13" t="s">
        <v>5622</v>
      </c>
      <c r="F118" s="13">
        <v>6.7</v>
      </c>
      <c r="G118" s="13" t="s">
        <v>18</v>
      </c>
      <c r="H118" s="13" t="s">
        <v>5623</v>
      </c>
      <c r="I118" s="13" t="s">
        <v>5624</v>
      </c>
      <c r="J118" s="9" t="s">
        <v>5625</v>
      </c>
      <c r="K118" s="13">
        <v>186</v>
      </c>
    </row>
    <row r="119" spans="1:11" ht="15" customHeight="1" x14ac:dyDescent="0.2">
      <c r="A119" s="13" t="s">
        <v>5626</v>
      </c>
      <c r="B119" s="13" t="s">
        <v>5626</v>
      </c>
      <c r="C119" s="13">
        <v>1957</v>
      </c>
      <c r="D119" s="13" t="s">
        <v>350</v>
      </c>
      <c r="E119" s="13" t="s">
        <v>5627</v>
      </c>
      <c r="F119" s="13">
        <v>5</v>
      </c>
      <c r="G119" s="13" t="s">
        <v>28</v>
      </c>
      <c r="H119" s="13" t="s">
        <v>5628</v>
      </c>
      <c r="I119" s="13" t="s">
        <v>5629</v>
      </c>
      <c r="J119" s="9" t="s">
        <v>5630</v>
      </c>
      <c r="K119" s="13">
        <v>4</v>
      </c>
    </row>
    <row r="120" spans="1:11" ht="15" customHeight="1" x14ac:dyDescent="0.2">
      <c r="A120" s="13" t="s">
        <v>5631</v>
      </c>
      <c r="B120" s="13" t="s">
        <v>5632</v>
      </c>
      <c r="C120" s="13">
        <v>1940</v>
      </c>
      <c r="D120" s="13" t="s">
        <v>15</v>
      </c>
      <c r="E120" s="13" t="s">
        <v>1474</v>
      </c>
      <c r="F120" s="13"/>
      <c r="G120" s="13"/>
      <c r="H120" s="13" t="s">
        <v>5633</v>
      </c>
      <c r="I120" s="13"/>
      <c r="J120" s="9" t="s">
        <v>5634</v>
      </c>
      <c r="K120" s="13"/>
    </row>
    <row r="121" spans="1:11" ht="15" customHeight="1" x14ac:dyDescent="0.2">
      <c r="A121" s="15" t="s">
        <v>5635</v>
      </c>
      <c r="B121" s="15" t="s">
        <v>5635</v>
      </c>
      <c r="C121" s="15">
        <v>1958</v>
      </c>
      <c r="D121" s="15" t="s">
        <v>15</v>
      </c>
      <c r="E121" s="15" t="s">
        <v>566</v>
      </c>
      <c r="F121" s="15">
        <v>0</v>
      </c>
      <c r="G121" s="15"/>
      <c r="H121" s="15" t="s">
        <v>5636</v>
      </c>
      <c r="I121" s="15" t="s">
        <v>5637</v>
      </c>
      <c r="J121" s="10" t="s">
        <v>5638</v>
      </c>
      <c r="K121" s="15">
        <v>0</v>
      </c>
    </row>
    <row r="122" spans="1:11" ht="15" customHeight="1" x14ac:dyDescent="0.2">
      <c r="A122" s="13" t="s">
        <v>5639</v>
      </c>
      <c r="B122" s="13" t="s">
        <v>5639</v>
      </c>
      <c r="C122" s="13">
        <v>1977</v>
      </c>
      <c r="D122" s="13" t="s">
        <v>15</v>
      </c>
      <c r="E122" s="13" t="s">
        <v>5192</v>
      </c>
      <c r="F122" s="13"/>
      <c r="G122" s="13"/>
      <c r="H122" s="13" t="s">
        <v>5640</v>
      </c>
      <c r="I122" s="13" t="s">
        <v>5641</v>
      </c>
      <c r="J122" s="9" t="s">
        <v>5642</v>
      </c>
      <c r="K122" s="13"/>
    </row>
    <row r="123" spans="1:11" ht="15" customHeight="1" x14ac:dyDescent="0.2">
      <c r="A123" s="13" t="s">
        <v>5643</v>
      </c>
      <c r="B123" s="13" t="s">
        <v>5644</v>
      </c>
      <c r="C123" s="13">
        <v>1975</v>
      </c>
      <c r="D123" s="13" t="s">
        <v>1316</v>
      </c>
      <c r="E123" s="13" t="s">
        <v>5645</v>
      </c>
      <c r="F123" s="13">
        <v>4.7</v>
      </c>
      <c r="G123" s="13" t="s">
        <v>28</v>
      </c>
      <c r="H123" s="13" t="s">
        <v>5646</v>
      </c>
      <c r="I123" s="13" t="s">
        <v>5647</v>
      </c>
      <c r="J123" s="9" t="s">
        <v>5648</v>
      </c>
      <c r="K123" s="13">
        <v>11</v>
      </c>
    </row>
    <row r="124" spans="1:11" ht="15" customHeight="1" x14ac:dyDescent="0.2">
      <c r="A124" s="13" t="s">
        <v>5649</v>
      </c>
      <c r="B124" s="13" t="s">
        <v>5649</v>
      </c>
      <c r="C124" s="13">
        <v>1955</v>
      </c>
      <c r="D124" s="13" t="s">
        <v>2047</v>
      </c>
      <c r="E124" s="13" t="s">
        <v>1024</v>
      </c>
      <c r="F124" s="13">
        <v>6.9</v>
      </c>
      <c r="G124" s="13" t="s">
        <v>18</v>
      </c>
      <c r="H124" s="13" t="s">
        <v>5650</v>
      </c>
      <c r="I124" s="13" t="s">
        <v>5651</v>
      </c>
      <c r="J124" s="9" t="s">
        <v>5652</v>
      </c>
      <c r="K124" s="13">
        <v>11</v>
      </c>
    </row>
    <row r="125" spans="1:11" ht="15" customHeight="1" x14ac:dyDescent="0.2">
      <c r="A125" s="13" t="s">
        <v>5653</v>
      </c>
      <c r="B125" s="13" t="s">
        <v>5654</v>
      </c>
      <c r="C125" s="13">
        <v>1951</v>
      </c>
      <c r="D125" s="13" t="s">
        <v>15</v>
      </c>
      <c r="E125" s="13" t="s">
        <v>5655</v>
      </c>
      <c r="F125" s="13">
        <v>6.6</v>
      </c>
      <c r="G125" s="13" t="s">
        <v>18</v>
      </c>
      <c r="H125" s="13" t="s">
        <v>5656</v>
      </c>
      <c r="I125" s="13" t="s">
        <v>5657</v>
      </c>
      <c r="J125" s="9" t="s">
        <v>5658</v>
      </c>
      <c r="K125" s="13">
        <v>66</v>
      </c>
    </row>
    <row r="126" spans="1:11" ht="15" customHeight="1" x14ac:dyDescent="0.2">
      <c r="A126" s="13" t="s">
        <v>5659</v>
      </c>
      <c r="B126" s="13" t="s">
        <v>5660</v>
      </c>
      <c r="C126" s="13">
        <v>1954</v>
      </c>
      <c r="D126" s="13" t="s">
        <v>15</v>
      </c>
      <c r="E126" s="13" t="s">
        <v>5661</v>
      </c>
      <c r="F126" s="13">
        <v>6.1</v>
      </c>
      <c r="G126" s="13" t="s">
        <v>46</v>
      </c>
      <c r="H126" s="13" t="s">
        <v>5662</v>
      </c>
      <c r="I126" s="13" t="s">
        <v>5663</v>
      </c>
      <c r="J126" s="9" t="s">
        <v>5664</v>
      </c>
      <c r="K126" s="13">
        <v>14</v>
      </c>
    </row>
    <row r="127" spans="1:11" ht="15" customHeight="1" x14ac:dyDescent="0.2">
      <c r="A127" s="13" t="s">
        <v>5665</v>
      </c>
      <c r="B127" s="13" t="s">
        <v>5666</v>
      </c>
      <c r="C127" s="13">
        <v>1937</v>
      </c>
      <c r="D127" s="13" t="s">
        <v>15</v>
      </c>
      <c r="E127" s="13" t="s">
        <v>1678</v>
      </c>
      <c r="F127" s="13">
        <v>6.6</v>
      </c>
      <c r="G127" s="13" t="s">
        <v>18</v>
      </c>
      <c r="H127" s="13" t="s">
        <v>5667</v>
      </c>
      <c r="I127" s="13" t="s">
        <v>5668</v>
      </c>
      <c r="J127" s="9"/>
      <c r="K127" s="13">
        <v>50</v>
      </c>
    </row>
    <row r="128" spans="1:11" ht="15" customHeight="1" x14ac:dyDescent="0.2">
      <c r="A128" s="13" t="s">
        <v>5669</v>
      </c>
      <c r="B128" s="13" t="s">
        <v>5670</v>
      </c>
      <c r="C128" s="13">
        <v>1954</v>
      </c>
      <c r="D128" s="13" t="s">
        <v>1316</v>
      </c>
      <c r="E128" s="13" t="s">
        <v>1961</v>
      </c>
      <c r="F128" s="13">
        <v>7.4</v>
      </c>
      <c r="G128" s="13" t="s">
        <v>18</v>
      </c>
      <c r="H128" s="13" t="s">
        <v>5671</v>
      </c>
      <c r="I128" s="13" t="s">
        <v>5672</v>
      </c>
      <c r="J128" s="9" t="s">
        <v>5673</v>
      </c>
      <c r="K128" s="13">
        <v>156</v>
      </c>
    </row>
    <row r="129" spans="1:11" ht="15" customHeight="1" x14ac:dyDescent="0.2">
      <c r="A129" s="13" t="s">
        <v>5674</v>
      </c>
      <c r="B129" s="13" t="s">
        <v>5675</v>
      </c>
      <c r="C129" s="13">
        <v>1959</v>
      </c>
      <c r="D129" s="13" t="s">
        <v>15</v>
      </c>
      <c r="E129" s="13" t="s">
        <v>1270</v>
      </c>
      <c r="F129" s="13">
        <v>5.5</v>
      </c>
      <c r="G129" s="13" t="s">
        <v>46</v>
      </c>
      <c r="H129" s="13" t="s">
        <v>5676</v>
      </c>
      <c r="I129" s="13" t="s">
        <v>5677</v>
      </c>
      <c r="J129" s="9"/>
      <c r="K129" s="13">
        <v>4</v>
      </c>
    </row>
    <row r="130" spans="1:11" ht="15" customHeight="1" x14ac:dyDescent="0.2">
      <c r="A130" s="13" t="s">
        <v>5678</v>
      </c>
      <c r="B130" s="13" t="s">
        <v>5679</v>
      </c>
      <c r="C130" s="13">
        <v>1952</v>
      </c>
      <c r="D130" s="13" t="s">
        <v>15</v>
      </c>
      <c r="E130" s="13" t="s">
        <v>1764</v>
      </c>
      <c r="F130" s="13">
        <v>6.3</v>
      </c>
      <c r="G130" s="13" t="s">
        <v>46</v>
      </c>
      <c r="H130" s="13" t="s">
        <v>5680</v>
      </c>
      <c r="I130" s="13" t="s">
        <v>5681</v>
      </c>
      <c r="J130" s="9" t="s">
        <v>5682</v>
      </c>
      <c r="K130" s="13">
        <v>17</v>
      </c>
    </row>
    <row r="131" spans="1:11" ht="15" customHeight="1" x14ac:dyDescent="0.2">
      <c r="A131" s="15" t="s">
        <v>5683</v>
      </c>
      <c r="B131" s="15" t="s">
        <v>5684</v>
      </c>
      <c r="C131" s="15">
        <v>1961</v>
      </c>
      <c r="D131" s="15" t="s">
        <v>5685</v>
      </c>
      <c r="E131" s="15" t="s">
        <v>2204</v>
      </c>
      <c r="F131" s="15">
        <v>6.4279999999999999</v>
      </c>
      <c r="G131" s="15" t="s">
        <v>46</v>
      </c>
      <c r="H131" s="15" t="s">
        <v>5686</v>
      </c>
      <c r="I131" s="15" t="s">
        <v>5687</v>
      </c>
      <c r="J131" s="10" t="s">
        <v>5688</v>
      </c>
      <c r="K131" s="15">
        <v>83</v>
      </c>
    </row>
    <row r="132" spans="1:11" ht="15" customHeight="1" x14ac:dyDescent="0.2">
      <c r="A132" s="13" t="s">
        <v>5689</v>
      </c>
      <c r="B132" s="13" t="s">
        <v>5690</v>
      </c>
      <c r="C132" s="13">
        <v>1951</v>
      </c>
      <c r="D132" s="13" t="s">
        <v>5691</v>
      </c>
      <c r="E132" s="13" t="s">
        <v>1024</v>
      </c>
      <c r="F132" s="13">
        <v>6.3</v>
      </c>
      <c r="G132" s="13" t="s">
        <v>46</v>
      </c>
      <c r="H132" s="13" t="s">
        <v>5692</v>
      </c>
      <c r="I132" s="13" t="s">
        <v>5693</v>
      </c>
      <c r="J132" s="9" t="s">
        <v>5694</v>
      </c>
      <c r="K132" s="13">
        <v>28</v>
      </c>
    </row>
    <row r="133" spans="1:11" ht="15" customHeight="1" x14ac:dyDescent="0.2">
      <c r="A133" s="13" t="s">
        <v>5695</v>
      </c>
      <c r="B133" s="13" t="s">
        <v>5696</v>
      </c>
      <c r="C133" s="13">
        <v>1980</v>
      </c>
      <c r="D133" s="13" t="s">
        <v>15</v>
      </c>
      <c r="E133" s="13" t="s">
        <v>107</v>
      </c>
      <c r="F133" s="13">
        <v>7</v>
      </c>
      <c r="G133" s="13" t="s">
        <v>18</v>
      </c>
      <c r="H133" s="13" t="s">
        <v>5697</v>
      </c>
      <c r="I133" s="13" t="s">
        <v>5698</v>
      </c>
      <c r="J133" s="9" t="s">
        <v>5699</v>
      </c>
      <c r="K133" s="13">
        <v>171</v>
      </c>
    </row>
    <row r="134" spans="1:11" ht="15" customHeight="1" x14ac:dyDescent="0.2">
      <c r="A134" s="13" t="s">
        <v>5700</v>
      </c>
      <c r="B134" s="13" t="s">
        <v>5701</v>
      </c>
      <c r="C134" s="13">
        <v>1968</v>
      </c>
      <c r="D134" s="13" t="s">
        <v>2047</v>
      </c>
      <c r="E134" s="13" t="s">
        <v>928</v>
      </c>
      <c r="F134" s="13">
        <v>6.5</v>
      </c>
      <c r="G134" s="13" t="s">
        <v>46</v>
      </c>
      <c r="H134" s="13" t="s">
        <v>5702</v>
      </c>
      <c r="I134" s="13" t="s">
        <v>5703</v>
      </c>
      <c r="J134" s="9" t="s">
        <v>5704</v>
      </c>
      <c r="K134" s="13">
        <v>26</v>
      </c>
    </row>
    <row r="135" spans="1:11" ht="15" customHeight="1" x14ac:dyDescent="0.2">
      <c r="A135" s="13" t="s">
        <v>5705</v>
      </c>
      <c r="B135" s="13" t="s">
        <v>5705</v>
      </c>
      <c r="C135" s="13">
        <v>1965</v>
      </c>
      <c r="D135" s="13" t="s">
        <v>350</v>
      </c>
      <c r="E135" s="13" t="s">
        <v>1510</v>
      </c>
      <c r="F135" s="13">
        <v>5.375</v>
      </c>
      <c r="G135" s="13" t="s">
        <v>28</v>
      </c>
      <c r="H135" s="13" t="s">
        <v>5706</v>
      </c>
      <c r="I135" s="13" t="s">
        <v>5707</v>
      </c>
      <c r="J135" s="9" t="s">
        <v>5708</v>
      </c>
      <c r="K135" s="13">
        <v>4</v>
      </c>
    </row>
    <row r="136" spans="1:11" ht="15" customHeight="1" x14ac:dyDescent="0.2">
      <c r="A136" s="13" t="s">
        <v>5709</v>
      </c>
      <c r="B136" s="13" t="s">
        <v>5710</v>
      </c>
      <c r="C136" s="13">
        <v>1964</v>
      </c>
      <c r="D136" s="13" t="s">
        <v>15</v>
      </c>
      <c r="E136" s="13" t="s">
        <v>5711</v>
      </c>
      <c r="F136" s="13">
        <v>7.2830000000000004</v>
      </c>
      <c r="G136" s="13" t="s">
        <v>18</v>
      </c>
      <c r="H136" s="13" t="s">
        <v>5712</v>
      </c>
      <c r="I136" s="13" t="s">
        <v>5713</v>
      </c>
      <c r="J136" s="9" t="s">
        <v>5714</v>
      </c>
      <c r="K136" s="13">
        <v>277</v>
      </c>
    </row>
    <row r="137" spans="1:11" ht="15" customHeight="1" x14ac:dyDescent="0.2">
      <c r="A137" s="13" t="s">
        <v>5715</v>
      </c>
      <c r="B137" s="13" t="s">
        <v>5716</v>
      </c>
      <c r="C137" s="13">
        <v>1953</v>
      </c>
      <c r="D137" s="13" t="s">
        <v>15</v>
      </c>
      <c r="E137" s="13" t="s">
        <v>1595</v>
      </c>
      <c r="F137" s="13">
        <v>6.04</v>
      </c>
      <c r="G137" s="13" t="s">
        <v>46</v>
      </c>
      <c r="H137" s="13" t="s">
        <v>5717</v>
      </c>
      <c r="I137" s="13" t="s">
        <v>5718</v>
      </c>
      <c r="J137" s="9" t="s">
        <v>5719</v>
      </c>
      <c r="K137" s="13">
        <v>25</v>
      </c>
    </row>
    <row r="138" spans="1:11" ht="15" customHeight="1" x14ac:dyDescent="0.2">
      <c r="A138" s="13" t="s">
        <v>5720</v>
      </c>
      <c r="B138" s="13" t="s">
        <v>5721</v>
      </c>
      <c r="C138" s="13">
        <v>1958</v>
      </c>
      <c r="D138" s="13" t="s">
        <v>191</v>
      </c>
      <c r="E138" s="13" t="s">
        <v>928</v>
      </c>
      <c r="F138" s="13">
        <v>8.1</v>
      </c>
      <c r="G138" s="13" t="s">
        <v>77</v>
      </c>
      <c r="H138" s="13" t="s">
        <v>5722</v>
      </c>
      <c r="I138" s="13" t="s">
        <v>5723</v>
      </c>
      <c r="J138" s="9" t="s">
        <v>5724</v>
      </c>
      <c r="K138" s="13">
        <v>752</v>
      </c>
    </row>
    <row r="139" spans="1:11" ht="15" customHeight="1" x14ac:dyDescent="0.2">
      <c r="A139" s="13" t="s">
        <v>5725</v>
      </c>
      <c r="B139" s="13" t="s">
        <v>5726</v>
      </c>
      <c r="C139" s="13">
        <v>1968</v>
      </c>
      <c r="D139" s="13" t="s">
        <v>15</v>
      </c>
      <c r="E139" s="13" t="s">
        <v>548</v>
      </c>
      <c r="F139" s="13">
        <v>6.3</v>
      </c>
      <c r="G139" s="13" t="s">
        <v>46</v>
      </c>
      <c r="H139" s="13" t="s">
        <v>5727</v>
      </c>
      <c r="I139" s="13" t="s">
        <v>5728</v>
      </c>
      <c r="J139" s="9" t="s">
        <v>5729</v>
      </c>
      <c r="K139" s="13">
        <v>173</v>
      </c>
    </row>
    <row r="140" spans="1:11" ht="15" customHeight="1" x14ac:dyDescent="0.2">
      <c r="A140" s="13" t="s">
        <v>5730</v>
      </c>
      <c r="B140" s="13" t="s">
        <v>5730</v>
      </c>
      <c r="C140" s="13">
        <v>1935</v>
      </c>
      <c r="D140" s="13" t="s">
        <v>350</v>
      </c>
      <c r="E140" s="13" t="s">
        <v>1510</v>
      </c>
      <c r="F140" s="13">
        <v>5</v>
      </c>
      <c r="G140" s="13" t="s">
        <v>28</v>
      </c>
      <c r="H140" s="13" t="s">
        <v>5731</v>
      </c>
      <c r="I140" s="13" t="s">
        <v>5732</v>
      </c>
      <c r="J140" s="9"/>
      <c r="K140" s="13">
        <v>1</v>
      </c>
    </row>
    <row r="141" spans="1:11" ht="15" customHeight="1" x14ac:dyDescent="0.2">
      <c r="A141" s="15" t="s">
        <v>5733</v>
      </c>
      <c r="B141" s="15" t="s">
        <v>5734</v>
      </c>
      <c r="C141" s="15">
        <v>1962</v>
      </c>
      <c r="D141" s="15" t="s">
        <v>15</v>
      </c>
      <c r="E141" s="15" t="s">
        <v>5235</v>
      </c>
      <c r="F141" s="15">
        <v>6</v>
      </c>
      <c r="G141" s="15" t="s">
        <v>46</v>
      </c>
      <c r="H141" s="15" t="s">
        <v>5735</v>
      </c>
      <c r="I141" s="15" t="s">
        <v>5736</v>
      </c>
      <c r="J141" s="10" t="s">
        <v>5737</v>
      </c>
      <c r="K141" s="15">
        <v>27</v>
      </c>
    </row>
    <row r="142" spans="1:11" ht="15" customHeight="1" x14ac:dyDescent="0.2">
      <c r="A142" s="13" t="s">
        <v>5738</v>
      </c>
      <c r="B142" s="13" t="s">
        <v>5738</v>
      </c>
      <c r="C142" s="13">
        <v>1955</v>
      </c>
      <c r="D142" s="13" t="s">
        <v>350</v>
      </c>
      <c r="E142" s="13" t="s">
        <v>5739</v>
      </c>
      <c r="F142" s="13">
        <v>0</v>
      </c>
      <c r="G142" s="13"/>
      <c r="H142" s="13" t="s">
        <v>5740</v>
      </c>
      <c r="I142" s="13" t="s">
        <v>5741</v>
      </c>
      <c r="J142" s="9" t="s">
        <v>5742</v>
      </c>
      <c r="K142" s="13">
        <v>0</v>
      </c>
    </row>
    <row r="143" spans="1:11" ht="15" customHeight="1" x14ac:dyDescent="0.2">
      <c r="A143" s="13" t="s">
        <v>5743</v>
      </c>
      <c r="B143" s="13" t="s">
        <v>5744</v>
      </c>
      <c r="C143" s="13">
        <v>1959</v>
      </c>
      <c r="D143" s="13" t="s">
        <v>922</v>
      </c>
      <c r="E143" s="13" t="s">
        <v>1538</v>
      </c>
      <c r="F143" s="13">
        <v>7.4</v>
      </c>
      <c r="G143" s="13" t="s">
        <v>18</v>
      </c>
      <c r="H143" s="13" t="s">
        <v>5745</v>
      </c>
      <c r="I143" s="13" t="s">
        <v>5746</v>
      </c>
      <c r="J143" s="9" t="s">
        <v>5747</v>
      </c>
      <c r="K143" s="13">
        <v>141</v>
      </c>
    </row>
    <row r="144" spans="1:11" ht="15" customHeight="1" x14ac:dyDescent="0.2">
      <c r="A144" s="13" t="s">
        <v>5748</v>
      </c>
      <c r="B144" s="13" t="s">
        <v>5749</v>
      </c>
      <c r="C144" s="13">
        <v>1962</v>
      </c>
      <c r="D144" s="13" t="s">
        <v>3607</v>
      </c>
      <c r="E144" s="13" t="s">
        <v>5750</v>
      </c>
      <c r="F144" s="13">
        <v>8.2200000000000006</v>
      </c>
      <c r="G144" s="13" t="s">
        <v>77</v>
      </c>
      <c r="H144" s="13" t="s">
        <v>5751</v>
      </c>
      <c r="I144" s="13" t="s">
        <v>5752</v>
      </c>
      <c r="J144" s="9" t="s">
        <v>5753</v>
      </c>
      <c r="K144" s="13">
        <v>814</v>
      </c>
    </row>
    <row r="145" spans="1:11" ht="15" customHeight="1" x14ac:dyDescent="0.2">
      <c r="A145" s="13" t="s">
        <v>5754</v>
      </c>
      <c r="B145" s="13" t="s">
        <v>5755</v>
      </c>
      <c r="C145" s="13">
        <v>1967</v>
      </c>
      <c r="D145" s="13" t="s">
        <v>15</v>
      </c>
      <c r="E145" s="13" t="s">
        <v>5756</v>
      </c>
      <c r="F145" s="13">
        <v>7.49</v>
      </c>
      <c r="G145" s="13" t="s">
        <v>18</v>
      </c>
      <c r="H145" s="13" t="s">
        <v>5757</v>
      </c>
      <c r="I145" s="13" t="s">
        <v>5758</v>
      </c>
      <c r="J145" s="9" t="s">
        <v>5759</v>
      </c>
      <c r="K145" s="13">
        <v>411</v>
      </c>
    </row>
    <row r="146" spans="1:11" ht="15" customHeight="1" x14ac:dyDescent="0.2">
      <c r="A146" s="13" t="s">
        <v>5760</v>
      </c>
      <c r="B146" s="13" t="s">
        <v>5761</v>
      </c>
      <c r="C146" s="13">
        <v>1963</v>
      </c>
      <c r="D146" s="13" t="s">
        <v>15</v>
      </c>
      <c r="E146" s="13" t="s">
        <v>1024</v>
      </c>
      <c r="F146" s="13">
        <v>5.4</v>
      </c>
      <c r="G146" s="13" t="s">
        <v>28</v>
      </c>
      <c r="H146" s="13" t="s">
        <v>5762</v>
      </c>
      <c r="I146" s="13" t="s">
        <v>5763</v>
      </c>
      <c r="J146" s="9" t="s">
        <v>5764</v>
      </c>
      <c r="K146" s="13">
        <v>11</v>
      </c>
    </row>
    <row r="147" spans="1:11" ht="15" customHeight="1" x14ac:dyDescent="0.2">
      <c r="A147" s="13" t="s">
        <v>5765</v>
      </c>
      <c r="B147" s="13" t="s">
        <v>5766</v>
      </c>
      <c r="C147" s="13">
        <v>1967</v>
      </c>
      <c r="D147" s="13" t="s">
        <v>2047</v>
      </c>
      <c r="E147" s="13" t="s">
        <v>5767</v>
      </c>
      <c r="F147" s="13">
        <v>7.6539999999999999</v>
      </c>
      <c r="G147" s="13" t="s">
        <v>77</v>
      </c>
      <c r="H147" s="13" t="s">
        <v>5768</v>
      </c>
      <c r="I147" s="13" t="s">
        <v>5769</v>
      </c>
      <c r="J147" s="9" t="s">
        <v>5770</v>
      </c>
      <c r="K147" s="13">
        <v>1181</v>
      </c>
    </row>
    <row r="148" spans="1:11" ht="15" customHeight="1" x14ac:dyDescent="0.2">
      <c r="A148" s="13" t="s">
        <v>5771</v>
      </c>
      <c r="B148" s="13" t="s">
        <v>5772</v>
      </c>
      <c r="C148" s="13">
        <v>1987</v>
      </c>
      <c r="D148" s="13" t="s">
        <v>15</v>
      </c>
      <c r="E148" s="13" t="s">
        <v>1052</v>
      </c>
      <c r="F148" s="13">
        <v>5.3</v>
      </c>
      <c r="G148" s="13" t="s">
        <v>28</v>
      </c>
      <c r="H148" s="13" t="s">
        <v>5773</v>
      </c>
      <c r="I148" s="13" t="s">
        <v>5774</v>
      </c>
      <c r="J148" s="9" t="s">
        <v>5775</v>
      </c>
      <c r="K148" s="13">
        <v>17</v>
      </c>
    </row>
    <row r="149" spans="1:11" ht="15" customHeight="1" x14ac:dyDescent="0.2">
      <c r="A149" s="13" t="s">
        <v>5776</v>
      </c>
      <c r="B149" s="13" t="s">
        <v>5777</v>
      </c>
      <c r="C149" s="13">
        <v>1942</v>
      </c>
      <c r="D149" s="13" t="s">
        <v>15</v>
      </c>
      <c r="E149" s="13" t="s">
        <v>1024</v>
      </c>
      <c r="F149" s="13">
        <v>6.8</v>
      </c>
      <c r="G149" s="13" t="s">
        <v>18</v>
      </c>
      <c r="H149" s="13" t="s">
        <v>5778</v>
      </c>
      <c r="I149" s="13" t="s">
        <v>5779</v>
      </c>
      <c r="J149" s="9" t="s">
        <v>5780</v>
      </c>
      <c r="K149" s="13">
        <v>52</v>
      </c>
    </row>
    <row r="150" spans="1:11" ht="15" customHeight="1" x14ac:dyDescent="0.2">
      <c r="A150" s="13" t="s">
        <v>5781</v>
      </c>
      <c r="B150" s="13" t="s">
        <v>5781</v>
      </c>
      <c r="C150" s="13">
        <v>1992</v>
      </c>
      <c r="D150" s="13" t="s">
        <v>15</v>
      </c>
      <c r="E150" s="13" t="s">
        <v>890</v>
      </c>
      <c r="F150" s="13">
        <v>6.0629999999999997</v>
      </c>
      <c r="G150" s="13" t="s">
        <v>46</v>
      </c>
      <c r="H150" s="13" t="s">
        <v>5782</v>
      </c>
      <c r="I150" s="13" t="s">
        <v>5783</v>
      </c>
      <c r="J150" s="9" t="s">
        <v>5784</v>
      </c>
      <c r="K150" s="13">
        <v>379</v>
      </c>
    </row>
    <row r="151" spans="1:11" ht="15" customHeight="1" x14ac:dyDescent="0.2">
      <c r="A151" s="15" t="s">
        <v>552</v>
      </c>
      <c r="B151" s="15" t="s">
        <v>552</v>
      </c>
      <c r="C151" s="15">
        <v>1967</v>
      </c>
      <c r="D151" s="15" t="s">
        <v>5785</v>
      </c>
      <c r="E151" s="15" t="s">
        <v>5786</v>
      </c>
      <c r="F151" s="15"/>
      <c r="G151" s="15"/>
      <c r="H151" s="15" t="s">
        <v>555</v>
      </c>
      <c r="I151" s="15" t="s">
        <v>5787</v>
      </c>
      <c r="J151" s="10" t="s">
        <v>557</v>
      </c>
      <c r="K151" s="15"/>
    </row>
    <row r="152" spans="1:11" ht="15" customHeight="1" x14ac:dyDescent="0.2">
      <c r="A152" s="13" t="s">
        <v>5788</v>
      </c>
      <c r="B152" s="13" t="s">
        <v>5789</v>
      </c>
      <c r="C152" s="13">
        <v>1941</v>
      </c>
      <c r="D152" s="13" t="s">
        <v>15</v>
      </c>
      <c r="E152" s="13" t="s">
        <v>1961</v>
      </c>
      <c r="F152" s="13">
        <v>5</v>
      </c>
      <c r="G152" s="13" t="s">
        <v>28</v>
      </c>
      <c r="H152" s="13" t="s">
        <v>5790</v>
      </c>
      <c r="I152" s="13" t="s">
        <v>5791</v>
      </c>
      <c r="J152" s="9" t="s">
        <v>5792</v>
      </c>
      <c r="K152" s="13">
        <v>3</v>
      </c>
    </row>
    <row r="153" spans="1:11" ht="15" customHeight="1" x14ac:dyDescent="0.2">
      <c r="A153" s="13" t="s">
        <v>5793</v>
      </c>
      <c r="B153" s="13" t="s">
        <v>5793</v>
      </c>
      <c r="C153" s="13">
        <v>1967</v>
      </c>
      <c r="D153" s="13" t="s">
        <v>350</v>
      </c>
      <c r="E153" s="13" t="s">
        <v>5794</v>
      </c>
      <c r="F153" s="13">
        <v>10</v>
      </c>
      <c r="G153" s="13" t="s">
        <v>2037</v>
      </c>
      <c r="H153" s="13" t="s">
        <v>5795</v>
      </c>
      <c r="I153" s="13" t="s">
        <v>5796</v>
      </c>
      <c r="J153" s="9" t="s">
        <v>5797</v>
      </c>
      <c r="K153" s="13">
        <v>1</v>
      </c>
    </row>
    <row r="154" spans="1:11" ht="15" customHeight="1" x14ac:dyDescent="0.2">
      <c r="A154" s="13" t="s">
        <v>5798</v>
      </c>
      <c r="B154" s="13" t="s">
        <v>5799</v>
      </c>
      <c r="C154" s="13">
        <v>1964</v>
      </c>
      <c r="D154" s="13" t="s">
        <v>15</v>
      </c>
      <c r="E154" s="13" t="s">
        <v>1052</v>
      </c>
      <c r="F154" s="13">
        <v>6.9980000000000002</v>
      </c>
      <c r="G154" s="13" t="s">
        <v>18</v>
      </c>
      <c r="H154" s="13" t="s">
        <v>5800</v>
      </c>
      <c r="I154" s="13" t="s">
        <v>5801</v>
      </c>
      <c r="J154" s="9" t="s">
        <v>5802</v>
      </c>
      <c r="K154" s="13">
        <v>203</v>
      </c>
    </row>
    <row r="155" spans="1:11" ht="15" customHeight="1" x14ac:dyDescent="0.2">
      <c r="A155" s="13" t="s">
        <v>5803</v>
      </c>
      <c r="B155" s="13" t="s">
        <v>5804</v>
      </c>
      <c r="C155" s="13">
        <v>1965</v>
      </c>
      <c r="D155" s="13" t="s">
        <v>3641</v>
      </c>
      <c r="E155" s="13" t="s">
        <v>5805</v>
      </c>
      <c r="F155" s="13">
        <v>7.3780000000000001</v>
      </c>
      <c r="G155" s="13" t="s">
        <v>18</v>
      </c>
      <c r="H155" s="13" t="s">
        <v>5806</v>
      </c>
      <c r="I155" s="13" t="s">
        <v>5807</v>
      </c>
      <c r="J155" s="9" t="s">
        <v>5808</v>
      </c>
      <c r="K155" s="13">
        <v>78</v>
      </c>
    </row>
    <row r="156" spans="1:11" ht="15" customHeight="1" x14ac:dyDescent="0.2">
      <c r="A156" s="13" t="s">
        <v>2852</v>
      </c>
      <c r="B156" s="13" t="s">
        <v>2853</v>
      </c>
      <c r="C156" s="13">
        <v>1960</v>
      </c>
      <c r="D156" s="13" t="s">
        <v>922</v>
      </c>
      <c r="E156" s="13" t="s">
        <v>1538</v>
      </c>
      <c r="F156" s="13">
        <v>7.8239999999999998</v>
      </c>
      <c r="G156" s="13" t="s">
        <v>77</v>
      </c>
      <c r="H156" s="13" t="s">
        <v>2854</v>
      </c>
      <c r="I156" s="13" t="s">
        <v>2855</v>
      </c>
      <c r="J156" s="9" t="s">
        <v>2856</v>
      </c>
      <c r="K156" s="13">
        <v>557</v>
      </c>
    </row>
    <row r="157" spans="1:11" ht="15" customHeight="1" x14ac:dyDescent="0.2">
      <c r="A157" s="13" t="s">
        <v>5809</v>
      </c>
      <c r="B157" s="13" t="s">
        <v>5810</v>
      </c>
      <c r="C157" s="13">
        <v>2020</v>
      </c>
      <c r="D157" s="13" t="s">
        <v>927</v>
      </c>
      <c r="E157" s="13" t="s">
        <v>881</v>
      </c>
      <c r="F157" s="13">
        <v>7</v>
      </c>
      <c r="G157" s="13" t="s">
        <v>18</v>
      </c>
      <c r="H157" s="13" t="s">
        <v>5811</v>
      </c>
      <c r="I157" s="13" t="s">
        <v>5812</v>
      </c>
      <c r="J157" s="9" t="s">
        <v>5813</v>
      </c>
      <c r="K157" s="13">
        <v>10</v>
      </c>
    </row>
    <row r="158" spans="1:11" ht="15" customHeight="1" x14ac:dyDescent="0.2">
      <c r="A158" s="13" t="s">
        <v>5814</v>
      </c>
      <c r="B158" s="13" t="s">
        <v>5815</v>
      </c>
      <c r="C158" s="13">
        <v>1971</v>
      </c>
      <c r="D158" s="13" t="s">
        <v>3641</v>
      </c>
      <c r="E158" s="13" t="s">
        <v>5816</v>
      </c>
      <c r="F158" s="13">
        <v>5.375</v>
      </c>
      <c r="G158" s="13" t="s">
        <v>28</v>
      </c>
      <c r="H158" s="13" t="s">
        <v>5817</v>
      </c>
      <c r="I158" s="13" t="s">
        <v>5818</v>
      </c>
      <c r="J158" s="9" t="s">
        <v>5819</v>
      </c>
      <c r="K158" s="13">
        <v>20</v>
      </c>
    </row>
    <row r="159" spans="1:11" ht="15" customHeight="1" x14ac:dyDescent="0.2">
      <c r="A159" s="13" t="s">
        <v>5820</v>
      </c>
      <c r="B159" s="13" t="s">
        <v>5821</v>
      </c>
      <c r="C159" s="13">
        <v>1956</v>
      </c>
      <c r="D159" s="13" t="s">
        <v>3607</v>
      </c>
      <c r="E159" s="13" t="s">
        <v>566</v>
      </c>
      <c r="F159" s="13">
        <v>5.3179999999999996</v>
      </c>
      <c r="G159" s="13" t="s">
        <v>28</v>
      </c>
      <c r="H159" s="13" t="s">
        <v>5822</v>
      </c>
      <c r="I159" s="13" t="s">
        <v>5823</v>
      </c>
      <c r="J159" s="9" t="s">
        <v>5824</v>
      </c>
      <c r="K159" s="13">
        <v>11</v>
      </c>
    </row>
    <row r="160" spans="1:11" ht="15" customHeight="1" x14ac:dyDescent="0.2">
      <c r="A160" s="13" t="s">
        <v>5825</v>
      </c>
      <c r="B160" s="13" t="s">
        <v>5826</v>
      </c>
      <c r="C160" s="13">
        <v>1970</v>
      </c>
      <c r="D160" s="13" t="s">
        <v>5827</v>
      </c>
      <c r="E160" s="13" t="s">
        <v>2374</v>
      </c>
      <c r="F160" s="13">
        <v>6.2270000000000003</v>
      </c>
      <c r="G160" s="13" t="s">
        <v>46</v>
      </c>
      <c r="H160" s="13" t="s">
        <v>5828</v>
      </c>
      <c r="I160" s="13" t="s">
        <v>5829</v>
      </c>
      <c r="J160" s="9" t="s">
        <v>5830</v>
      </c>
      <c r="K160" s="13">
        <v>33</v>
      </c>
    </row>
    <row r="161" spans="1:11" ht="15" customHeight="1" x14ac:dyDescent="0.2">
      <c r="A161" s="15" t="s">
        <v>5831</v>
      </c>
      <c r="B161" s="15" t="s">
        <v>5832</v>
      </c>
      <c r="C161" s="15">
        <v>1954</v>
      </c>
      <c r="D161" s="15" t="s">
        <v>3607</v>
      </c>
      <c r="E161" s="15" t="s">
        <v>566</v>
      </c>
      <c r="F161" s="15">
        <v>7.9109999999999996</v>
      </c>
      <c r="G161" s="15" t="s">
        <v>77</v>
      </c>
      <c r="H161" s="15" t="s">
        <v>5833</v>
      </c>
      <c r="I161" s="15" t="s">
        <v>5834</v>
      </c>
      <c r="J161" s="10" t="s">
        <v>5835</v>
      </c>
      <c r="K161" s="15">
        <v>1128</v>
      </c>
    </row>
    <row r="162" spans="1:11" ht="15" customHeight="1" x14ac:dyDescent="0.2">
      <c r="A162" s="13" t="s">
        <v>5836</v>
      </c>
      <c r="B162" s="13" t="s">
        <v>5837</v>
      </c>
      <c r="C162" s="13">
        <v>1972</v>
      </c>
      <c r="D162" s="13" t="s">
        <v>5838</v>
      </c>
      <c r="E162" s="13" t="s">
        <v>5839</v>
      </c>
      <c r="F162" s="13">
        <v>5.9</v>
      </c>
      <c r="G162" s="13" t="s">
        <v>46</v>
      </c>
      <c r="H162" s="13" t="s">
        <v>5840</v>
      </c>
      <c r="I162" s="13" t="s">
        <v>5841</v>
      </c>
      <c r="J162" s="9" t="s">
        <v>5842</v>
      </c>
      <c r="K162" s="13">
        <v>51</v>
      </c>
    </row>
    <row r="163" spans="1:11" ht="15" customHeight="1" x14ac:dyDescent="0.2">
      <c r="A163" s="13" t="s">
        <v>5843</v>
      </c>
      <c r="B163" s="13" t="s">
        <v>5844</v>
      </c>
      <c r="C163" s="13">
        <v>1968</v>
      </c>
      <c r="D163" s="13" t="s">
        <v>15</v>
      </c>
      <c r="E163" s="13" t="s">
        <v>5845</v>
      </c>
      <c r="F163" s="13">
        <v>5.9</v>
      </c>
      <c r="G163" s="13" t="s">
        <v>46</v>
      </c>
      <c r="H163" s="13" t="s">
        <v>5846</v>
      </c>
      <c r="I163" s="13" t="s">
        <v>5847</v>
      </c>
      <c r="J163" s="9" t="s">
        <v>5848</v>
      </c>
      <c r="K163" s="13">
        <v>21</v>
      </c>
    </row>
    <row r="164" spans="1:11" ht="15" customHeight="1" x14ac:dyDescent="0.2">
      <c r="A164" s="13" t="s">
        <v>5849</v>
      </c>
      <c r="B164" s="13" t="s">
        <v>5850</v>
      </c>
      <c r="C164" s="13">
        <v>1951</v>
      </c>
      <c r="D164" s="13" t="s">
        <v>3641</v>
      </c>
      <c r="E164" s="13" t="s">
        <v>928</v>
      </c>
      <c r="F164" s="13">
        <v>6.8</v>
      </c>
      <c r="G164" s="13" t="s">
        <v>18</v>
      </c>
      <c r="H164" s="13" t="s">
        <v>5851</v>
      </c>
      <c r="I164" s="13" t="s">
        <v>5852</v>
      </c>
      <c r="J164" s="9" t="s">
        <v>5853</v>
      </c>
      <c r="K164" s="13">
        <v>103</v>
      </c>
    </row>
    <row r="165" spans="1:11" ht="15" customHeight="1" x14ac:dyDescent="0.2">
      <c r="A165" s="13" t="s">
        <v>5854</v>
      </c>
      <c r="B165" s="13" t="s">
        <v>5855</v>
      </c>
      <c r="C165" s="13">
        <v>1958</v>
      </c>
      <c r="D165" s="13" t="s">
        <v>1316</v>
      </c>
      <c r="E165" s="13" t="s">
        <v>1270</v>
      </c>
      <c r="F165" s="13">
        <v>6.2</v>
      </c>
      <c r="G165" s="13" t="s">
        <v>46</v>
      </c>
      <c r="H165" s="13" t="s">
        <v>5856</v>
      </c>
      <c r="I165" s="13" t="s">
        <v>5857</v>
      </c>
      <c r="J165" s="9"/>
      <c r="K165" s="13">
        <v>8</v>
      </c>
    </row>
    <row r="166" spans="1:11" ht="15" customHeight="1" x14ac:dyDescent="0.2">
      <c r="A166" s="13" t="s">
        <v>5858</v>
      </c>
      <c r="B166" s="13" t="s">
        <v>5859</v>
      </c>
      <c r="C166" s="13">
        <v>1947</v>
      </c>
      <c r="D166" s="13" t="s">
        <v>3641</v>
      </c>
      <c r="E166" s="13" t="s">
        <v>1024</v>
      </c>
      <c r="F166" s="13">
        <v>6.2</v>
      </c>
      <c r="G166" s="13" t="s">
        <v>46</v>
      </c>
      <c r="H166" s="13" t="s">
        <v>5860</v>
      </c>
      <c r="I166" s="13" t="s">
        <v>5861</v>
      </c>
      <c r="J166" s="9" t="s">
        <v>5862</v>
      </c>
      <c r="K166" s="13">
        <v>31</v>
      </c>
    </row>
    <row r="167" spans="1:11" ht="15" customHeight="1" x14ac:dyDescent="0.2">
      <c r="A167" s="13" t="s">
        <v>5863</v>
      </c>
      <c r="B167" s="13" t="s">
        <v>5864</v>
      </c>
      <c r="C167" s="13">
        <v>1967</v>
      </c>
      <c r="D167" s="13" t="s">
        <v>922</v>
      </c>
      <c r="E167" s="13" t="s">
        <v>1863</v>
      </c>
      <c r="F167" s="13">
        <v>7.7629999999999999</v>
      </c>
      <c r="G167" s="13" t="s">
        <v>77</v>
      </c>
      <c r="H167" s="13" t="s">
        <v>5865</v>
      </c>
      <c r="I167" s="13" t="s">
        <v>5866</v>
      </c>
      <c r="J167" s="9" t="s">
        <v>5867</v>
      </c>
      <c r="K167" s="13">
        <v>1197</v>
      </c>
    </row>
    <row r="168" spans="1:11" ht="15" customHeight="1" x14ac:dyDescent="0.2">
      <c r="A168" s="13" t="s">
        <v>5868</v>
      </c>
      <c r="B168" s="13" t="s">
        <v>5869</v>
      </c>
      <c r="C168" s="13">
        <v>1963</v>
      </c>
      <c r="D168" s="13" t="s">
        <v>922</v>
      </c>
      <c r="E168" s="13" t="s">
        <v>1024</v>
      </c>
      <c r="F168" s="13">
        <v>7.6859999999999999</v>
      </c>
      <c r="G168" s="13" t="s">
        <v>77</v>
      </c>
      <c r="H168" s="13" t="s">
        <v>5870</v>
      </c>
      <c r="I168" s="13" t="s">
        <v>5871</v>
      </c>
      <c r="J168" s="9" t="s">
        <v>5872</v>
      </c>
      <c r="K168" s="13">
        <v>518</v>
      </c>
    </row>
    <row r="169" spans="1:11" ht="15" customHeight="1" x14ac:dyDescent="0.2">
      <c r="A169" s="13" t="s">
        <v>5873</v>
      </c>
      <c r="B169" s="13" t="s">
        <v>5874</v>
      </c>
      <c r="C169" s="13">
        <v>1957</v>
      </c>
      <c r="D169" s="13" t="s">
        <v>5875</v>
      </c>
      <c r="E169" s="13" t="s">
        <v>5876</v>
      </c>
      <c r="F169" s="13">
        <v>6.4</v>
      </c>
      <c r="G169" s="13" t="s">
        <v>46</v>
      </c>
      <c r="H169" s="13" t="s">
        <v>5877</v>
      </c>
      <c r="I169" s="13" t="s">
        <v>5878</v>
      </c>
      <c r="J169" s="9" t="s">
        <v>5879</v>
      </c>
      <c r="K169" s="13">
        <v>36</v>
      </c>
    </row>
    <row r="170" spans="1:11" ht="15" customHeight="1" x14ac:dyDescent="0.2">
      <c r="A170" s="13" t="s">
        <v>1397</v>
      </c>
      <c r="B170" s="13" t="s">
        <v>1398</v>
      </c>
      <c r="C170" s="13">
        <v>1957</v>
      </c>
      <c r="D170" s="13" t="s">
        <v>922</v>
      </c>
      <c r="E170" s="13" t="s">
        <v>1169</v>
      </c>
      <c r="F170" s="13">
        <v>6.5</v>
      </c>
      <c r="G170" s="13" t="s">
        <v>46</v>
      </c>
      <c r="H170" s="13" t="s">
        <v>1399</v>
      </c>
      <c r="I170" s="13" t="s">
        <v>1400</v>
      </c>
      <c r="J170" s="9" t="s">
        <v>1401</v>
      </c>
      <c r="K170" s="13">
        <v>34</v>
      </c>
    </row>
    <row r="171" spans="1:11" ht="15" customHeight="1" x14ac:dyDescent="0.2">
      <c r="A171" s="15" t="s">
        <v>5880</v>
      </c>
      <c r="B171" s="15" t="s">
        <v>5881</v>
      </c>
      <c r="C171" s="15">
        <v>1969</v>
      </c>
      <c r="D171" s="15" t="s">
        <v>3607</v>
      </c>
      <c r="E171" s="15" t="s">
        <v>531</v>
      </c>
      <c r="F171" s="15">
        <v>6.3</v>
      </c>
      <c r="G171" s="15" t="s">
        <v>46</v>
      </c>
      <c r="H171" s="15" t="s">
        <v>5882</v>
      </c>
      <c r="I171" s="15" t="s">
        <v>5883</v>
      </c>
      <c r="J171" s="10" t="s">
        <v>5884</v>
      </c>
      <c r="K171" s="15">
        <v>6</v>
      </c>
    </row>
    <row r="172" spans="1:11" ht="15" customHeight="1" x14ac:dyDescent="0.2">
      <c r="A172" s="13" t="s">
        <v>5885</v>
      </c>
      <c r="B172" s="13" t="s">
        <v>5886</v>
      </c>
      <c r="C172" s="13">
        <v>1965</v>
      </c>
      <c r="D172" s="13" t="s">
        <v>3641</v>
      </c>
      <c r="E172" s="13" t="s">
        <v>5887</v>
      </c>
      <c r="F172" s="13">
        <v>7.9249999999999998</v>
      </c>
      <c r="G172" s="13" t="s">
        <v>77</v>
      </c>
      <c r="H172" s="13" t="s">
        <v>5888</v>
      </c>
      <c r="I172" s="13" t="s">
        <v>5889</v>
      </c>
      <c r="J172" s="9" t="s">
        <v>5890</v>
      </c>
      <c r="K172" s="13">
        <v>140</v>
      </c>
    </row>
    <row r="173" spans="1:11" ht="15" customHeight="1" x14ac:dyDescent="0.2">
      <c r="A173" s="13" t="s">
        <v>5891</v>
      </c>
      <c r="B173" s="13" t="s">
        <v>5892</v>
      </c>
      <c r="C173" s="13">
        <v>1959</v>
      </c>
      <c r="D173" s="13" t="s">
        <v>3641</v>
      </c>
      <c r="E173" s="13" t="s">
        <v>566</v>
      </c>
      <c r="F173" s="13">
        <v>8.0229999999999997</v>
      </c>
      <c r="G173" s="13" t="s">
        <v>77</v>
      </c>
      <c r="H173" s="13" t="s">
        <v>5893</v>
      </c>
      <c r="I173" s="13" t="s">
        <v>5894</v>
      </c>
      <c r="J173" s="9" t="s">
        <v>5895</v>
      </c>
      <c r="K173" s="13">
        <v>2251</v>
      </c>
    </row>
    <row r="174" spans="1:11" ht="15" customHeight="1" x14ac:dyDescent="0.2">
      <c r="A174" s="13" t="s">
        <v>5896</v>
      </c>
      <c r="B174" s="13" t="s">
        <v>5897</v>
      </c>
      <c r="C174" s="13">
        <v>1967</v>
      </c>
      <c r="D174" s="13" t="s">
        <v>3641</v>
      </c>
      <c r="E174" s="13" t="s">
        <v>5898</v>
      </c>
      <c r="F174" s="13">
        <v>7.4</v>
      </c>
      <c r="G174" s="13" t="s">
        <v>18</v>
      </c>
      <c r="H174" s="13" t="s">
        <v>5899</v>
      </c>
      <c r="I174" s="13" t="s">
        <v>5900</v>
      </c>
      <c r="J174" s="9" t="s">
        <v>5901</v>
      </c>
      <c r="K174" s="13">
        <v>37</v>
      </c>
    </row>
    <row r="175" spans="1:11" ht="15" customHeight="1" x14ac:dyDescent="0.2">
      <c r="A175" s="13" t="s">
        <v>5902</v>
      </c>
      <c r="B175" s="13" t="s">
        <v>5903</v>
      </c>
      <c r="C175" s="13">
        <v>1998</v>
      </c>
      <c r="D175" s="13" t="s">
        <v>15</v>
      </c>
      <c r="E175" s="13" t="s">
        <v>399</v>
      </c>
      <c r="F175" s="13">
        <v>0</v>
      </c>
      <c r="G175" s="13"/>
      <c r="H175" s="13" t="s">
        <v>5904</v>
      </c>
      <c r="I175" s="13" t="s">
        <v>5905</v>
      </c>
      <c r="J175" s="9" t="s">
        <v>5906</v>
      </c>
      <c r="K175" s="13">
        <v>0</v>
      </c>
    </row>
    <row r="176" spans="1:11" ht="15" customHeight="1" x14ac:dyDescent="0.2">
      <c r="A176" s="13" t="s">
        <v>5907</v>
      </c>
      <c r="B176" s="13" t="s">
        <v>5908</v>
      </c>
      <c r="C176" s="13">
        <v>1980</v>
      </c>
      <c r="D176" s="13" t="s">
        <v>15</v>
      </c>
      <c r="E176" s="13" t="s">
        <v>1052</v>
      </c>
      <c r="F176" s="13">
        <v>6.5709999999999997</v>
      </c>
      <c r="G176" s="13" t="s">
        <v>18</v>
      </c>
      <c r="H176" s="13" t="s">
        <v>5909</v>
      </c>
      <c r="I176" s="13" t="s">
        <v>5910</v>
      </c>
      <c r="J176" s="9" t="s">
        <v>5911</v>
      </c>
      <c r="K176" s="13">
        <v>49</v>
      </c>
    </row>
    <row r="177" spans="1:11" ht="15" customHeight="1" x14ac:dyDescent="0.2">
      <c r="A177" s="13" t="s">
        <v>5912</v>
      </c>
      <c r="B177" s="13" t="s">
        <v>5913</v>
      </c>
      <c r="C177" s="13">
        <v>1956</v>
      </c>
      <c r="D177" s="13" t="s">
        <v>15</v>
      </c>
      <c r="E177" s="13" t="s">
        <v>1270</v>
      </c>
      <c r="F177" s="13">
        <v>5.4</v>
      </c>
      <c r="G177" s="13" t="s">
        <v>28</v>
      </c>
      <c r="H177" s="13" t="s">
        <v>5914</v>
      </c>
      <c r="I177" s="13" t="s">
        <v>5915</v>
      </c>
      <c r="J177" s="9"/>
      <c r="K177" s="13">
        <v>5</v>
      </c>
    </row>
    <row r="178" spans="1:11" ht="15" customHeight="1" x14ac:dyDescent="0.2">
      <c r="A178" s="13" t="s">
        <v>5916</v>
      </c>
      <c r="B178" s="13" t="s">
        <v>5917</v>
      </c>
      <c r="C178" s="13">
        <v>1965</v>
      </c>
      <c r="D178" s="13" t="s">
        <v>5918</v>
      </c>
      <c r="E178" s="13" t="s">
        <v>1270</v>
      </c>
      <c r="F178" s="13">
        <v>0</v>
      </c>
      <c r="G178" s="13"/>
      <c r="H178" s="13" t="s">
        <v>5919</v>
      </c>
      <c r="I178" s="13" t="s">
        <v>5920</v>
      </c>
      <c r="J178" s="9"/>
      <c r="K178" s="13">
        <v>0</v>
      </c>
    </row>
    <row r="179" spans="1:11" ht="15" customHeight="1" x14ac:dyDescent="0.2">
      <c r="A179" s="13" t="s">
        <v>5921</v>
      </c>
      <c r="B179" s="13" t="s">
        <v>5922</v>
      </c>
      <c r="C179" s="13">
        <v>1966</v>
      </c>
      <c r="D179" s="13" t="s">
        <v>15</v>
      </c>
      <c r="E179" s="13" t="s">
        <v>5923</v>
      </c>
      <c r="F179" s="13">
        <v>5.6</v>
      </c>
      <c r="G179" s="13" t="s">
        <v>46</v>
      </c>
      <c r="H179" s="13" t="s">
        <v>5924</v>
      </c>
      <c r="I179" s="13" t="s">
        <v>5925</v>
      </c>
      <c r="J179" s="9" t="s">
        <v>5926</v>
      </c>
      <c r="K179" s="13">
        <v>24</v>
      </c>
    </row>
    <row r="180" spans="1:11" ht="15" customHeight="1" x14ac:dyDescent="0.2">
      <c r="A180" s="13" t="s">
        <v>5927</v>
      </c>
      <c r="B180" s="13" t="s">
        <v>5928</v>
      </c>
      <c r="C180" s="13">
        <v>1967</v>
      </c>
      <c r="D180" s="13" t="s">
        <v>15</v>
      </c>
      <c r="E180" s="13" t="s">
        <v>1096</v>
      </c>
      <c r="F180" s="13">
        <v>4.0999999999999996</v>
      </c>
      <c r="G180" s="13" t="s">
        <v>86</v>
      </c>
      <c r="H180" s="13" t="s">
        <v>5929</v>
      </c>
      <c r="I180" s="13" t="s">
        <v>5930</v>
      </c>
      <c r="J180" s="9" t="s">
        <v>5931</v>
      </c>
      <c r="K180" s="13">
        <v>12</v>
      </c>
    </row>
    <row r="181" spans="1:11" ht="15" customHeight="1" x14ac:dyDescent="0.2">
      <c r="A181" s="15" t="s">
        <v>5932</v>
      </c>
      <c r="B181" s="15" t="s">
        <v>5932</v>
      </c>
      <c r="C181" s="15">
        <v>1952</v>
      </c>
      <c r="D181" s="15" t="s">
        <v>15</v>
      </c>
      <c r="E181" s="15" t="s">
        <v>243</v>
      </c>
      <c r="F181" s="15">
        <v>6.2</v>
      </c>
      <c r="G181" s="15" t="s">
        <v>46</v>
      </c>
      <c r="H181" s="15" t="s">
        <v>5933</v>
      </c>
      <c r="I181" s="15" t="s">
        <v>5934</v>
      </c>
      <c r="J181" s="10" t="s">
        <v>5935</v>
      </c>
      <c r="K181" s="15">
        <v>44</v>
      </c>
    </row>
    <row r="182" spans="1:11" ht="15" customHeight="1" x14ac:dyDescent="0.2">
      <c r="A182" s="13" t="s">
        <v>5936</v>
      </c>
      <c r="B182" s="13" t="s">
        <v>5936</v>
      </c>
      <c r="C182" s="13">
        <v>1943</v>
      </c>
      <c r="D182" s="13" t="s">
        <v>15</v>
      </c>
      <c r="E182" s="13" t="s">
        <v>5937</v>
      </c>
      <c r="F182" s="13">
        <v>7.2</v>
      </c>
      <c r="G182" s="13" t="s">
        <v>18</v>
      </c>
      <c r="H182" s="13" t="s">
        <v>5938</v>
      </c>
      <c r="I182" s="13" t="s">
        <v>5939</v>
      </c>
      <c r="J182" s="9" t="s">
        <v>5940</v>
      </c>
      <c r="K182" s="13">
        <v>44</v>
      </c>
    </row>
    <row r="183" spans="1:11" ht="15" customHeight="1" x14ac:dyDescent="0.2">
      <c r="A183" s="13" t="s">
        <v>5941</v>
      </c>
      <c r="B183" s="13" t="s">
        <v>5942</v>
      </c>
      <c r="C183" s="13">
        <v>1954</v>
      </c>
      <c r="D183" s="13" t="s">
        <v>15</v>
      </c>
      <c r="E183" s="13" t="s">
        <v>1169</v>
      </c>
      <c r="F183" s="13">
        <v>5.8</v>
      </c>
      <c r="G183" s="13" t="s">
        <v>46</v>
      </c>
      <c r="H183" s="13" t="s">
        <v>5943</v>
      </c>
      <c r="I183" s="13" t="s">
        <v>5944</v>
      </c>
      <c r="J183" s="9" t="s">
        <v>5945</v>
      </c>
      <c r="K183" s="13">
        <v>13</v>
      </c>
    </row>
    <row r="184" spans="1:11" ht="15" customHeight="1" x14ac:dyDescent="0.2">
      <c r="A184" s="13" t="s">
        <v>5946</v>
      </c>
      <c r="B184" s="13" t="s">
        <v>5947</v>
      </c>
      <c r="C184" s="13">
        <v>1937</v>
      </c>
      <c r="D184" s="13" t="s">
        <v>15</v>
      </c>
      <c r="E184" s="13" t="s">
        <v>1024</v>
      </c>
      <c r="F184" s="13">
        <v>7.51</v>
      </c>
      <c r="G184" s="13" t="s">
        <v>77</v>
      </c>
      <c r="H184" s="13" t="s">
        <v>5948</v>
      </c>
      <c r="I184" s="13" t="s">
        <v>5949</v>
      </c>
      <c r="J184" s="9" t="s">
        <v>5950</v>
      </c>
      <c r="K184" s="13">
        <v>209</v>
      </c>
    </row>
    <row r="185" spans="1:11" ht="15" customHeight="1" x14ac:dyDescent="0.2">
      <c r="A185" s="13" t="s">
        <v>5951</v>
      </c>
      <c r="B185" s="13" t="s">
        <v>5951</v>
      </c>
      <c r="C185" s="13">
        <v>1950</v>
      </c>
      <c r="D185" s="13" t="s">
        <v>15</v>
      </c>
      <c r="E185" s="13" t="s">
        <v>399</v>
      </c>
      <c r="F185" s="13">
        <v>0</v>
      </c>
      <c r="G185" s="13"/>
      <c r="H185" s="13" t="s">
        <v>5952</v>
      </c>
      <c r="I185" s="13" t="s">
        <v>5953</v>
      </c>
      <c r="J185" s="9" t="s">
        <v>5954</v>
      </c>
      <c r="K185" s="13">
        <v>0</v>
      </c>
    </row>
    <row r="186" spans="1:11" ht="15" customHeight="1" x14ac:dyDescent="0.2">
      <c r="A186" s="13" t="s">
        <v>5955</v>
      </c>
      <c r="B186" s="13" t="s">
        <v>5956</v>
      </c>
      <c r="C186" s="13">
        <v>1971</v>
      </c>
      <c r="D186" s="13" t="s">
        <v>350</v>
      </c>
      <c r="E186" s="13" t="s">
        <v>399</v>
      </c>
      <c r="F186" s="13">
        <v>5.2</v>
      </c>
      <c r="G186" s="13" t="s">
        <v>28</v>
      </c>
      <c r="H186" s="13" t="s">
        <v>5957</v>
      </c>
      <c r="I186" s="13" t="s">
        <v>5958</v>
      </c>
      <c r="J186" s="9" t="s">
        <v>5959</v>
      </c>
      <c r="K186" s="13">
        <v>2</v>
      </c>
    </row>
    <row r="187" spans="1:11" ht="15" customHeight="1" x14ac:dyDescent="0.2">
      <c r="A187" s="13" t="s">
        <v>5960</v>
      </c>
      <c r="B187" s="13" t="s">
        <v>5960</v>
      </c>
      <c r="C187" s="13">
        <v>1957</v>
      </c>
      <c r="D187" s="13" t="s">
        <v>15</v>
      </c>
      <c r="E187" s="13" t="s">
        <v>2470</v>
      </c>
      <c r="F187" s="13">
        <v>5.7</v>
      </c>
      <c r="G187" s="13" t="s">
        <v>46</v>
      </c>
      <c r="H187" s="13" t="s">
        <v>5961</v>
      </c>
      <c r="I187" s="13" t="s">
        <v>5962</v>
      </c>
      <c r="J187" s="9" t="s">
        <v>5963</v>
      </c>
      <c r="K187" s="13">
        <v>8</v>
      </c>
    </row>
    <row r="188" spans="1:11" ht="15" customHeight="1" x14ac:dyDescent="0.2">
      <c r="A188" s="13" t="s">
        <v>5964</v>
      </c>
      <c r="B188" s="13" t="s">
        <v>5964</v>
      </c>
      <c r="C188" s="13">
        <v>1956</v>
      </c>
      <c r="D188" s="13" t="s">
        <v>15</v>
      </c>
      <c r="E188" s="13" t="s">
        <v>26</v>
      </c>
      <c r="F188" s="13">
        <v>7.0609999999999999</v>
      </c>
      <c r="G188" s="13" t="s">
        <v>18</v>
      </c>
      <c r="H188" s="13" t="s">
        <v>5965</v>
      </c>
      <c r="I188" s="13" t="s">
        <v>5966</v>
      </c>
      <c r="J188" s="9" t="s">
        <v>5967</v>
      </c>
      <c r="K188" s="13">
        <v>451</v>
      </c>
    </row>
    <row r="189" spans="1:11" ht="15" customHeight="1" x14ac:dyDescent="0.2">
      <c r="A189" s="13" t="s">
        <v>5968</v>
      </c>
      <c r="B189" s="13" t="s">
        <v>5968</v>
      </c>
      <c r="C189" s="13">
        <v>1953</v>
      </c>
      <c r="D189" s="13" t="s">
        <v>2047</v>
      </c>
      <c r="E189" s="13" t="s">
        <v>1069</v>
      </c>
      <c r="F189" s="13">
        <v>5.8</v>
      </c>
      <c r="G189" s="13" t="s">
        <v>46</v>
      </c>
      <c r="H189" s="13" t="s">
        <v>5969</v>
      </c>
      <c r="I189" s="13" t="s">
        <v>5970</v>
      </c>
      <c r="J189" s="9" t="s">
        <v>5971</v>
      </c>
      <c r="K189" s="13">
        <v>24</v>
      </c>
    </row>
    <row r="190" spans="1:11" ht="15" customHeight="1" x14ac:dyDescent="0.2">
      <c r="A190" s="13" t="s">
        <v>5972</v>
      </c>
      <c r="B190" s="13" t="s">
        <v>5972</v>
      </c>
      <c r="C190" s="13">
        <v>1972</v>
      </c>
      <c r="D190" s="13" t="s">
        <v>1316</v>
      </c>
      <c r="E190" s="13" t="s">
        <v>531</v>
      </c>
      <c r="F190" s="13">
        <v>6</v>
      </c>
      <c r="G190" s="13" t="s">
        <v>46</v>
      </c>
      <c r="H190" s="13" t="s">
        <v>5973</v>
      </c>
      <c r="I190" s="13" t="s">
        <v>5974</v>
      </c>
      <c r="J190" s="9" t="s">
        <v>5975</v>
      </c>
      <c r="K190" s="13">
        <v>60</v>
      </c>
    </row>
    <row r="191" spans="1:11" ht="15" customHeight="1" x14ac:dyDescent="0.2">
      <c r="A191" s="15" t="s">
        <v>5976</v>
      </c>
      <c r="B191" s="15" t="s">
        <v>5977</v>
      </c>
      <c r="C191" s="15">
        <v>1967</v>
      </c>
      <c r="D191" s="15" t="s">
        <v>5691</v>
      </c>
      <c r="E191" s="15" t="s">
        <v>5978</v>
      </c>
      <c r="F191" s="15">
        <v>5</v>
      </c>
      <c r="G191" s="15" t="s">
        <v>28</v>
      </c>
      <c r="H191" s="15" t="s">
        <v>5979</v>
      </c>
      <c r="I191" s="15" t="s">
        <v>5980</v>
      </c>
      <c r="J191" s="10" t="s">
        <v>5981</v>
      </c>
      <c r="K191" s="15">
        <v>2</v>
      </c>
    </row>
    <row r="192" spans="1:11" ht="15" customHeight="1" x14ac:dyDescent="0.2">
      <c r="A192" s="13" t="s">
        <v>5982</v>
      </c>
      <c r="B192" s="13" t="s">
        <v>5983</v>
      </c>
      <c r="C192" s="13">
        <v>1962</v>
      </c>
      <c r="D192" s="13" t="s">
        <v>15</v>
      </c>
      <c r="E192" s="13" t="s">
        <v>2395</v>
      </c>
      <c r="F192" s="13">
        <v>6.4</v>
      </c>
      <c r="G192" s="13" t="s">
        <v>46</v>
      </c>
      <c r="H192" s="13" t="s">
        <v>5984</v>
      </c>
      <c r="I192" s="13" t="s">
        <v>5985</v>
      </c>
      <c r="J192" s="9" t="s">
        <v>5986</v>
      </c>
      <c r="K192" s="13">
        <v>90</v>
      </c>
    </row>
    <row r="193" spans="1:11" ht="15" customHeight="1" x14ac:dyDescent="0.2">
      <c r="A193" s="13" t="s">
        <v>5987</v>
      </c>
      <c r="B193" s="13" t="s">
        <v>5988</v>
      </c>
      <c r="C193" s="13">
        <v>1976</v>
      </c>
      <c r="D193" s="13" t="s">
        <v>15</v>
      </c>
      <c r="E193" s="13" t="s">
        <v>5989</v>
      </c>
      <c r="F193" s="13">
        <v>7.1719999999999997</v>
      </c>
      <c r="G193" s="13" t="s">
        <v>18</v>
      </c>
      <c r="H193" s="13" t="s">
        <v>5990</v>
      </c>
      <c r="I193" s="13" t="s">
        <v>5991</v>
      </c>
      <c r="J193" s="9" t="s">
        <v>5992</v>
      </c>
      <c r="K193" s="13">
        <v>857</v>
      </c>
    </row>
    <row r="194" spans="1:11" ht="15" customHeight="1" x14ac:dyDescent="0.2">
      <c r="A194" s="13" t="s">
        <v>5993</v>
      </c>
      <c r="B194" s="13" t="s">
        <v>5994</v>
      </c>
      <c r="C194" s="13">
        <v>1979</v>
      </c>
      <c r="D194" s="13" t="s">
        <v>5995</v>
      </c>
      <c r="E194" s="13" t="s">
        <v>5996</v>
      </c>
      <c r="F194" s="13">
        <v>6.3659999999999997</v>
      </c>
      <c r="G194" s="13" t="s">
        <v>46</v>
      </c>
      <c r="H194" s="13" t="s">
        <v>5997</v>
      </c>
      <c r="I194" s="13" t="s">
        <v>5998</v>
      </c>
      <c r="J194" s="9" t="s">
        <v>5999</v>
      </c>
      <c r="K194" s="13">
        <v>161</v>
      </c>
    </row>
    <row r="195" spans="1:11" ht="15" customHeight="1" x14ac:dyDescent="0.2">
      <c r="A195" s="13" t="s">
        <v>6000</v>
      </c>
      <c r="B195" s="13" t="s">
        <v>6001</v>
      </c>
      <c r="C195" s="13">
        <v>1992</v>
      </c>
      <c r="D195" s="13" t="s">
        <v>15</v>
      </c>
      <c r="E195" s="13" t="s">
        <v>1270</v>
      </c>
      <c r="F195" s="13">
        <v>7.5060000000000002</v>
      </c>
      <c r="G195" s="13" t="s">
        <v>77</v>
      </c>
      <c r="H195" s="13" t="s">
        <v>6002</v>
      </c>
      <c r="I195" s="13" t="s">
        <v>6003</v>
      </c>
      <c r="J195" s="9" t="s">
        <v>6004</v>
      </c>
      <c r="K195" s="13">
        <v>1742</v>
      </c>
    </row>
    <row r="196" spans="1:11" ht="15" customHeight="1" x14ac:dyDescent="0.2">
      <c r="A196" s="13" t="s">
        <v>6005</v>
      </c>
      <c r="B196" s="13" t="s">
        <v>6006</v>
      </c>
      <c r="C196" s="13">
        <v>1947</v>
      </c>
      <c r="D196" s="13" t="s">
        <v>15</v>
      </c>
      <c r="E196" s="13" t="s">
        <v>6007</v>
      </c>
      <c r="F196" s="13">
        <v>6.6340000000000003</v>
      </c>
      <c r="G196" s="13" t="s">
        <v>18</v>
      </c>
      <c r="H196" s="13" t="s">
        <v>6008</v>
      </c>
      <c r="I196" s="13" t="s">
        <v>6009</v>
      </c>
      <c r="J196" s="9" t="s">
        <v>6010</v>
      </c>
      <c r="K196" s="13">
        <v>57</v>
      </c>
    </row>
    <row r="197" spans="1:11" ht="15" customHeight="1" x14ac:dyDescent="0.2">
      <c r="A197" s="13" t="s">
        <v>6011</v>
      </c>
      <c r="B197" s="13" t="s">
        <v>6012</v>
      </c>
      <c r="C197" s="13">
        <v>1950</v>
      </c>
      <c r="D197" s="13" t="s">
        <v>15</v>
      </c>
      <c r="E197" s="13" t="s">
        <v>1863</v>
      </c>
      <c r="F197" s="13">
        <v>6.7060000000000004</v>
      </c>
      <c r="G197" s="13" t="s">
        <v>18</v>
      </c>
      <c r="H197" s="13" t="s">
        <v>6013</v>
      </c>
      <c r="I197" s="13" t="s">
        <v>6014</v>
      </c>
      <c r="J197" s="9" t="s">
        <v>6015</v>
      </c>
      <c r="K197" s="13">
        <v>63</v>
      </c>
    </row>
    <row r="198" spans="1:11" ht="15" customHeight="1" x14ac:dyDescent="0.2">
      <c r="A198" s="13" t="s">
        <v>6016</v>
      </c>
      <c r="B198" s="13" t="s">
        <v>6017</v>
      </c>
      <c r="C198" s="13">
        <v>1966</v>
      </c>
      <c r="D198" s="13" t="s">
        <v>15</v>
      </c>
      <c r="E198" s="13" t="s">
        <v>6018</v>
      </c>
      <c r="F198" s="13">
        <v>4.5999999999999996</v>
      </c>
      <c r="G198" s="13" t="s">
        <v>28</v>
      </c>
      <c r="H198" s="13" t="s">
        <v>6019</v>
      </c>
      <c r="I198" s="13" t="s">
        <v>6020</v>
      </c>
      <c r="J198" s="9" t="s">
        <v>6021</v>
      </c>
      <c r="K198" s="13">
        <v>7</v>
      </c>
    </row>
    <row r="199" spans="1:11" ht="15" customHeight="1" x14ac:dyDescent="0.2">
      <c r="A199" s="13" t="s">
        <v>6022</v>
      </c>
      <c r="B199" s="13" t="s">
        <v>6022</v>
      </c>
      <c r="C199" s="13">
        <v>1976</v>
      </c>
      <c r="D199" s="13" t="s">
        <v>15</v>
      </c>
      <c r="E199" s="13" t="s">
        <v>566</v>
      </c>
      <c r="F199" s="13">
        <v>7.8</v>
      </c>
      <c r="G199" s="13" t="s">
        <v>77</v>
      </c>
      <c r="H199" s="13" t="s">
        <v>6023</v>
      </c>
      <c r="I199" s="13" t="s">
        <v>6024</v>
      </c>
      <c r="J199" s="9" t="s">
        <v>6025</v>
      </c>
      <c r="K199" s="13">
        <v>1910</v>
      </c>
    </row>
    <row r="200" spans="1:11" ht="15" customHeight="1" x14ac:dyDescent="0.2">
      <c r="A200" s="13" t="s">
        <v>6026</v>
      </c>
      <c r="B200" s="13" t="s">
        <v>6027</v>
      </c>
      <c r="C200" s="13">
        <v>1956</v>
      </c>
      <c r="D200" s="13" t="s">
        <v>15</v>
      </c>
      <c r="E200" s="13" t="s">
        <v>1863</v>
      </c>
      <c r="F200" s="13">
        <v>6.8840000000000003</v>
      </c>
      <c r="G200" s="13" t="s">
        <v>18</v>
      </c>
      <c r="H200" s="13" t="s">
        <v>6028</v>
      </c>
      <c r="I200" s="13" t="s">
        <v>6029</v>
      </c>
      <c r="J200" s="9" t="s">
        <v>6030</v>
      </c>
      <c r="K200" s="13">
        <v>98</v>
      </c>
    </row>
    <row r="201" spans="1:11" ht="15" customHeight="1" x14ac:dyDescent="0.2">
      <c r="A201" s="15" t="s">
        <v>6031</v>
      </c>
      <c r="B201" s="15" t="s">
        <v>6032</v>
      </c>
      <c r="C201" s="15">
        <v>1980</v>
      </c>
      <c r="D201" s="15" t="s">
        <v>15</v>
      </c>
      <c r="E201" s="15" t="s">
        <v>1270</v>
      </c>
      <c r="F201" s="15">
        <v>6.9</v>
      </c>
      <c r="G201" s="15" t="s">
        <v>18</v>
      </c>
      <c r="H201" s="15" t="s">
        <v>6033</v>
      </c>
      <c r="I201" s="15" t="s">
        <v>6034</v>
      </c>
      <c r="J201" s="10" t="s">
        <v>6035</v>
      </c>
      <c r="K201" s="15">
        <v>529</v>
      </c>
    </row>
    <row r="202" spans="1:11" ht="15" customHeight="1" x14ac:dyDescent="0.2">
      <c r="A202" s="13" t="s">
        <v>6036</v>
      </c>
      <c r="B202" s="13" t="s">
        <v>6037</v>
      </c>
      <c r="C202" s="13">
        <v>1973</v>
      </c>
      <c r="D202" s="13" t="s">
        <v>15</v>
      </c>
      <c r="E202" s="13" t="s">
        <v>6038</v>
      </c>
      <c r="F202" s="13">
        <v>6.1139999999999999</v>
      </c>
      <c r="G202" s="13" t="s">
        <v>46</v>
      </c>
      <c r="H202" s="13" t="s">
        <v>6039</v>
      </c>
      <c r="I202" s="13" t="s">
        <v>6040</v>
      </c>
      <c r="J202" s="9" t="s">
        <v>6041</v>
      </c>
      <c r="K202" s="13">
        <v>37</v>
      </c>
    </row>
    <row r="203" spans="1:11" ht="15" customHeight="1" x14ac:dyDescent="0.2">
      <c r="A203" s="13" t="s">
        <v>6042</v>
      </c>
      <c r="B203" s="13" t="s">
        <v>6043</v>
      </c>
      <c r="C203" s="13">
        <v>1937</v>
      </c>
      <c r="D203" s="13" t="s">
        <v>15</v>
      </c>
      <c r="E203" s="13" t="s">
        <v>1052</v>
      </c>
      <c r="F203" s="13">
        <v>6.2590000000000003</v>
      </c>
      <c r="G203" s="13" t="s">
        <v>46</v>
      </c>
      <c r="H203" s="13" t="s">
        <v>6044</v>
      </c>
      <c r="I203" s="13" t="s">
        <v>6045</v>
      </c>
      <c r="J203" s="9" t="s">
        <v>6046</v>
      </c>
      <c r="K203" s="13">
        <v>106</v>
      </c>
    </row>
    <row r="204" spans="1:11" ht="15" customHeight="1" x14ac:dyDescent="0.2">
      <c r="A204" s="13" t="s">
        <v>6047</v>
      </c>
      <c r="B204" s="13" t="s">
        <v>6048</v>
      </c>
      <c r="C204" s="13">
        <v>1972</v>
      </c>
      <c r="D204" s="13" t="s">
        <v>3641</v>
      </c>
      <c r="E204" s="13" t="s">
        <v>1270</v>
      </c>
      <c r="F204" s="13">
        <v>7</v>
      </c>
      <c r="G204" s="13" t="s">
        <v>18</v>
      </c>
      <c r="H204" s="13" t="s">
        <v>6049</v>
      </c>
      <c r="I204" s="13" t="s">
        <v>6050</v>
      </c>
      <c r="J204" s="9" t="s">
        <v>6051</v>
      </c>
      <c r="K204" s="13">
        <v>83</v>
      </c>
    </row>
    <row r="205" spans="1:11" ht="15" customHeight="1" x14ac:dyDescent="0.2">
      <c r="A205" s="13" t="s">
        <v>6052</v>
      </c>
      <c r="B205" s="13" t="s">
        <v>6053</v>
      </c>
      <c r="C205" s="13">
        <v>1952</v>
      </c>
      <c r="D205" s="13" t="s">
        <v>15</v>
      </c>
      <c r="E205" s="13" t="s">
        <v>1270</v>
      </c>
      <c r="F205" s="13">
        <v>5.5940000000000003</v>
      </c>
      <c r="G205" s="13" t="s">
        <v>46</v>
      </c>
      <c r="H205" s="13" t="s">
        <v>6054</v>
      </c>
      <c r="I205" s="13" t="s">
        <v>6055</v>
      </c>
      <c r="J205" s="9" t="s">
        <v>6056</v>
      </c>
      <c r="K205" s="13">
        <v>16</v>
      </c>
    </row>
    <row r="206" spans="1:11" ht="15" customHeight="1" x14ac:dyDescent="0.2">
      <c r="A206" s="13" t="s">
        <v>6057</v>
      </c>
      <c r="B206" s="13" t="s">
        <v>6058</v>
      </c>
      <c r="C206" s="13">
        <v>1961</v>
      </c>
      <c r="D206" s="13" t="s">
        <v>15</v>
      </c>
      <c r="E206" s="13" t="s">
        <v>6059</v>
      </c>
      <c r="F206" s="13">
        <v>6.8</v>
      </c>
      <c r="G206" s="13" t="s">
        <v>18</v>
      </c>
      <c r="H206" s="13" t="s">
        <v>6060</v>
      </c>
      <c r="I206" s="13" t="s">
        <v>6061</v>
      </c>
      <c r="J206" s="9" t="s">
        <v>6062</v>
      </c>
      <c r="K206" s="13">
        <v>17</v>
      </c>
    </row>
    <row r="207" spans="1:11" ht="15" customHeight="1" x14ac:dyDescent="0.2">
      <c r="A207" s="13" t="s">
        <v>6063</v>
      </c>
      <c r="B207" s="13" t="s">
        <v>6064</v>
      </c>
      <c r="C207" s="13">
        <v>1954</v>
      </c>
      <c r="D207" s="13" t="s">
        <v>15</v>
      </c>
      <c r="E207" s="13" t="s">
        <v>6065</v>
      </c>
      <c r="F207" s="13">
        <v>7.8760000000000003</v>
      </c>
      <c r="G207" s="13" t="s">
        <v>77</v>
      </c>
      <c r="H207" s="13" t="s">
        <v>6066</v>
      </c>
      <c r="I207" s="13" t="s">
        <v>6067</v>
      </c>
      <c r="J207" s="9" t="s">
        <v>6068</v>
      </c>
      <c r="K207" s="13">
        <v>1694</v>
      </c>
    </row>
    <row r="208" spans="1:11" ht="15" customHeight="1" x14ac:dyDescent="0.2">
      <c r="A208" s="13" t="s">
        <v>1302</v>
      </c>
      <c r="B208" s="13" t="s">
        <v>1303</v>
      </c>
      <c r="C208" s="13">
        <v>1959</v>
      </c>
      <c r="D208" s="13" t="s">
        <v>15</v>
      </c>
      <c r="E208" s="13" t="s">
        <v>1304</v>
      </c>
      <c r="F208" s="13">
        <v>7.218</v>
      </c>
      <c r="G208" s="13" t="s">
        <v>18</v>
      </c>
      <c r="H208" s="13" t="s">
        <v>1305</v>
      </c>
      <c r="I208" s="13" t="s">
        <v>1306</v>
      </c>
      <c r="J208" s="9" t="s">
        <v>1307</v>
      </c>
      <c r="K208" s="13">
        <v>396</v>
      </c>
    </row>
    <row r="209" spans="1:11" ht="15" customHeight="1" x14ac:dyDescent="0.2">
      <c r="A209" s="13" t="s">
        <v>6069</v>
      </c>
      <c r="B209" s="13" t="s">
        <v>6070</v>
      </c>
      <c r="C209" s="13">
        <v>1966</v>
      </c>
      <c r="D209" s="13" t="s">
        <v>3607</v>
      </c>
      <c r="E209" s="13" t="s">
        <v>928</v>
      </c>
      <c r="F209" s="13">
        <v>7.4</v>
      </c>
      <c r="G209" s="13" t="s">
        <v>18</v>
      </c>
      <c r="H209" s="13" t="s">
        <v>6071</v>
      </c>
      <c r="I209" s="13" t="s">
        <v>6072</v>
      </c>
      <c r="J209" s="9" t="s">
        <v>6073</v>
      </c>
      <c r="K209" s="13">
        <v>186</v>
      </c>
    </row>
    <row r="210" spans="1:11" ht="15" customHeight="1" x14ac:dyDescent="0.2">
      <c r="A210" s="13" t="s">
        <v>6074</v>
      </c>
      <c r="B210" s="13" t="s">
        <v>6075</v>
      </c>
      <c r="C210" s="13">
        <v>1954</v>
      </c>
      <c r="D210" s="13" t="s">
        <v>3607</v>
      </c>
      <c r="E210" s="13" t="s">
        <v>1052</v>
      </c>
      <c r="F210" s="13">
        <v>7.2</v>
      </c>
      <c r="G210" s="13" t="s">
        <v>18</v>
      </c>
      <c r="H210" s="13" t="s">
        <v>6076</v>
      </c>
      <c r="I210" s="13" t="s">
        <v>6077</v>
      </c>
      <c r="J210" s="9" t="s">
        <v>6078</v>
      </c>
      <c r="K210" s="13">
        <v>58</v>
      </c>
    </row>
    <row r="211" spans="1:11" ht="15" customHeight="1" x14ac:dyDescent="0.2">
      <c r="A211" s="15" t="s">
        <v>6079</v>
      </c>
      <c r="B211" s="15" t="s">
        <v>6080</v>
      </c>
      <c r="C211" s="15">
        <v>1962</v>
      </c>
      <c r="D211" s="15" t="s">
        <v>15</v>
      </c>
      <c r="E211" s="15" t="s">
        <v>1961</v>
      </c>
      <c r="F211" s="15">
        <v>5.7859999999999996</v>
      </c>
      <c r="G211" s="15" t="s">
        <v>46</v>
      </c>
      <c r="H211" s="15" t="s">
        <v>6081</v>
      </c>
      <c r="I211" s="15" t="s">
        <v>6082</v>
      </c>
      <c r="J211" s="10" t="s">
        <v>6083</v>
      </c>
      <c r="K211" s="15">
        <v>21</v>
      </c>
    </row>
    <row r="212" spans="1:11" ht="15" customHeight="1" x14ac:dyDescent="0.2">
      <c r="A212" s="13" t="s">
        <v>6084</v>
      </c>
      <c r="B212" s="13" t="s">
        <v>6085</v>
      </c>
      <c r="C212" s="13">
        <v>1953</v>
      </c>
      <c r="D212" s="13" t="s">
        <v>15</v>
      </c>
      <c r="E212" s="13" t="s">
        <v>6086</v>
      </c>
      <c r="F212" s="13">
        <v>7.3449999999999998</v>
      </c>
      <c r="G212" s="13" t="s">
        <v>18</v>
      </c>
      <c r="H212" s="13" t="s">
        <v>6087</v>
      </c>
      <c r="I212" s="13" t="s">
        <v>6088</v>
      </c>
      <c r="J212" s="9" t="s">
        <v>6089</v>
      </c>
      <c r="K212" s="13">
        <v>307</v>
      </c>
    </row>
    <row r="213" spans="1:11" ht="15" customHeight="1" x14ac:dyDescent="0.2">
      <c r="A213" s="13" t="s">
        <v>6090</v>
      </c>
      <c r="B213" s="13" t="s">
        <v>6091</v>
      </c>
      <c r="C213" s="13">
        <v>1972</v>
      </c>
      <c r="D213" s="13" t="s">
        <v>15</v>
      </c>
      <c r="E213" s="13" t="s">
        <v>1052</v>
      </c>
      <c r="F213" s="13">
        <v>7.4829999999999997</v>
      </c>
      <c r="G213" s="13" t="s">
        <v>18</v>
      </c>
      <c r="H213" s="13" t="s">
        <v>6092</v>
      </c>
      <c r="I213" s="13" t="s">
        <v>6093</v>
      </c>
      <c r="J213" s="9" t="s">
        <v>6094</v>
      </c>
      <c r="K213" s="13">
        <v>624</v>
      </c>
    </row>
    <row r="214" spans="1:11" ht="15" customHeight="1" x14ac:dyDescent="0.2">
      <c r="A214" s="13" t="s">
        <v>6095</v>
      </c>
      <c r="B214" s="13" t="s">
        <v>6096</v>
      </c>
      <c r="C214" s="13">
        <v>1950</v>
      </c>
      <c r="D214" s="13" t="s">
        <v>15</v>
      </c>
      <c r="E214" s="13" t="s">
        <v>1052</v>
      </c>
      <c r="F214" s="13">
        <v>4.75</v>
      </c>
      <c r="G214" s="13" t="s">
        <v>28</v>
      </c>
      <c r="H214" s="13" t="s">
        <v>6097</v>
      </c>
      <c r="I214" s="13" t="s">
        <v>6098</v>
      </c>
      <c r="J214" s="9" t="s">
        <v>6099</v>
      </c>
      <c r="K214" s="13">
        <v>8</v>
      </c>
    </row>
    <row r="215" spans="1:11" ht="15" customHeight="1" x14ac:dyDescent="0.2">
      <c r="A215" s="13" t="s">
        <v>6100</v>
      </c>
      <c r="B215" s="13" t="s">
        <v>6101</v>
      </c>
      <c r="C215" s="13">
        <v>1959</v>
      </c>
      <c r="D215" s="13" t="s">
        <v>1316</v>
      </c>
      <c r="E215" s="13" t="s">
        <v>1270</v>
      </c>
      <c r="F215" s="13">
        <v>6.1</v>
      </c>
      <c r="G215" s="13" t="s">
        <v>46</v>
      </c>
      <c r="H215" s="13" t="s">
        <v>6102</v>
      </c>
      <c r="I215" s="13" t="s">
        <v>6103</v>
      </c>
      <c r="J215" s="9"/>
      <c r="K215" s="13">
        <v>15</v>
      </c>
    </row>
    <row r="216" spans="1:11" ht="15" customHeight="1" x14ac:dyDescent="0.2">
      <c r="A216" s="13" t="s">
        <v>6104</v>
      </c>
      <c r="B216" s="13" t="s">
        <v>6105</v>
      </c>
      <c r="C216" s="13">
        <v>1965</v>
      </c>
      <c r="D216" s="13" t="s">
        <v>6106</v>
      </c>
      <c r="E216" s="13" t="s">
        <v>1270</v>
      </c>
      <c r="F216" s="13">
        <v>5</v>
      </c>
      <c r="G216" s="13" t="s">
        <v>28</v>
      </c>
      <c r="H216" s="13" t="s">
        <v>6107</v>
      </c>
      <c r="I216" s="13" t="s">
        <v>6108</v>
      </c>
      <c r="J216" s="9" t="s">
        <v>6109</v>
      </c>
      <c r="K216" s="13">
        <v>1</v>
      </c>
    </row>
    <row r="217" spans="1:11" ht="15" customHeight="1" x14ac:dyDescent="0.2">
      <c r="A217" s="13" t="s">
        <v>6110</v>
      </c>
      <c r="B217" s="13" t="s">
        <v>6111</v>
      </c>
      <c r="C217" s="13">
        <v>1969</v>
      </c>
      <c r="D217" s="13" t="s">
        <v>15</v>
      </c>
      <c r="E217" s="13" t="s">
        <v>566</v>
      </c>
      <c r="F217" s="13">
        <v>5.4</v>
      </c>
      <c r="G217" s="13" t="s">
        <v>28</v>
      </c>
      <c r="H217" s="13" t="s">
        <v>6112</v>
      </c>
      <c r="I217" s="13" t="s">
        <v>6113</v>
      </c>
      <c r="J217" s="9" t="s">
        <v>6114</v>
      </c>
      <c r="K217" s="13">
        <v>31</v>
      </c>
    </row>
    <row r="218" spans="1:11" ht="15" customHeight="1" x14ac:dyDescent="0.2">
      <c r="A218" s="13" t="s">
        <v>6115</v>
      </c>
      <c r="B218" s="13" t="s">
        <v>6116</v>
      </c>
      <c r="C218" s="13">
        <v>1940</v>
      </c>
      <c r="D218" s="13" t="s">
        <v>15</v>
      </c>
      <c r="E218" s="13" t="s">
        <v>1024</v>
      </c>
      <c r="F218" s="13">
        <v>6.891</v>
      </c>
      <c r="G218" s="13" t="s">
        <v>18</v>
      </c>
      <c r="H218" s="13" t="s">
        <v>6117</v>
      </c>
      <c r="I218" s="13" t="s">
        <v>6118</v>
      </c>
      <c r="J218" s="9" t="s">
        <v>6119</v>
      </c>
      <c r="K218" s="13">
        <v>148</v>
      </c>
    </row>
    <row r="219" spans="1:11" ht="15" customHeight="1" x14ac:dyDescent="0.2">
      <c r="A219" s="13" t="s">
        <v>6120</v>
      </c>
      <c r="B219" s="13" t="s">
        <v>6121</v>
      </c>
      <c r="C219" s="13">
        <v>1948</v>
      </c>
      <c r="D219" s="13" t="s">
        <v>15</v>
      </c>
      <c r="E219" s="13" t="s">
        <v>885</v>
      </c>
      <c r="F219" s="13">
        <v>6.6520000000000001</v>
      </c>
      <c r="G219" s="13" t="s">
        <v>18</v>
      </c>
      <c r="H219" s="13" t="s">
        <v>6122</v>
      </c>
      <c r="I219" s="13" t="s">
        <v>6123</v>
      </c>
      <c r="J219" s="9" t="s">
        <v>6124</v>
      </c>
      <c r="K219" s="13">
        <v>105</v>
      </c>
    </row>
    <row r="220" spans="1:11" ht="15" customHeight="1" x14ac:dyDescent="0.2">
      <c r="A220" s="13" t="s">
        <v>6125</v>
      </c>
      <c r="B220" s="13" t="s">
        <v>6125</v>
      </c>
      <c r="C220" s="13">
        <v>1940</v>
      </c>
      <c r="D220" s="13" t="s">
        <v>15</v>
      </c>
      <c r="E220" s="13" t="s">
        <v>6126</v>
      </c>
      <c r="F220" s="13">
        <v>7.8959999999999999</v>
      </c>
      <c r="G220" s="13" t="s">
        <v>77</v>
      </c>
      <c r="H220" s="13" t="s">
        <v>6127</v>
      </c>
      <c r="I220" s="13" t="s">
        <v>6128</v>
      </c>
      <c r="J220" s="9" t="s">
        <v>6129</v>
      </c>
      <c r="K220" s="13">
        <v>1900</v>
      </c>
    </row>
    <row r="221" spans="1:11" ht="15" customHeight="1" x14ac:dyDescent="0.2">
      <c r="A221" s="15" t="s">
        <v>2628</v>
      </c>
      <c r="B221" s="15" t="s">
        <v>6130</v>
      </c>
      <c r="C221" s="15">
        <v>1998</v>
      </c>
      <c r="D221" s="15" t="s">
        <v>15</v>
      </c>
      <c r="E221" s="15" t="s">
        <v>6131</v>
      </c>
      <c r="F221" s="15">
        <v>10</v>
      </c>
      <c r="G221" s="15" t="s">
        <v>2037</v>
      </c>
      <c r="H221" s="15" t="s">
        <v>6132</v>
      </c>
      <c r="I221" s="15" t="s">
        <v>6133</v>
      </c>
      <c r="J221" s="10"/>
      <c r="K221" s="15">
        <v>1</v>
      </c>
    </row>
    <row r="222" spans="1:11" ht="15" customHeight="1" x14ac:dyDescent="0.2">
      <c r="A222" s="13" t="s">
        <v>6134</v>
      </c>
      <c r="B222" s="13" t="s">
        <v>6134</v>
      </c>
      <c r="C222" s="13">
        <v>1955</v>
      </c>
      <c r="D222" s="13" t="s">
        <v>3641</v>
      </c>
      <c r="E222" s="13" t="s">
        <v>2470</v>
      </c>
      <c r="F222" s="13">
        <v>7.7779999999999996</v>
      </c>
      <c r="G222" s="13" t="s">
        <v>77</v>
      </c>
      <c r="H222" s="13" t="s">
        <v>6135</v>
      </c>
      <c r="I222" s="13" t="s">
        <v>6136</v>
      </c>
      <c r="J222" s="9" t="s">
        <v>6137</v>
      </c>
      <c r="K222" s="13">
        <v>610</v>
      </c>
    </row>
    <row r="223" spans="1:11" ht="15" customHeight="1" x14ac:dyDescent="0.2">
      <c r="A223" s="13" t="s">
        <v>6138</v>
      </c>
      <c r="B223" s="13" t="s">
        <v>6139</v>
      </c>
      <c r="C223" s="13">
        <v>1952</v>
      </c>
      <c r="D223" s="13" t="s">
        <v>15</v>
      </c>
      <c r="E223" s="13" t="s">
        <v>6140</v>
      </c>
      <c r="F223" s="13">
        <v>6.2</v>
      </c>
      <c r="G223" s="13" t="s">
        <v>46</v>
      </c>
      <c r="H223" s="13" t="s">
        <v>6141</v>
      </c>
      <c r="I223" s="13" t="s">
        <v>6142</v>
      </c>
      <c r="J223" s="9" t="s">
        <v>6143</v>
      </c>
      <c r="K223" s="13">
        <v>77</v>
      </c>
    </row>
    <row r="224" spans="1:11" ht="15" customHeight="1" x14ac:dyDescent="0.2">
      <c r="A224" s="13" t="s">
        <v>6144</v>
      </c>
      <c r="B224" s="13" t="s">
        <v>6145</v>
      </c>
      <c r="C224" s="13">
        <v>1948</v>
      </c>
      <c r="D224" s="13" t="s">
        <v>15</v>
      </c>
      <c r="E224" s="13" t="s">
        <v>906</v>
      </c>
      <c r="F224" s="13">
        <v>7.9429999999999996</v>
      </c>
      <c r="G224" s="13" t="s">
        <v>77</v>
      </c>
      <c r="H224" s="13" t="s">
        <v>6146</v>
      </c>
      <c r="I224" s="13" t="s">
        <v>6147</v>
      </c>
      <c r="J224" s="9" t="s">
        <v>6148</v>
      </c>
      <c r="K224" s="13">
        <v>2899</v>
      </c>
    </row>
    <row r="225" spans="1:11" ht="15" customHeight="1" x14ac:dyDescent="0.2">
      <c r="A225" s="13" t="s">
        <v>6149</v>
      </c>
      <c r="B225" s="13" t="s">
        <v>6150</v>
      </c>
      <c r="C225" s="13">
        <v>1952</v>
      </c>
      <c r="D225" s="13" t="s">
        <v>15</v>
      </c>
      <c r="E225" s="13" t="s">
        <v>1270</v>
      </c>
      <c r="F225" s="13">
        <v>6.2</v>
      </c>
      <c r="G225" s="13" t="s">
        <v>46</v>
      </c>
      <c r="H225" s="13" t="s">
        <v>6151</v>
      </c>
      <c r="I225" s="13" t="s">
        <v>6152</v>
      </c>
      <c r="J225" s="9" t="s">
        <v>6153</v>
      </c>
      <c r="K225" s="13">
        <v>31</v>
      </c>
    </row>
    <row r="226" spans="1:11" ht="15" customHeight="1" x14ac:dyDescent="0.2">
      <c r="A226" s="13" t="s">
        <v>6154</v>
      </c>
      <c r="B226" s="13" t="s">
        <v>6155</v>
      </c>
      <c r="C226" s="13">
        <v>1953</v>
      </c>
      <c r="D226" s="13" t="s">
        <v>15</v>
      </c>
      <c r="E226" s="13" t="s">
        <v>566</v>
      </c>
      <c r="F226" s="13">
        <v>6.7</v>
      </c>
      <c r="G226" s="13" t="s">
        <v>18</v>
      </c>
      <c r="H226" s="13" t="s">
        <v>6156</v>
      </c>
      <c r="I226" s="13" t="s">
        <v>6157</v>
      </c>
      <c r="J226" s="9"/>
      <c r="K226" s="13">
        <v>5</v>
      </c>
    </row>
    <row r="227" spans="1:11" ht="15" customHeight="1" x14ac:dyDescent="0.2">
      <c r="A227" s="13" t="s">
        <v>6158</v>
      </c>
      <c r="B227" s="13" t="s">
        <v>6158</v>
      </c>
      <c r="C227" s="13">
        <v>1954</v>
      </c>
      <c r="D227" s="13" t="s">
        <v>15</v>
      </c>
      <c r="E227" s="13" t="s">
        <v>881</v>
      </c>
      <c r="F227" s="13">
        <v>0</v>
      </c>
      <c r="G227" s="13"/>
      <c r="H227" s="13" t="s">
        <v>6159</v>
      </c>
      <c r="I227" s="13"/>
      <c r="J227" s="9" t="s">
        <v>6160</v>
      </c>
      <c r="K227" s="13">
        <v>0</v>
      </c>
    </row>
    <row r="228" spans="1:11" ht="15" customHeight="1" x14ac:dyDescent="0.2">
      <c r="A228" s="13" t="s">
        <v>6161</v>
      </c>
      <c r="B228" s="13" t="s">
        <v>6162</v>
      </c>
      <c r="C228" s="13">
        <v>1934</v>
      </c>
      <c r="D228" s="13" t="s">
        <v>15</v>
      </c>
      <c r="E228" s="13" t="s">
        <v>49</v>
      </c>
      <c r="F228" s="13">
        <v>6.3</v>
      </c>
      <c r="G228" s="13" t="s">
        <v>46</v>
      </c>
      <c r="H228" s="13" t="s">
        <v>6163</v>
      </c>
      <c r="I228" s="13" t="s">
        <v>6164</v>
      </c>
      <c r="J228" s="9" t="s">
        <v>6165</v>
      </c>
      <c r="K228" s="13">
        <v>27</v>
      </c>
    </row>
    <row r="229" spans="1:11" ht="15" customHeight="1" x14ac:dyDescent="0.2">
      <c r="A229" s="13" t="s">
        <v>6166</v>
      </c>
      <c r="B229" s="13" t="s">
        <v>6167</v>
      </c>
      <c r="C229" s="13">
        <v>1957</v>
      </c>
      <c r="D229" s="13" t="s">
        <v>15</v>
      </c>
      <c r="E229" s="13" t="s">
        <v>49</v>
      </c>
      <c r="F229" s="13">
        <v>6.6</v>
      </c>
      <c r="G229" s="13" t="s">
        <v>18</v>
      </c>
      <c r="H229" s="13" t="s">
        <v>6168</v>
      </c>
      <c r="I229" s="13" t="s">
        <v>6169</v>
      </c>
      <c r="J229" s="9" t="s">
        <v>6170</v>
      </c>
      <c r="K229" s="13">
        <v>22</v>
      </c>
    </row>
    <row r="230" spans="1:11" ht="15" customHeight="1" x14ac:dyDescent="0.2">
      <c r="A230" s="13" t="s">
        <v>6171</v>
      </c>
      <c r="B230" s="13" t="s">
        <v>6172</v>
      </c>
      <c r="C230" s="13">
        <v>1950</v>
      </c>
      <c r="D230" s="13" t="s">
        <v>15</v>
      </c>
      <c r="E230" s="13" t="s">
        <v>1678</v>
      </c>
      <c r="F230" s="13">
        <v>5.8040000000000003</v>
      </c>
      <c r="G230" s="13" t="s">
        <v>46</v>
      </c>
      <c r="H230" s="13" t="s">
        <v>6173</v>
      </c>
      <c r="I230" s="13" t="s">
        <v>6174</v>
      </c>
      <c r="J230" s="9" t="s">
        <v>6175</v>
      </c>
      <c r="K230" s="13">
        <v>23</v>
      </c>
    </row>
    <row r="231" spans="1:11" ht="15" customHeight="1" x14ac:dyDescent="0.2">
      <c r="A231" s="15" t="s">
        <v>6176</v>
      </c>
      <c r="B231" s="15" t="s">
        <v>6177</v>
      </c>
      <c r="C231" s="15">
        <v>1964</v>
      </c>
      <c r="D231" s="15" t="s">
        <v>15</v>
      </c>
      <c r="E231" s="15" t="s">
        <v>1510</v>
      </c>
      <c r="F231" s="15">
        <v>7.2830000000000004</v>
      </c>
      <c r="G231" s="15" t="s">
        <v>18</v>
      </c>
      <c r="H231" s="15" t="s">
        <v>6178</v>
      </c>
      <c r="I231" s="15" t="s">
        <v>6179</v>
      </c>
      <c r="J231" s="10" t="s">
        <v>6180</v>
      </c>
      <c r="K231" s="15">
        <v>214</v>
      </c>
    </row>
    <row r="232" spans="1:11" ht="15" customHeight="1" x14ac:dyDescent="0.2">
      <c r="A232" s="13" t="s">
        <v>6181</v>
      </c>
      <c r="B232" s="13" t="s">
        <v>6182</v>
      </c>
      <c r="C232" s="13">
        <v>1960</v>
      </c>
      <c r="D232" s="13" t="s">
        <v>15</v>
      </c>
      <c r="E232" s="13" t="s">
        <v>1863</v>
      </c>
      <c r="F232" s="13">
        <v>6.5430000000000001</v>
      </c>
      <c r="G232" s="13" t="s">
        <v>18</v>
      </c>
      <c r="H232" s="13" t="s">
        <v>6183</v>
      </c>
      <c r="I232" s="13" t="s">
        <v>6184</v>
      </c>
      <c r="J232" s="9" t="s">
        <v>6185</v>
      </c>
      <c r="K232" s="13">
        <v>35</v>
      </c>
    </row>
    <row r="233" spans="1:11" ht="15" customHeight="1" x14ac:dyDescent="0.2">
      <c r="A233" s="13" t="s">
        <v>6186</v>
      </c>
      <c r="B233" s="13" t="s">
        <v>6187</v>
      </c>
      <c r="C233" s="13">
        <v>1950</v>
      </c>
      <c r="D233" s="13" t="s">
        <v>15</v>
      </c>
      <c r="E233" s="13" t="s">
        <v>1227</v>
      </c>
      <c r="F233" s="13">
        <v>6.6</v>
      </c>
      <c r="G233" s="13" t="s">
        <v>18</v>
      </c>
      <c r="H233" s="13" t="s">
        <v>6188</v>
      </c>
      <c r="I233" s="13" t="s">
        <v>6189</v>
      </c>
      <c r="J233" s="9" t="s">
        <v>6190</v>
      </c>
      <c r="K233" s="13">
        <v>17</v>
      </c>
    </row>
    <row r="234" spans="1:11" ht="15" customHeight="1" x14ac:dyDescent="0.2">
      <c r="A234" s="13" t="s">
        <v>6191</v>
      </c>
      <c r="B234" s="13" t="s">
        <v>6192</v>
      </c>
      <c r="C234" s="13">
        <v>1993</v>
      </c>
      <c r="D234" s="13" t="s">
        <v>1316</v>
      </c>
      <c r="E234" s="13" t="s">
        <v>1024</v>
      </c>
      <c r="F234" s="13">
        <v>6.8789999999999996</v>
      </c>
      <c r="G234" s="13" t="s">
        <v>18</v>
      </c>
      <c r="H234" s="13" t="s">
        <v>6193</v>
      </c>
      <c r="I234" s="13" t="s">
        <v>6194</v>
      </c>
      <c r="J234" s="9" t="s">
        <v>6195</v>
      </c>
      <c r="K234" s="13">
        <v>293</v>
      </c>
    </row>
    <row r="235" spans="1:11" ht="15" customHeight="1" x14ac:dyDescent="0.2">
      <c r="A235" s="13" t="s">
        <v>6196</v>
      </c>
      <c r="B235" s="13" t="s">
        <v>6197</v>
      </c>
      <c r="C235" s="13">
        <v>1991</v>
      </c>
      <c r="D235" s="13" t="s">
        <v>15</v>
      </c>
      <c r="E235" s="13" t="s">
        <v>3345</v>
      </c>
      <c r="F235" s="13">
        <v>6.1379999999999999</v>
      </c>
      <c r="G235" s="13" t="s">
        <v>46</v>
      </c>
      <c r="H235" s="13" t="s">
        <v>6198</v>
      </c>
      <c r="I235" s="13" t="s">
        <v>6199</v>
      </c>
      <c r="J235" s="9" t="s">
        <v>6200</v>
      </c>
      <c r="K235" s="13">
        <v>217</v>
      </c>
    </row>
    <row r="236" spans="1:11" ht="15" customHeight="1" x14ac:dyDescent="0.2">
      <c r="A236" s="13" t="s">
        <v>6201</v>
      </c>
      <c r="B236" s="13" t="s">
        <v>6202</v>
      </c>
      <c r="C236" s="13">
        <v>1942</v>
      </c>
      <c r="D236" s="13" t="s">
        <v>6203</v>
      </c>
      <c r="E236" s="13" t="s">
        <v>6204</v>
      </c>
      <c r="F236" s="13">
        <v>6.351</v>
      </c>
      <c r="G236" s="13" t="s">
        <v>46</v>
      </c>
      <c r="H236" s="13" t="s">
        <v>6205</v>
      </c>
      <c r="I236" s="13" t="s">
        <v>6206</v>
      </c>
      <c r="J236" s="9" t="s">
        <v>6207</v>
      </c>
      <c r="K236" s="13">
        <v>131</v>
      </c>
    </row>
    <row r="237" spans="1:11" ht="15" customHeight="1" x14ac:dyDescent="0.2">
      <c r="A237" s="13" t="s">
        <v>6208</v>
      </c>
      <c r="B237" s="13" t="s">
        <v>6209</v>
      </c>
      <c r="C237" s="13">
        <v>1983</v>
      </c>
      <c r="D237" s="13" t="s">
        <v>1316</v>
      </c>
      <c r="E237" s="13" t="s">
        <v>6210</v>
      </c>
      <c r="F237" s="13">
        <v>3.3330000000000002</v>
      </c>
      <c r="G237" s="13" t="s">
        <v>169</v>
      </c>
      <c r="H237" s="13" t="s">
        <v>6211</v>
      </c>
      <c r="I237" s="13" t="s">
        <v>6212</v>
      </c>
      <c r="J237" s="9" t="s">
        <v>6213</v>
      </c>
      <c r="K237" s="13">
        <v>3</v>
      </c>
    </row>
    <row r="238" spans="1:11" ht="15" customHeight="1" x14ac:dyDescent="0.2">
      <c r="A238" s="13" t="s">
        <v>6214</v>
      </c>
      <c r="B238" s="13" t="s">
        <v>6214</v>
      </c>
      <c r="C238" s="13">
        <v>1958</v>
      </c>
      <c r="D238" s="13" t="s">
        <v>15</v>
      </c>
      <c r="E238" s="13" t="s">
        <v>399</v>
      </c>
      <c r="F238" s="13">
        <v>6.3</v>
      </c>
      <c r="G238" s="13" t="s">
        <v>46</v>
      </c>
      <c r="H238" s="13" t="s">
        <v>6215</v>
      </c>
      <c r="I238" s="13" t="s">
        <v>6216</v>
      </c>
      <c r="J238" s="9" t="s">
        <v>6217</v>
      </c>
      <c r="K238" s="13">
        <v>10</v>
      </c>
    </row>
    <row r="239" spans="1:11" ht="15" customHeight="1" x14ac:dyDescent="0.2">
      <c r="A239" s="13" t="s">
        <v>6218</v>
      </c>
      <c r="B239" s="13" t="s">
        <v>6219</v>
      </c>
      <c r="C239" s="13">
        <v>1953</v>
      </c>
      <c r="D239" s="13" t="s">
        <v>350</v>
      </c>
      <c r="E239" s="13" t="s">
        <v>566</v>
      </c>
      <c r="F239" s="13">
        <v>5.0999999999999996</v>
      </c>
      <c r="G239" s="13" t="s">
        <v>28</v>
      </c>
      <c r="H239" s="13" t="s">
        <v>6220</v>
      </c>
      <c r="I239" s="13" t="s">
        <v>6221</v>
      </c>
      <c r="J239" s="9" t="s">
        <v>6222</v>
      </c>
      <c r="K239" s="13">
        <v>7</v>
      </c>
    </row>
    <row r="240" spans="1:11" ht="15" customHeight="1" x14ac:dyDescent="0.2">
      <c r="A240" s="13" t="s">
        <v>6223</v>
      </c>
      <c r="B240" s="13" t="s">
        <v>6224</v>
      </c>
      <c r="C240" s="13">
        <v>1956</v>
      </c>
      <c r="D240" s="13" t="s">
        <v>15</v>
      </c>
      <c r="E240" s="13" t="s">
        <v>566</v>
      </c>
      <c r="F240" s="13">
        <v>7.3</v>
      </c>
      <c r="G240" s="13" t="s">
        <v>18</v>
      </c>
      <c r="H240" s="13" t="s">
        <v>6225</v>
      </c>
      <c r="I240" s="13" t="s">
        <v>6226</v>
      </c>
      <c r="J240" s="9" t="s">
        <v>6227</v>
      </c>
      <c r="K240" s="13">
        <v>175</v>
      </c>
    </row>
    <row r="241" spans="1:11" ht="15" customHeight="1" x14ac:dyDescent="0.2">
      <c r="A241" s="15" t="s">
        <v>6228</v>
      </c>
      <c r="B241" s="15" t="s">
        <v>6229</v>
      </c>
      <c r="C241" s="15">
        <v>1947</v>
      </c>
      <c r="D241" s="15" t="s">
        <v>15</v>
      </c>
      <c r="E241" s="15" t="s">
        <v>6230</v>
      </c>
      <c r="F241" s="15">
        <v>5.8</v>
      </c>
      <c r="G241" s="15" t="s">
        <v>46</v>
      </c>
      <c r="H241" s="15" t="s">
        <v>6231</v>
      </c>
      <c r="I241" s="15" t="s">
        <v>6232</v>
      </c>
      <c r="J241" s="10" t="s">
        <v>6233</v>
      </c>
      <c r="K241" s="15">
        <v>4</v>
      </c>
    </row>
    <row r="242" spans="1:11" ht="15" customHeight="1" x14ac:dyDescent="0.2">
      <c r="A242" s="13" t="s">
        <v>6234</v>
      </c>
      <c r="B242" s="13" t="s">
        <v>6235</v>
      </c>
      <c r="C242" s="13">
        <v>1986</v>
      </c>
      <c r="D242" s="13" t="s">
        <v>3607</v>
      </c>
      <c r="E242" s="13" t="s">
        <v>1270</v>
      </c>
      <c r="F242" s="13">
        <v>6.9</v>
      </c>
      <c r="G242" s="13" t="s">
        <v>18</v>
      </c>
      <c r="H242" s="13" t="s">
        <v>6236</v>
      </c>
      <c r="I242" s="13" t="s">
        <v>6237</v>
      </c>
      <c r="J242" s="9"/>
      <c r="K242" s="13">
        <v>67</v>
      </c>
    </row>
    <row r="243" spans="1:11" ht="15" customHeight="1" x14ac:dyDescent="0.2">
      <c r="A243" s="13" t="s">
        <v>2795</v>
      </c>
      <c r="B243" s="13" t="s">
        <v>2795</v>
      </c>
      <c r="C243" s="13">
        <v>1962</v>
      </c>
      <c r="D243" s="13" t="s">
        <v>15</v>
      </c>
      <c r="E243" s="13" t="s">
        <v>49</v>
      </c>
      <c r="F243" s="13">
        <v>6.5</v>
      </c>
      <c r="G243" s="13" t="s">
        <v>46</v>
      </c>
      <c r="H243" s="13" t="s">
        <v>2796</v>
      </c>
      <c r="I243" s="13" t="s">
        <v>2797</v>
      </c>
      <c r="J243" s="9" t="s">
        <v>2798</v>
      </c>
      <c r="K243" s="13">
        <v>43</v>
      </c>
    </row>
    <row r="244" spans="1:11" ht="15" customHeight="1" x14ac:dyDescent="0.2">
      <c r="A244" s="13" t="s">
        <v>6238</v>
      </c>
      <c r="B244" s="13" t="s">
        <v>6239</v>
      </c>
      <c r="C244" s="13">
        <v>1963</v>
      </c>
      <c r="D244" s="13" t="s">
        <v>15</v>
      </c>
      <c r="E244" s="13" t="s">
        <v>566</v>
      </c>
      <c r="F244" s="13">
        <v>5.6</v>
      </c>
      <c r="G244" s="13" t="s">
        <v>46</v>
      </c>
      <c r="H244" s="13" t="s">
        <v>6240</v>
      </c>
      <c r="I244" s="13" t="s">
        <v>6241</v>
      </c>
      <c r="J244" s="9"/>
      <c r="K244" s="13">
        <v>12</v>
      </c>
    </row>
    <row r="245" spans="1:11" ht="15" customHeight="1" x14ac:dyDescent="0.2">
      <c r="A245" s="13" t="s">
        <v>6242</v>
      </c>
      <c r="B245" s="13" t="s">
        <v>6243</v>
      </c>
      <c r="C245" s="13">
        <v>1936</v>
      </c>
      <c r="D245" s="13" t="s">
        <v>15</v>
      </c>
      <c r="E245" s="13" t="s">
        <v>6244</v>
      </c>
      <c r="F245" s="13">
        <v>6.7</v>
      </c>
      <c r="G245" s="13" t="s">
        <v>18</v>
      </c>
      <c r="H245" s="13" t="s">
        <v>6245</v>
      </c>
      <c r="I245" s="13" t="s">
        <v>6246</v>
      </c>
      <c r="J245" s="9"/>
      <c r="K245" s="13">
        <v>25</v>
      </c>
    </row>
    <row r="246" spans="1:11" ht="15" customHeight="1" x14ac:dyDescent="0.2">
      <c r="A246" s="13" t="s">
        <v>6247</v>
      </c>
      <c r="B246" s="13" t="s">
        <v>6248</v>
      </c>
      <c r="C246" s="13">
        <v>1955</v>
      </c>
      <c r="D246" s="13" t="s">
        <v>15</v>
      </c>
      <c r="E246" s="13" t="s">
        <v>542</v>
      </c>
      <c r="F246" s="13">
        <v>4.5</v>
      </c>
      <c r="G246" s="13" t="s">
        <v>86</v>
      </c>
      <c r="H246" s="13" t="s">
        <v>6249</v>
      </c>
      <c r="I246" s="13" t="s">
        <v>6250</v>
      </c>
      <c r="J246" s="9" t="s">
        <v>6251</v>
      </c>
      <c r="K246" s="13">
        <v>8</v>
      </c>
    </row>
    <row r="247" spans="1:11" ht="15" customHeight="1" x14ac:dyDescent="0.2">
      <c r="A247" s="13" t="s">
        <v>6252</v>
      </c>
      <c r="B247" s="13" t="s">
        <v>6253</v>
      </c>
      <c r="C247" s="13">
        <v>1960</v>
      </c>
      <c r="D247" s="13" t="s">
        <v>15</v>
      </c>
      <c r="E247" s="13" t="s">
        <v>1678</v>
      </c>
      <c r="F247" s="13">
        <v>6.2</v>
      </c>
      <c r="G247" s="13" t="s">
        <v>46</v>
      </c>
      <c r="H247" s="13" t="s">
        <v>6254</v>
      </c>
      <c r="I247" s="13" t="s">
        <v>6255</v>
      </c>
      <c r="J247" s="9" t="s">
        <v>6256</v>
      </c>
      <c r="K247" s="13">
        <v>42</v>
      </c>
    </row>
    <row r="248" spans="1:11" ht="15" customHeight="1" x14ac:dyDescent="0.2">
      <c r="A248" s="13" t="s">
        <v>6257</v>
      </c>
      <c r="B248" s="13" t="s">
        <v>6258</v>
      </c>
      <c r="C248" s="13">
        <v>1950</v>
      </c>
      <c r="D248" s="13" t="s">
        <v>15</v>
      </c>
      <c r="E248" s="13" t="s">
        <v>566</v>
      </c>
      <c r="F248" s="13">
        <v>8.2880000000000003</v>
      </c>
      <c r="G248" s="13" t="s">
        <v>77</v>
      </c>
      <c r="H248" s="13" t="s">
        <v>6259</v>
      </c>
      <c r="I248" s="13" t="s">
        <v>6260</v>
      </c>
      <c r="J248" s="9" t="s">
        <v>6261</v>
      </c>
      <c r="K248" s="13">
        <v>2800</v>
      </c>
    </row>
    <row r="249" spans="1:11" ht="15" customHeight="1" x14ac:dyDescent="0.2">
      <c r="A249" s="13" t="s">
        <v>6262</v>
      </c>
      <c r="B249" s="13" t="s">
        <v>6263</v>
      </c>
      <c r="C249" s="13">
        <v>1969</v>
      </c>
      <c r="D249" s="13" t="s">
        <v>15</v>
      </c>
      <c r="E249" s="13" t="s">
        <v>5178</v>
      </c>
      <c r="F249" s="13">
        <v>7</v>
      </c>
      <c r="G249" s="13" t="s">
        <v>18</v>
      </c>
      <c r="H249" s="13" t="s">
        <v>6264</v>
      </c>
      <c r="I249" s="13" t="s">
        <v>6265</v>
      </c>
      <c r="J249" s="9" t="s">
        <v>6266</v>
      </c>
      <c r="K249" s="13">
        <v>192</v>
      </c>
    </row>
    <row r="250" spans="1:11" ht="15" customHeight="1" x14ac:dyDescent="0.2">
      <c r="A250" s="13" t="s">
        <v>6267</v>
      </c>
      <c r="B250" s="13" t="s">
        <v>6268</v>
      </c>
      <c r="C250" s="13">
        <v>1960</v>
      </c>
      <c r="D250" s="13" t="s">
        <v>15</v>
      </c>
      <c r="E250" s="13" t="s">
        <v>1270</v>
      </c>
      <c r="F250" s="13">
        <v>5.8</v>
      </c>
      <c r="G250" s="13" t="s">
        <v>46</v>
      </c>
      <c r="H250" s="13" t="s">
        <v>6269</v>
      </c>
      <c r="I250" s="13" t="s">
        <v>6270</v>
      </c>
      <c r="J250" s="9"/>
      <c r="K250" s="13">
        <v>4</v>
      </c>
    </row>
    <row r="251" spans="1:11" ht="15" customHeight="1" x14ac:dyDescent="0.2">
      <c r="A251" s="15" t="s">
        <v>6271</v>
      </c>
      <c r="B251" s="15" t="s">
        <v>6272</v>
      </c>
      <c r="C251" s="15">
        <v>1962</v>
      </c>
      <c r="D251" s="15" t="s">
        <v>15</v>
      </c>
      <c r="E251" s="15" t="s">
        <v>1024</v>
      </c>
      <c r="F251" s="15">
        <v>6.7439999999999998</v>
      </c>
      <c r="G251" s="15" t="s">
        <v>18</v>
      </c>
      <c r="H251" s="15" t="s">
        <v>6273</v>
      </c>
      <c r="I251" s="15" t="s">
        <v>6274</v>
      </c>
      <c r="J251" s="10" t="s">
        <v>6275</v>
      </c>
      <c r="K251" s="15">
        <v>125</v>
      </c>
    </row>
    <row r="252" spans="1:11" ht="15" customHeight="1" x14ac:dyDescent="0.2">
      <c r="A252" s="13" t="s">
        <v>6276</v>
      </c>
      <c r="B252" s="13" t="s">
        <v>6277</v>
      </c>
      <c r="C252" s="13">
        <v>1963</v>
      </c>
      <c r="D252" s="13" t="s">
        <v>15</v>
      </c>
      <c r="E252" s="13" t="s">
        <v>1052</v>
      </c>
      <c r="F252" s="13">
        <v>5.2</v>
      </c>
      <c r="G252" s="13" t="s">
        <v>28</v>
      </c>
      <c r="H252" s="13" t="s">
        <v>6278</v>
      </c>
      <c r="I252" s="13" t="s">
        <v>6279</v>
      </c>
      <c r="J252" s="9" t="s">
        <v>6280</v>
      </c>
      <c r="K252" s="13">
        <v>8</v>
      </c>
    </row>
    <row r="253" spans="1:11" ht="15" customHeight="1" x14ac:dyDescent="0.2">
      <c r="A253" s="13" t="s">
        <v>6281</v>
      </c>
      <c r="B253" s="13" t="s">
        <v>6282</v>
      </c>
      <c r="C253" s="13">
        <v>1972</v>
      </c>
      <c r="D253" s="13" t="s">
        <v>6283</v>
      </c>
      <c r="E253" s="13" t="s">
        <v>49</v>
      </c>
      <c r="F253" s="13">
        <v>8.6850000000000005</v>
      </c>
      <c r="G253" s="13" t="s">
        <v>1813</v>
      </c>
      <c r="H253" s="13" t="s">
        <v>6284</v>
      </c>
      <c r="I253" s="13" t="s">
        <v>49</v>
      </c>
      <c r="J253" s="9" t="s">
        <v>6285</v>
      </c>
      <c r="K253" s="13">
        <v>22154</v>
      </c>
    </row>
    <row r="254" spans="1:11" ht="15" customHeight="1" x14ac:dyDescent="0.2">
      <c r="A254" s="13" t="s">
        <v>6286</v>
      </c>
      <c r="B254" s="13" t="s">
        <v>6287</v>
      </c>
      <c r="C254" s="13">
        <v>1949</v>
      </c>
      <c r="D254" s="13" t="s">
        <v>15</v>
      </c>
      <c r="E254" s="13" t="s">
        <v>6086</v>
      </c>
      <c r="F254" s="13">
        <v>6.8</v>
      </c>
      <c r="G254" s="13" t="s">
        <v>18</v>
      </c>
      <c r="H254" s="13" t="s">
        <v>6288</v>
      </c>
      <c r="I254" s="13" t="s">
        <v>6289</v>
      </c>
      <c r="J254" s="9" t="s">
        <v>6290</v>
      </c>
      <c r="K254" s="13">
        <v>54</v>
      </c>
    </row>
    <row r="255" spans="1:11" ht="15" customHeight="1" x14ac:dyDescent="0.2">
      <c r="A255" s="13" t="s">
        <v>6291</v>
      </c>
      <c r="B255" s="13" t="s">
        <v>6292</v>
      </c>
      <c r="C255" s="13">
        <v>1974</v>
      </c>
      <c r="D255" s="13" t="s">
        <v>3607</v>
      </c>
      <c r="E255" s="13" t="s">
        <v>531</v>
      </c>
      <c r="F255" s="13">
        <v>6.3</v>
      </c>
      <c r="G255" s="13" t="s">
        <v>46</v>
      </c>
      <c r="H255" s="13" t="s">
        <v>6293</v>
      </c>
      <c r="I255" s="13" t="s">
        <v>6294</v>
      </c>
      <c r="J255" s="9" t="s">
        <v>6295</v>
      </c>
      <c r="K255" s="13">
        <v>3</v>
      </c>
    </row>
    <row r="256" spans="1:11" ht="15" customHeight="1" x14ac:dyDescent="0.2">
      <c r="A256" s="13" t="s">
        <v>6296</v>
      </c>
      <c r="B256" s="13" t="s">
        <v>6297</v>
      </c>
      <c r="C256" s="13">
        <v>1941</v>
      </c>
      <c r="D256" s="13" t="s">
        <v>15</v>
      </c>
      <c r="E256" s="13" t="s">
        <v>6298</v>
      </c>
      <c r="F256" s="13">
        <v>7.1159999999999997</v>
      </c>
      <c r="G256" s="13" t="s">
        <v>18</v>
      </c>
      <c r="H256" s="13" t="s">
        <v>6299</v>
      </c>
      <c r="I256" s="13" t="s">
        <v>6300</v>
      </c>
      <c r="J256" s="9" t="s">
        <v>6301</v>
      </c>
      <c r="K256" s="13">
        <v>86</v>
      </c>
    </row>
    <row r="257" spans="1:11" ht="15" customHeight="1" x14ac:dyDescent="0.2">
      <c r="A257" s="13" t="s">
        <v>6302</v>
      </c>
      <c r="B257" s="13" t="s">
        <v>6303</v>
      </c>
      <c r="C257" s="13">
        <v>1997</v>
      </c>
      <c r="D257" s="13" t="s">
        <v>15</v>
      </c>
      <c r="E257" s="13" t="s">
        <v>1961</v>
      </c>
      <c r="F257" s="13">
        <v>6.2030000000000003</v>
      </c>
      <c r="G257" s="13" t="s">
        <v>46</v>
      </c>
      <c r="H257" s="13" t="s">
        <v>6304</v>
      </c>
      <c r="I257" s="13" t="s">
        <v>6305</v>
      </c>
      <c r="J257" s="9" t="s">
        <v>6306</v>
      </c>
      <c r="K257" s="13">
        <v>64</v>
      </c>
    </row>
    <row r="258" spans="1:11" ht="15" customHeight="1" x14ac:dyDescent="0.2">
      <c r="A258" s="13" t="s">
        <v>6307</v>
      </c>
      <c r="B258" s="13" t="s">
        <v>6308</v>
      </c>
      <c r="C258" s="13">
        <v>1965</v>
      </c>
      <c r="D258" s="13" t="s">
        <v>1316</v>
      </c>
      <c r="E258" s="13" t="s">
        <v>6309</v>
      </c>
      <c r="F258" s="13">
        <v>5.7</v>
      </c>
      <c r="G258" s="13" t="s">
        <v>46</v>
      </c>
      <c r="H258" s="13" t="s">
        <v>6310</v>
      </c>
      <c r="I258" s="13" t="s">
        <v>6311</v>
      </c>
      <c r="J258" s="9" t="s">
        <v>6312</v>
      </c>
      <c r="K258" s="13">
        <v>46</v>
      </c>
    </row>
    <row r="259" spans="1:11" ht="15" customHeight="1" x14ac:dyDescent="0.2">
      <c r="A259" s="13" t="s">
        <v>6313</v>
      </c>
      <c r="B259" s="13" t="s">
        <v>6314</v>
      </c>
      <c r="C259" s="13">
        <v>1964</v>
      </c>
      <c r="D259" s="13" t="s">
        <v>15</v>
      </c>
      <c r="E259" s="13" t="s">
        <v>6315</v>
      </c>
      <c r="F259" s="13">
        <v>6.6</v>
      </c>
      <c r="G259" s="13" t="s">
        <v>18</v>
      </c>
      <c r="H259" s="13" t="s">
        <v>6316</v>
      </c>
      <c r="I259" s="13" t="s">
        <v>6317</v>
      </c>
      <c r="J259" s="9" t="s">
        <v>6318</v>
      </c>
      <c r="K259" s="13">
        <v>77</v>
      </c>
    </row>
    <row r="260" spans="1:11" ht="15" customHeight="1" x14ac:dyDescent="0.2">
      <c r="A260" s="13" t="s">
        <v>6319</v>
      </c>
      <c r="B260" s="13" t="s">
        <v>6320</v>
      </c>
      <c r="C260" s="13">
        <v>1954</v>
      </c>
      <c r="D260" s="13" t="s">
        <v>6321</v>
      </c>
      <c r="E260" s="13" t="s">
        <v>566</v>
      </c>
      <c r="F260" s="13">
        <v>6.8</v>
      </c>
      <c r="G260" s="13" t="s">
        <v>18</v>
      </c>
      <c r="H260" s="13" t="s">
        <v>6322</v>
      </c>
      <c r="I260" s="13" t="s">
        <v>6323</v>
      </c>
      <c r="J260" s="9" t="s">
        <v>6324</v>
      </c>
      <c r="K260" s="13">
        <v>258</v>
      </c>
    </row>
    <row r="261" spans="1:11" ht="15" customHeight="1" x14ac:dyDescent="0.2">
      <c r="A261" s="15" t="s">
        <v>6325</v>
      </c>
      <c r="B261" s="15" t="s">
        <v>6326</v>
      </c>
      <c r="C261" s="15">
        <v>1991</v>
      </c>
      <c r="D261" s="15" t="s">
        <v>15</v>
      </c>
      <c r="E261" s="15" t="s">
        <v>6327</v>
      </c>
      <c r="F261" s="15">
        <v>5.7</v>
      </c>
      <c r="G261" s="15" t="s">
        <v>46</v>
      </c>
      <c r="H261" s="15" t="s">
        <v>6328</v>
      </c>
      <c r="I261" s="15" t="s">
        <v>6329</v>
      </c>
      <c r="J261" s="10" t="s">
        <v>6330</v>
      </c>
      <c r="K261" s="15">
        <v>180</v>
      </c>
    </row>
    <row r="262" spans="1:11" ht="15" customHeight="1" x14ac:dyDescent="0.2">
      <c r="A262" s="13" t="s">
        <v>6331</v>
      </c>
      <c r="B262" s="13" t="s">
        <v>6332</v>
      </c>
      <c r="C262" s="13">
        <v>1980</v>
      </c>
      <c r="D262" s="13" t="s">
        <v>3111</v>
      </c>
      <c r="E262" s="13" t="s">
        <v>6333</v>
      </c>
      <c r="F262" s="13">
        <v>6.984</v>
      </c>
      <c r="G262" s="13" t="s">
        <v>18</v>
      </c>
      <c r="H262" s="13" t="s">
        <v>6334</v>
      </c>
      <c r="I262" s="13" t="s">
        <v>1771</v>
      </c>
      <c r="J262" s="9" t="s">
        <v>1772</v>
      </c>
      <c r="K262" s="13">
        <v>693</v>
      </c>
    </row>
    <row r="263" spans="1:11" ht="15" customHeight="1" x14ac:dyDescent="0.2">
      <c r="A263" s="13" t="s">
        <v>6335</v>
      </c>
      <c r="B263" s="13" t="s">
        <v>6336</v>
      </c>
      <c r="C263" s="13">
        <v>1963</v>
      </c>
      <c r="D263" s="13" t="s">
        <v>15</v>
      </c>
      <c r="E263" s="13" t="s">
        <v>6337</v>
      </c>
      <c r="F263" s="13">
        <v>6.4530000000000003</v>
      </c>
      <c r="G263" s="13" t="s">
        <v>46</v>
      </c>
      <c r="H263" s="13" t="s">
        <v>6338</v>
      </c>
      <c r="I263" s="13" t="s">
        <v>6339</v>
      </c>
      <c r="J263" s="9" t="s">
        <v>6340</v>
      </c>
      <c r="K263" s="13">
        <v>160</v>
      </c>
    </row>
    <row r="264" spans="1:11" ht="15" customHeight="1" x14ac:dyDescent="0.2">
      <c r="A264" s="13" t="s">
        <v>6341</v>
      </c>
      <c r="B264" s="13" t="s">
        <v>6342</v>
      </c>
      <c r="C264" s="13">
        <v>1931</v>
      </c>
      <c r="D264" s="13" t="s">
        <v>15</v>
      </c>
      <c r="E264" s="13" t="s">
        <v>1024</v>
      </c>
      <c r="F264" s="13">
        <v>5.077</v>
      </c>
      <c r="G264" s="13" t="s">
        <v>28</v>
      </c>
      <c r="H264" s="13" t="s">
        <v>6343</v>
      </c>
      <c r="I264" s="13" t="s">
        <v>6344</v>
      </c>
      <c r="J264" s="9" t="s">
        <v>6345</v>
      </c>
      <c r="K264" s="13">
        <v>13</v>
      </c>
    </row>
    <row r="265" spans="1:11" ht="15" customHeight="1" x14ac:dyDescent="0.2">
      <c r="A265" s="13" t="s">
        <v>6346</v>
      </c>
      <c r="B265" s="13" t="s">
        <v>6347</v>
      </c>
      <c r="C265" s="13">
        <v>1955</v>
      </c>
      <c r="D265" s="13" t="s">
        <v>15</v>
      </c>
      <c r="E265" s="13" t="s">
        <v>1024</v>
      </c>
      <c r="F265" s="13">
        <v>5.6920000000000002</v>
      </c>
      <c r="G265" s="13" t="s">
        <v>46</v>
      </c>
      <c r="H265" s="13" t="s">
        <v>6348</v>
      </c>
      <c r="I265" s="13" t="s">
        <v>6349</v>
      </c>
      <c r="J265" s="9" t="s">
        <v>6350</v>
      </c>
      <c r="K265" s="13">
        <v>26</v>
      </c>
    </row>
    <row r="266" spans="1:11" ht="15" customHeight="1" x14ac:dyDescent="0.2">
      <c r="A266" s="13" t="s">
        <v>6351</v>
      </c>
      <c r="B266" s="13" t="s">
        <v>6352</v>
      </c>
      <c r="C266" s="13">
        <v>1966</v>
      </c>
      <c r="D266" s="13" t="s">
        <v>2047</v>
      </c>
      <c r="E266" s="13" t="s">
        <v>6353</v>
      </c>
      <c r="F266" s="13">
        <v>7.1479999999999997</v>
      </c>
      <c r="G266" s="13" t="s">
        <v>18</v>
      </c>
      <c r="H266" s="13" t="s">
        <v>6354</v>
      </c>
      <c r="I266" s="13" t="s">
        <v>6355</v>
      </c>
      <c r="J266" s="9" t="s">
        <v>6356</v>
      </c>
      <c r="K266" s="13">
        <v>332</v>
      </c>
    </row>
    <row r="267" spans="1:11" ht="15" customHeight="1" x14ac:dyDescent="0.2">
      <c r="A267" s="13" t="s">
        <v>6357</v>
      </c>
      <c r="B267" s="13" t="s">
        <v>6358</v>
      </c>
      <c r="C267" s="13">
        <v>1971</v>
      </c>
      <c r="D267" s="13" t="s">
        <v>15</v>
      </c>
      <c r="E267" s="13" t="s">
        <v>2650</v>
      </c>
      <c r="F267" s="13">
        <v>7.4980000000000002</v>
      </c>
      <c r="G267" s="13" t="s">
        <v>18</v>
      </c>
      <c r="H267" s="13" t="s">
        <v>6359</v>
      </c>
      <c r="I267" s="13" t="s">
        <v>6360</v>
      </c>
      <c r="J267" s="9" t="s">
        <v>6361</v>
      </c>
      <c r="K267" s="13">
        <v>2043</v>
      </c>
    </row>
    <row r="268" spans="1:11" ht="15" customHeight="1" x14ac:dyDescent="0.2">
      <c r="A268" s="13" t="s">
        <v>6362</v>
      </c>
      <c r="B268" s="13" t="s">
        <v>6363</v>
      </c>
      <c r="C268" s="13">
        <v>1950</v>
      </c>
      <c r="D268" s="13" t="s">
        <v>15</v>
      </c>
      <c r="E268" s="13" t="s">
        <v>1788</v>
      </c>
      <c r="F268" s="13">
        <v>6</v>
      </c>
      <c r="G268" s="13" t="s">
        <v>46</v>
      </c>
      <c r="H268" s="13" t="s">
        <v>6364</v>
      </c>
      <c r="I268" s="13" t="s">
        <v>6365</v>
      </c>
      <c r="J268" s="9"/>
      <c r="K268" s="13">
        <v>10</v>
      </c>
    </row>
    <row r="269" spans="1:11" ht="15" customHeight="1" x14ac:dyDescent="0.2">
      <c r="A269" s="13" t="s">
        <v>6366</v>
      </c>
      <c r="B269" s="13" t="s">
        <v>6367</v>
      </c>
      <c r="C269" s="13">
        <v>1957</v>
      </c>
      <c r="D269" s="13" t="s">
        <v>15</v>
      </c>
      <c r="E269" s="13" t="s">
        <v>928</v>
      </c>
      <c r="F269" s="13">
        <v>6</v>
      </c>
      <c r="G269" s="13" t="s">
        <v>46</v>
      </c>
      <c r="H269" s="13" t="s">
        <v>6368</v>
      </c>
      <c r="I269" s="13" t="s">
        <v>6369</v>
      </c>
      <c r="J269" s="9" t="s">
        <v>6370</v>
      </c>
      <c r="K269" s="13">
        <v>10</v>
      </c>
    </row>
    <row r="270" spans="1:11" ht="15" customHeight="1" x14ac:dyDescent="0.2">
      <c r="A270" s="13" t="s">
        <v>6371</v>
      </c>
      <c r="B270" s="13" t="s">
        <v>6372</v>
      </c>
      <c r="C270" s="13">
        <v>1947</v>
      </c>
      <c r="D270" s="13" t="s">
        <v>15</v>
      </c>
      <c r="E270" s="13" t="s">
        <v>6373</v>
      </c>
      <c r="F270" s="13">
        <v>7.5</v>
      </c>
      <c r="G270" s="13" t="s">
        <v>77</v>
      </c>
      <c r="H270" s="13" t="s">
        <v>6374</v>
      </c>
      <c r="I270" s="13" t="s">
        <v>6375</v>
      </c>
      <c r="J270" s="9" t="s">
        <v>6376</v>
      </c>
      <c r="K270" s="13">
        <v>337</v>
      </c>
    </row>
    <row r="271" spans="1:11" ht="15" customHeight="1" x14ac:dyDescent="0.2">
      <c r="A271" s="15" t="s">
        <v>6377</v>
      </c>
      <c r="B271" s="15" t="s">
        <v>6378</v>
      </c>
      <c r="C271" s="15">
        <v>1958</v>
      </c>
      <c r="D271" s="15" t="s">
        <v>15</v>
      </c>
      <c r="E271" s="15" t="s">
        <v>1024</v>
      </c>
      <c r="F271" s="15">
        <v>7.2</v>
      </c>
      <c r="G271" s="15" t="s">
        <v>18</v>
      </c>
      <c r="H271" s="15" t="s">
        <v>6379</v>
      </c>
      <c r="I271" s="15" t="s">
        <v>6380</v>
      </c>
      <c r="J271" s="10"/>
      <c r="K271" s="15">
        <v>6</v>
      </c>
    </row>
    <row r="272" spans="1:11" ht="15" customHeight="1" x14ac:dyDescent="0.2">
      <c r="A272" s="13" t="s">
        <v>6381</v>
      </c>
      <c r="B272" s="13" t="s">
        <v>6381</v>
      </c>
      <c r="C272" s="13">
        <v>1999</v>
      </c>
      <c r="D272" s="13" t="s">
        <v>15</v>
      </c>
      <c r="E272" s="13" t="s">
        <v>6382</v>
      </c>
      <c r="F272" s="13">
        <v>8.5030000000000001</v>
      </c>
      <c r="G272" s="13" t="s">
        <v>1813</v>
      </c>
      <c r="H272" s="13" t="s">
        <v>6383</v>
      </c>
      <c r="I272" s="13" t="s">
        <v>6384</v>
      </c>
      <c r="J272" s="9" t="s">
        <v>6385</v>
      </c>
      <c r="K272" s="13">
        <v>18614</v>
      </c>
    </row>
    <row r="273" spans="1:11" ht="15" customHeight="1" x14ac:dyDescent="0.2">
      <c r="A273" s="13" t="s">
        <v>6386</v>
      </c>
      <c r="B273" s="13" t="s">
        <v>6387</v>
      </c>
      <c r="C273" s="13">
        <v>1969</v>
      </c>
      <c r="D273" s="13" t="s">
        <v>15</v>
      </c>
      <c r="E273" s="13" t="s">
        <v>6388</v>
      </c>
      <c r="F273" s="13">
        <v>6.0430000000000001</v>
      </c>
      <c r="G273" s="13" t="s">
        <v>46</v>
      </c>
      <c r="H273" s="13" t="s">
        <v>6389</v>
      </c>
      <c r="I273" s="13" t="s">
        <v>6390</v>
      </c>
      <c r="J273" s="9" t="s">
        <v>6391</v>
      </c>
      <c r="K273" s="13">
        <v>47</v>
      </c>
    </row>
    <row r="274" spans="1:11" ht="15" customHeight="1" x14ac:dyDescent="0.2">
      <c r="A274" s="13" t="s">
        <v>6392</v>
      </c>
      <c r="B274" s="13" t="s">
        <v>6393</v>
      </c>
      <c r="C274" s="13">
        <v>1950</v>
      </c>
      <c r="D274" s="13" t="s">
        <v>1316</v>
      </c>
      <c r="E274" s="13" t="s">
        <v>1270</v>
      </c>
      <c r="F274" s="13">
        <v>6.6</v>
      </c>
      <c r="G274" s="13" t="s">
        <v>18</v>
      </c>
      <c r="H274" s="13" t="s">
        <v>6394</v>
      </c>
      <c r="I274" s="13" t="s">
        <v>6395</v>
      </c>
      <c r="J274" s="9" t="s">
        <v>6396</v>
      </c>
      <c r="K274" s="13">
        <v>40</v>
      </c>
    </row>
    <row r="275" spans="1:11" ht="15" customHeight="1" x14ac:dyDescent="0.2">
      <c r="A275" s="13" t="s">
        <v>6397</v>
      </c>
      <c r="B275" s="13" t="s">
        <v>6398</v>
      </c>
      <c r="C275" s="13">
        <v>1961</v>
      </c>
      <c r="D275" s="13" t="s">
        <v>15</v>
      </c>
      <c r="E275" s="13" t="s">
        <v>928</v>
      </c>
      <c r="F275" s="13">
        <v>5.7</v>
      </c>
      <c r="G275" s="13" t="s">
        <v>46</v>
      </c>
      <c r="H275" s="13" t="s">
        <v>6399</v>
      </c>
      <c r="I275" s="13" t="s">
        <v>6400</v>
      </c>
      <c r="J275" s="9"/>
      <c r="K275" s="13">
        <v>14</v>
      </c>
    </row>
    <row r="276" spans="1:11" ht="15" customHeight="1" x14ac:dyDescent="0.2">
      <c r="A276" s="13" t="s">
        <v>6401</v>
      </c>
      <c r="B276" s="13" t="s">
        <v>6402</v>
      </c>
      <c r="C276" s="13">
        <v>1956</v>
      </c>
      <c r="D276" s="13" t="s">
        <v>15</v>
      </c>
      <c r="E276" s="13" t="s">
        <v>566</v>
      </c>
      <c r="F276" s="13">
        <v>7.1</v>
      </c>
      <c r="G276" s="13" t="s">
        <v>18</v>
      </c>
      <c r="H276" s="13" t="s">
        <v>6403</v>
      </c>
      <c r="I276" s="13" t="s">
        <v>6404</v>
      </c>
      <c r="J276" s="9" t="s">
        <v>6405</v>
      </c>
      <c r="K276" s="13">
        <v>146</v>
      </c>
    </row>
    <row r="277" spans="1:11" ht="15" customHeight="1" x14ac:dyDescent="0.2">
      <c r="A277" s="13" t="s">
        <v>6406</v>
      </c>
      <c r="B277" s="13" t="s">
        <v>6407</v>
      </c>
      <c r="C277" s="13">
        <v>1967</v>
      </c>
      <c r="D277" s="13" t="s">
        <v>1316</v>
      </c>
      <c r="E277" s="13" t="s">
        <v>5145</v>
      </c>
      <c r="F277" s="13">
        <v>6.4</v>
      </c>
      <c r="G277" s="13" t="s">
        <v>46</v>
      </c>
      <c r="H277" s="13" t="s">
        <v>6408</v>
      </c>
      <c r="I277" s="13" t="s">
        <v>6409</v>
      </c>
      <c r="J277" s="9" t="s">
        <v>6410</v>
      </c>
      <c r="K277" s="13">
        <v>64</v>
      </c>
    </row>
    <row r="278" spans="1:11" ht="15" customHeight="1" x14ac:dyDescent="0.2">
      <c r="A278" s="13" t="s">
        <v>6411</v>
      </c>
      <c r="B278" s="13" t="s">
        <v>6412</v>
      </c>
      <c r="C278" s="13">
        <v>1988</v>
      </c>
      <c r="D278" s="13" t="s">
        <v>15</v>
      </c>
      <c r="E278" s="13" t="s">
        <v>1510</v>
      </c>
      <c r="F278" s="13">
        <v>5.8</v>
      </c>
      <c r="G278" s="13" t="s">
        <v>46</v>
      </c>
      <c r="H278" s="13" t="s">
        <v>6413</v>
      </c>
      <c r="I278" s="13" t="s">
        <v>6414</v>
      </c>
      <c r="J278" s="9" t="s">
        <v>6415</v>
      </c>
      <c r="K278" s="13">
        <v>53</v>
      </c>
    </row>
    <row r="279" spans="1:11" ht="15" customHeight="1" x14ac:dyDescent="0.2">
      <c r="A279" s="13" t="s">
        <v>6416</v>
      </c>
      <c r="B279" s="13" t="s">
        <v>6417</v>
      </c>
      <c r="C279" s="13">
        <v>1947</v>
      </c>
      <c r="D279" s="13" t="s">
        <v>15</v>
      </c>
      <c r="E279" s="13" t="s">
        <v>6418</v>
      </c>
      <c r="F279" s="13">
        <v>6.9</v>
      </c>
      <c r="G279" s="13" t="s">
        <v>18</v>
      </c>
      <c r="H279" s="13" t="s">
        <v>6419</v>
      </c>
      <c r="I279" s="13" t="s">
        <v>6420</v>
      </c>
      <c r="J279" s="9" t="s">
        <v>6421</v>
      </c>
      <c r="K279" s="13">
        <v>18</v>
      </c>
    </row>
    <row r="280" spans="1:11" ht="15" customHeight="1" x14ac:dyDescent="0.2">
      <c r="A280" s="13" t="s">
        <v>6422</v>
      </c>
      <c r="B280" s="13" t="s">
        <v>6423</v>
      </c>
      <c r="C280" s="13">
        <v>1950</v>
      </c>
      <c r="D280" s="13" t="s">
        <v>15</v>
      </c>
      <c r="E280" s="13" t="s">
        <v>1270</v>
      </c>
      <c r="F280" s="13">
        <v>6.9</v>
      </c>
      <c r="G280" s="13" t="s">
        <v>18</v>
      </c>
      <c r="H280" s="13" t="s">
        <v>6424</v>
      </c>
      <c r="I280" s="13" t="s">
        <v>6425</v>
      </c>
      <c r="J280" s="9"/>
      <c r="K280" s="13">
        <v>18</v>
      </c>
    </row>
    <row r="281" spans="1:11" ht="15" customHeight="1" x14ac:dyDescent="0.2">
      <c r="A281" s="15" t="s">
        <v>6426</v>
      </c>
      <c r="B281" s="15" t="s">
        <v>6427</v>
      </c>
      <c r="C281" s="15">
        <v>1979</v>
      </c>
      <c r="D281" s="15" t="s">
        <v>15</v>
      </c>
      <c r="E281" s="15" t="s">
        <v>1270</v>
      </c>
      <c r="F281" s="15">
        <v>6.8979999999999997</v>
      </c>
      <c r="G281" s="15" t="s">
        <v>18</v>
      </c>
      <c r="H281" s="15" t="s">
        <v>6428</v>
      </c>
      <c r="I281" s="15" t="s">
        <v>6429</v>
      </c>
      <c r="J281" s="10" t="s">
        <v>6430</v>
      </c>
      <c r="K281" s="15">
        <v>864</v>
      </c>
    </row>
    <row r="282" spans="1:11" ht="15" customHeight="1" x14ac:dyDescent="0.2">
      <c r="A282" s="13" t="s">
        <v>6431</v>
      </c>
      <c r="B282" s="13" t="s">
        <v>6432</v>
      </c>
      <c r="C282" s="13">
        <v>1956</v>
      </c>
      <c r="D282" s="13" t="s">
        <v>15</v>
      </c>
      <c r="E282" s="13" t="s">
        <v>1863</v>
      </c>
      <c r="F282" s="13">
        <v>6.6159999999999997</v>
      </c>
      <c r="G282" s="13" t="s">
        <v>18</v>
      </c>
      <c r="H282" s="13" t="s">
        <v>6433</v>
      </c>
      <c r="I282" s="13" t="s">
        <v>6434</v>
      </c>
      <c r="J282" s="9" t="s">
        <v>6435</v>
      </c>
      <c r="K282" s="13">
        <v>56</v>
      </c>
    </row>
    <row r="283" spans="1:11" ht="15" customHeight="1" x14ac:dyDescent="0.2">
      <c r="A283" s="13" t="s">
        <v>6436</v>
      </c>
      <c r="B283" s="13" t="s">
        <v>6437</v>
      </c>
      <c r="C283" s="13">
        <v>1949</v>
      </c>
      <c r="D283" s="13" t="s">
        <v>15</v>
      </c>
      <c r="E283" s="13" t="s">
        <v>566</v>
      </c>
      <c r="F283" s="13">
        <v>6</v>
      </c>
      <c r="G283" s="13" t="s">
        <v>46</v>
      </c>
      <c r="H283" s="13" t="s">
        <v>6438</v>
      </c>
      <c r="I283" s="13" t="s">
        <v>6439</v>
      </c>
      <c r="J283" s="9" t="s">
        <v>6440</v>
      </c>
      <c r="K283" s="13">
        <v>33</v>
      </c>
    </row>
    <row r="284" spans="1:11" ht="15" customHeight="1" x14ac:dyDescent="0.2">
      <c r="A284" s="13" t="s">
        <v>6441</v>
      </c>
      <c r="B284" s="13" t="s">
        <v>6442</v>
      </c>
      <c r="C284" s="13">
        <v>1938</v>
      </c>
      <c r="D284" s="13" t="s">
        <v>1316</v>
      </c>
      <c r="E284" s="13" t="s">
        <v>1578</v>
      </c>
      <c r="F284" s="13">
        <v>7.43</v>
      </c>
      <c r="G284" s="13" t="s">
        <v>18</v>
      </c>
      <c r="H284" s="13" t="s">
        <v>6443</v>
      </c>
      <c r="I284" s="13" t="s">
        <v>6444</v>
      </c>
      <c r="J284" s="9" t="s">
        <v>6445</v>
      </c>
      <c r="K284" s="13">
        <v>990</v>
      </c>
    </row>
    <row r="285" spans="1:11" ht="15" customHeight="1" x14ac:dyDescent="0.2">
      <c r="A285" s="13" t="s">
        <v>6446</v>
      </c>
      <c r="B285" s="13" t="s">
        <v>6447</v>
      </c>
      <c r="C285" s="13">
        <v>1955</v>
      </c>
      <c r="D285" s="13" t="s">
        <v>15</v>
      </c>
      <c r="E285" s="13" t="s">
        <v>5794</v>
      </c>
      <c r="F285" s="13">
        <v>7.2679999999999998</v>
      </c>
      <c r="G285" s="13" t="s">
        <v>18</v>
      </c>
      <c r="H285" s="13" t="s">
        <v>6448</v>
      </c>
      <c r="I285" s="13" t="s">
        <v>6449</v>
      </c>
      <c r="J285" s="9" t="s">
        <v>6450</v>
      </c>
      <c r="K285" s="13">
        <v>512</v>
      </c>
    </row>
    <row r="286" spans="1:11" ht="15" customHeight="1" x14ac:dyDescent="0.2">
      <c r="A286" s="13" t="s">
        <v>6451</v>
      </c>
      <c r="B286" s="13" t="s">
        <v>6452</v>
      </c>
      <c r="C286" s="13">
        <v>1973</v>
      </c>
      <c r="D286" s="13" t="s">
        <v>15</v>
      </c>
      <c r="E286" s="13" t="s">
        <v>1829</v>
      </c>
      <c r="F286" s="13">
        <v>7.4</v>
      </c>
      <c r="G286" s="13" t="s">
        <v>18</v>
      </c>
      <c r="H286" s="13" t="s">
        <v>6453</v>
      </c>
      <c r="I286" s="13" t="s">
        <v>6454</v>
      </c>
      <c r="J286" s="9" t="s">
        <v>6455</v>
      </c>
      <c r="K286" s="13">
        <v>725</v>
      </c>
    </row>
    <row r="287" spans="1:11" ht="15" customHeight="1" x14ac:dyDescent="0.2">
      <c r="A287" s="13" t="s">
        <v>1351</v>
      </c>
      <c r="B287" s="13" t="s">
        <v>1352</v>
      </c>
      <c r="C287" s="13">
        <v>1962</v>
      </c>
      <c r="D287" s="13" t="s">
        <v>15</v>
      </c>
      <c r="E287" s="13" t="s">
        <v>1353</v>
      </c>
      <c r="F287" s="13">
        <v>7.6020000000000003</v>
      </c>
      <c r="G287" s="13" t="s">
        <v>77</v>
      </c>
      <c r="H287" s="13" t="s">
        <v>1354</v>
      </c>
      <c r="I287" s="13" t="s">
        <v>1355</v>
      </c>
      <c r="J287" s="9" t="s">
        <v>1356</v>
      </c>
      <c r="K287" s="13">
        <v>989</v>
      </c>
    </row>
    <row r="288" spans="1:11" ht="15" customHeight="1" x14ac:dyDescent="0.2">
      <c r="A288" s="13" t="s">
        <v>6456</v>
      </c>
      <c r="B288" s="13" t="s">
        <v>6457</v>
      </c>
      <c r="C288" s="13">
        <v>1960</v>
      </c>
      <c r="D288" s="13" t="s">
        <v>15</v>
      </c>
      <c r="E288" s="13" t="s">
        <v>6458</v>
      </c>
      <c r="F288" s="13">
        <v>7.5010000000000003</v>
      </c>
      <c r="G288" s="13" t="s">
        <v>77</v>
      </c>
      <c r="H288" s="13" t="s">
        <v>6459</v>
      </c>
      <c r="I288" s="13" t="s">
        <v>6460</v>
      </c>
      <c r="J288" s="9" t="s">
        <v>6461</v>
      </c>
      <c r="K288" s="13">
        <v>1901</v>
      </c>
    </row>
    <row r="289" spans="1:11" ht="15" customHeight="1" x14ac:dyDescent="0.2">
      <c r="A289" s="13" t="s">
        <v>6462</v>
      </c>
      <c r="B289" s="13" t="s">
        <v>6463</v>
      </c>
      <c r="C289" s="13">
        <v>1959</v>
      </c>
      <c r="D289" s="13" t="s">
        <v>6464</v>
      </c>
      <c r="E289" s="13" t="s">
        <v>1052</v>
      </c>
      <c r="F289" s="13">
        <v>6.2309999999999999</v>
      </c>
      <c r="G289" s="13" t="s">
        <v>46</v>
      </c>
      <c r="H289" s="13" t="s">
        <v>6465</v>
      </c>
      <c r="I289" s="13" t="s">
        <v>6466</v>
      </c>
      <c r="J289" s="9" t="s">
        <v>6467</v>
      </c>
      <c r="K289" s="13">
        <v>13</v>
      </c>
    </row>
    <row r="290" spans="1:11" ht="15" customHeight="1" x14ac:dyDescent="0.2">
      <c r="A290" s="13" t="s">
        <v>6468</v>
      </c>
      <c r="B290" s="13" t="s">
        <v>6469</v>
      </c>
      <c r="C290" s="13">
        <v>1976</v>
      </c>
      <c r="D290" s="13" t="s">
        <v>6470</v>
      </c>
      <c r="E290" s="13" t="s">
        <v>6471</v>
      </c>
      <c r="F290" s="13">
        <v>7.2</v>
      </c>
      <c r="G290" s="13" t="s">
        <v>18</v>
      </c>
      <c r="H290" s="13" t="s">
        <v>6472</v>
      </c>
      <c r="I290" s="13" t="s">
        <v>6473</v>
      </c>
      <c r="J290" s="9" t="s">
        <v>6474</v>
      </c>
      <c r="K290" s="13">
        <v>379</v>
      </c>
    </row>
    <row r="291" spans="1:11" ht="15" customHeight="1" x14ac:dyDescent="0.2">
      <c r="A291" s="15" t="s">
        <v>6475</v>
      </c>
      <c r="B291" s="15" t="s">
        <v>6476</v>
      </c>
      <c r="C291" s="15">
        <v>1951</v>
      </c>
      <c r="D291" s="15" t="s">
        <v>15</v>
      </c>
      <c r="E291" s="15" t="s">
        <v>1863</v>
      </c>
      <c r="F291" s="15">
        <v>6.7</v>
      </c>
      <c r="G291" s="15" t="s">
        <v>18</v>
      </c>
      <c r="H291" s="15" t="s">
        <v>6477</v>
      </c>
      <c r="I291" s="15" t="s">
        <v>6478</v>
      </c>
      <c r="J291" s="10" t="s">
        <v>6479</v>
      </c>
      <c r="K291" s="15">
        <v>47</v>
      </c>
    </row>
    <row r="292" spans="1:11" ht="15" customHeight="1" x14ac:dyDescent="0.2">
      <c r="A292" s="13" t="s">
        <v>6480</v>
      </c>
      <c r="B292" s="13" t="s">
        <v>6481</v>
      </c>
      <c r="C292" s="13">
        <v>1966</v>
      </c>
      <c r="D292" s="13" t="s">
        <v>15</v>
      </c>
      <c r="E292" s="13" t="s">
        <v>566</v>
      </c>
      <c r="F292" s="13">
        <v>4.8</v>
      </c>
      <c r="G292" s="13" t="s">
        <v>28</v>
      </c>
      <c r="H292" s="13" t="s">
        <v>6482</v>
      </c>
      <c r="I292" s="13" t="s">
        <v>6483</v>
      </c>
      <c r="J292" s="9" t="s">
        <v>6484</v>
      </c>
      <c r="K292" s="13">
        <v>15</v>
      </c>
    </row>
    <row r="293" spans="1:11" ht="15" customHeight="1" x14ac:dyDescent="0.2">
      <c r="A293" s="13" t="s">
        <v>2541</v>
      </c>
      <c r="B293" s="13" t="s">
        <v>2542</v>
      </c>
      <c r="C293" s="13">
        <v>1983</v>
      </c>
      <c r="D293" s="13" t="s">
        <v>15</v>
      </c>
      <c r="E293" s="13" t="s">
        <v>6485</v>
      </c>
      <c r="F293" s="13">
        <v>7.202</v>
      </c>
      <c r="G293" s="13" t="s">
        <v>18</v>
      </c>
      <c r="H293" s="13" t="s">
        <v>2543</v>
      </c>
      <c r="I293" s="13" t="s">
        <v>2544</v>
      </c>
      <c r="J293" s="9" t="s">
        <v>2545</v>
      </c>
      <c r="K293" s="13">
        <v>1485</v>
      </c>
    </row>
    <row r="294" spans="1:11" ht="15" customHeight="1" x14ac:dyDescent="0.2">
      <c r="A294" s="13" t="s">
        <v>6486</v>
      </c>
      <c r="B294" s="13" t="s">
        <v>6487</v>
      </c>
      <c r="C294" s="13">
        <v>1942</v>
      </c>
      <c r="D294" s="13" t="s">
        <v>15</v>
      </c>
      <c r="E294" s="13" t="s">
        <v>1052</v>
      </c>
      <c r="F294" s="13">
        <v>6.9829999999999997</v>
      </c>
      <c r="G294" s="13" t="s">
        <v>18</v>
      </c>
      <c r="H294" s="13" t="s">
        <v>6488</v>
      </c>
      <c r="I294" s="13" t="s">
        <v>6489</v>
      </c>
      <c r="J294" s="9" t="s">
        <v>6490</v>
      </c>
      <c r="K294" s="13">
        <v>200</v>
      </c>
    </row>
    <row r="295" spans="1:11" ht="15" customHeight="1" x14ac:dyDescent="0.2">
      <c r="A295" s="13" t="s">
        <v>6491</v>
      </c>
      <c r="B295" s="13" t="s">
        <v>6492</v>
      </c>
      <c r="C295" s="13">
        <v>1956</v>
      </c>
      <c r="D295" s="13" t="s">
        <v>15</v>
      </c>
      <c r="E295" s="13" t="s">
        <v>5767</v>
      </c>
      <c r="F295" s="13">
        <v>5.8</v>
      </c>
      <c r="G295" s="13" t="s">
        <v>46</v>
      </c>
      <c r="H295" s="13" t="s">
        <v>6493</v>
      </c>
      <c r="I295" s="13" t="s">
        <v>6494</v>
      </c>
      <c r="J295" s="9" t="s">
        <v>6495</v>
      </c>
      <c r="K295" s="13">
        <v>20</v>
      </c>
    </row>
    <row r="296" spans="1:11" ht="15" customHeight="1" x14ac:dyDescent="0.2">
      <c r="A296" s="13" t="s">
        <v>6496</v>
      </c>
      <c r="B296" s="13" t="s">
        <v>6497</v>
      </c>
      <c r="C296" s="13">
        <v>1966</v>
      </c>
      <c r="D296" s="13" t="s">
        <v>15</v>
      </c>
      <c r="E296" s="13" t="s">
        <v>531</v>
      </c>
      <c r="F296" s="13">
        <v>6.3</v>
      </c>
      <c r="G296" s="13" t="s">
        <v>46</v>
      </c>
      <c r="H296" s="13" t="s">
        <v>6498</v>
      </c>
      <c r="I296" s="13" t="s">
        <v>6499</v>
      </c>
      <c r="J296" s="9" t="s">
        <v>6500</v>
      </c>
      <c r="K296" s="13">
        <v>33</v>
      </c>
    </row>
    <row r="297" spans="1:11" ht="15" customHeight="1" x14ac:dyDescent="0.2">
      <c r="A297" s="13" t="s">
        <v>6501</v>
      </c>
      <c r="B297" s="13" t="s">
        <v>6501</v>
      </c>
      <c r="C297" s="13">
        <v>1985</v>
      </c>
      <c r="D297" s="13" t="s">
        <v>15</v>
      </c>
      <c r="E297" s="13" t="s">
        <v>2997</v>
      </c>
      <c r="F297" s="13">
        <v>7.3920000000000003</v>
      </c>
      <c r="G297" s="13" t="s">
        <v>18</v>
      </c>
      <c r="H297" s="13" t="s">
        <v>6502</v>
      </c>
      <c r="I297" s="13" t="s">
        <v>6503</v>
      </c>
      <c r="J297" s="9" t="s">
        <v>6504</v>
      </c>
      <c r="K297" s="13">
        <v>1102</v>
      </c>
    </row>
    <row r="298" spans="1:11" ht="15" customHeight="1" x14ac:dyDescent="0.2">
      <c r="A298" s="13" t="s">
        <v>6505</v>
      </c>
      <c r="B298" s="13" t="s">
        <v>6506</v>
      </c>
      <c r="C298" s="13">
        <v>1947</v>
      </c>
      <c r="D298" s="13" t="s">
        <v>15</v>
      </c>
      <c r="E298" s="13" t="s">
        <v>542</v>
      </c>
      <c r="F298" s="13">
        <v>0</v>
      </c>
      <c r="G298" s="13"/>
      <c r="H298" s="13" t="s">
        <v>6507</v>
      </c>
      <c r="I298" s="13" t="s">
        <v>6508</v>
      </c>
      <c r="J298" s="9" t="s">
        <v>6509</v>
      </c>
      <c r="K298" s="13">
        <v>0</v>
      </c>
    </row>
    <row r="299" spans="1:11" ht="15" customHeight="1" x14ac:dyDescent="0.2">
      <c r="A299" s="13" t="s">
        <v>6510</v>
      </c>
      <c r="B299" s="13" t="s">
        <v>6511</v>
      </c>
      <c r="C299" s="13">
        <v>1958</v>
      </c>
      <c r="D299" s="13" t="s">
        <v>15</v>
      </c>
      <c r="E299" s="13" t="s">
        <v>1052</v>
      </c>
      <c r="F299" s="13">
        <v>6.6</v>
      </c>
      <c r="G299" s="13" t="s">
        <v>18</v>
      </c>
      <c r="H299" s="13" t="s">
        <v>6512</v>
      </c>
      <c r="I299" s="13" t="s">
        <v>6513</v>
      </c>
      <c r="J299" s="9" t="s">
        <v>6514</v>
      </c>
      <c r="K299" s="13">
        <v>39</v>
      </c>
    </row>
    <row r="300" spans="1:11" ht="15" customHeight="1" x14ac:dyDescent="0.2">
      <c r="A300" s="13" t="s">
        <v>6515</v>
      </c>
      <c r="B300" s="13" t="s">
        <v>2739</v>
      </c>
      <c r="C300" s="13">
        <v>1947</v>
      </c>
      <c r="D300" s="13" t="s">
        <v>15</v>
      </c>
      <c r="E300" s="13" t="s">
        <v>6516</v>
      </c>
      <c r="F300" s="13">
        <v>6.8</v>
      </c>
      <c r="G300" s="13" t="s">
        <v>18</v>
      </c>
      <c r="H300" s="13" t="s">
        <v>6517</v>
      </c>
      <c r="I300" s="13" t="s">
        <v>6518</v>
      </c>
      <c r="J300" s="9" t="s">
        <v>6519</v>
      </c>
      <c r="K300" s="13">
        <v>133</v>
      </c>
    </row>
    <row r="301" spans="1:11" ht="15" customHeight="1" x14ac:dyDescent="0.2">
      <c r="A301" s="15" t="s">
        <v>6520</v>
      </c>
      <c r="B301" s="15" t="s">
        <v>6521</v>
      </c>
      <c r="C301" s="15">
        <v>1940</v>
      </c>
      <c r="D301" s="15" t="s">
        <v>15</v>
      </c>
      <c r="E301" s="15" t="s">
        <v>1961</v>
      </c>
      <c r="F301" s="15">
        <v>8.093</v>
      </c>
      <c r="G301" s="15" t="s">
        <v>77</v>
      </c>
      <c r="H301" s="15" t="s">
        <v>6522</v>
      </c>
      <c r="I301" s="15" t="s">
        <v>6523</v>
      </c>
      <c r="J301" s="10" t="s">
        <v>6524</v>
      </c>
      <c r="K301" s="15">
        <v>790</v>
      </c>
    </row>
    <row r="302" spans="1:11" ht="15" customHeight="1" x14ac:dyDescent="0.2">
      <c r="A302" s="13" t="s">
        <v>6525</v>
      </c>
      <c r="B302" s="13" t="s">
        <v>6526</v>
      </c>
      <c r="C302" s="13">
        <v>1978</v>
      </c>
      <c r="D302" s="13" t="s">
        <v>2463</v>
      </c>
      <c r="E302" s="13" t="s">
        <v>1510</v>
      </c>
      <c r="F302" s="13">
        <v>7</v>
      </c>
      <c r="G302" s="13" t="s">
        <v>18</v>
      </c>
      <c r="H302" s="13" t="s">
        <v>6527</v>
      </c>
      <c r="I302" s="13" t="s">
        <v>6528</v>
      </c>
      <c r="J302" s="9" t="s">
        <v>6529</v>
      </c>
      <c r="K302" s="13">
        <v>153</v>
      </c>
    </row>
    <row r="303" spans="1:11" ht="15" customHeight="1" x14ac:dyDescent="0.2">
      <c r="A303" s="13" t="s">
        <v>6530</v>
      </c>
      <c r="B303" s="13" t="s">
        <v>6531</v>
      </c>
      <c r="C303" s="13">
        <v>1965</v>
      </c>
      <c r="D303" s="13" t="s">
        <v>15</v>
      </c>
      <c r="E303" s="13" t="s">
        <v>531</v>
      </c>
      <c r="F303" s="13">
        <v>7.1180000000000003</v>
      </c>
      <c r="G303" s="13" t="s">
        <v>18</v>
      </c>
      <c r="H303" s="13" t="s">
        <v>6532</v>
      </c>
      <c r="I303" s="13" t="s">
        <v>6533</v>
      </c>
      <c r="J303" s="9" t="s">
        <v>6534</v>
      </c>
      <c r="K303" s="13">
        <v>51</v>
      </c>
    </row>
    <row r="304" spans="1:11" ht="15" customHeight="1" x14ac:dyDescent="0.2">
      <c r="A304" s="13" t="s">
        <v>6535</v>
      </c>
      <c r="B304" s="13" t="s">
        <v>6536</v>
      </c>
      <c r="C304" s="13">
        <v>1957</v>
      </c>
      <c r="D304" s="13" t="s">
        <v>1316</v>
      </c>
      <c r="E304" s="13" t="s">
        <v>1270</v>
      </c>
      <c r="F304" s="13">
        <v>6.5</v>
      </c>
      <c r="G304" s="13" t="s">
        <v>46</v>
      </c>
      <c r="H304" s="13" t="s">
        <v>6537</v>
      </c>
      <c r="I304" s="13" t="s">
        <v>6538</v>
      </c>
      <c r="J304" s="9" t="s">
        <v>6539</v>
      </c>
      <c r="K304" s="13">
        <v>34</v>
      </c>
    </row>
    <row r="305" spans="1:11" ht="15" customHeight="1" x14ac:dyDescent="0.2">
      <c r="A305" s="13" t="s">
        <v>6540</v>
      </c>
      <c r="B305" s="13" t="s">
        <v>6541</v>
      </c>
      <c r="C305" s="13">
        <v>1965</v>
      </c>
      <c r="D305" s="13" t="s">
        <v>15</v>
      </c>
      <c r="E305" s="13" t="s">
        <v>1510</v>
      </c>
      <c r="F305" s="13">
        <v>7.06</v>
      </c>
      <c r="G305" s="13" t="s">
        <v>18</v>
      </c>
      <c r="H305" s="13" t="s">
        <v>6542</v>
      </c>
      <c r="I305" s="13" t="s">
        <v>6543</v>
      </c>
      <c r="J305" s="9" t="s">
        <v>6544</v>
      </c>
      <c r="K305" s="13">
        <v>316</v>
      </c>
    </row>
    <row r="306" spans="1:11" ht="15" customHeight="1" x14ac:dyDescent="0.2">
      <c r="A306" s="13" t="s">
        <v>6545</v>
      </c>
      <c r="B306" s="13" t="s">
        <v>6546</v>
      </c>
      <c r="C306" s="13">
        <v>1973</v>
      </c>
      <c r="D306" s="13" t="s">
        <v>15</v>
      </c>
      <c r="E306" s="13" t="s">
        <v>5302</v>
      </c>
      <c r="F306" s="13">
        <v>8.0210000000000008</v>
      </c>
      <c r="G306" s="13" t="s">
        <v>77</v>
      </c>
      <c r="H306" s="13" t="s">
        <v>6547</v>
      </c>
      <c r="I306" s="13" t="s">
        <v>6548</v>
      </c>
      <c r="J306" s="9" t="s">
        <v>6549</v>
      </c>
      <c r="K306" s="13">
        <v>2818</v>
      </c>
    </row>
    <row r="307" spans="1:11" ht="15" customHeight="1" x14ac:dyDescent="0.2">
      <c r="A307" s="13" t="s">
        <v>6550</v>
      </c>
      <c r="B307" s="13" t="s">
        <v>6551</v>
      </c>
      <c r="C307" s="13">
        <v>1966</v>
      </c>
      <c r="D307" s="13" t="s">
        <v>6552</v>
      </c>
      <c r="E307" s="13" t="s">
        <v>6553</v>
      </c>
      <c r="F307" s="13">
        <v>7</v>
      </c>
      <c r="G307" s="13" t="s">
        <v>18</v>
      </c>
      <c r="H307" s="13" t="s">
        <v>6554</v>
      </c>
      <c r="I307" s="13" t="s">
        <v>6555</v>
      </c>
      <c r="J307" s="9" t="s">
        <v>6556</v>
      </c>
      <c r="K307" s="13">
        <v>34</v>
      </c>
    </row>
    <row r="308" spans="1:11" ht="15" customHeight="1" x14ac:dyDescent="0.2">
      <c r="A308" s="13" t="s">
        <v>6557</v>
      </c>
      <c r="B308" s="13" t="s">
        <v>6558</v>
      </c>
      <c r="C308" s="13">
        <v>1946</v>
      </c>
      <c r="D308" s="13" t="s">
        <v>15</v>
      </c>
      <c r="E308" s="13" t="s">
        <v>6559</v>
      </c>
      <c r="F308" s="13">
        <v>6.4569999999999999</v>
      </c>
      <c r="G308" s="13" t="s">
        <v>46</v>
      </c>
      <c r="H308" s="13" t="s">
        <v>6560</v>
      </c>
      <c r="I308" s="13" t="s">
        <v>6561</v>
      </c>
      <c r="J308" s="9" t="s">
        <v>6562</v>
      </c>
      <c r="K308" s="13">
        <v>47</v>
      </c>
    </row>
    <row r="309" spans="1:11" ht="15" customHeight="1" x14ac:dyDescent="0.2">
      <c r="A309" s="13" t="s">
        <v>6563</v>
      </c>
      <c r="B309" s="13" t="s">
        <v>6558</v>
      </c>
      <c r="C309" s="13">
        <v>1982</v>
      </c>
      <c r="D309" s="13" t="s">
        <v>15</v>
      </c>
      <c r="E309" s="13" t="s">
        <v>566</v>
      </c>
      <c r="F309" s="13">
        <v>7.4370000000000003</v>
      </c>
      <c r="G309" s="13" t="s">
        <v>18</v>
      </c>
      <c r="H309" s="13" t="s">
        <v>6564</v>
      </c>
      <c r="I309" s="13" t="s">
        <v>6565</v>
      </c>
      <c r="J309" s="9" t="s">
        <v>6566</v>
      </c>
      <c r="K309" s="13">
        <v>689</v>
      </c>
    </row>
    <row r="310" spans="1:11" ht="15" customHeight="1" x14ac:dyDescent="0.2">
      <c r="A310" s="13" t="s">
        <v>6567</v>
      </c>
      <c r="B310" s="13" t="s">
        <v>6568</v>
      </c>
      <c r="C310" s="13">
        <v>1949</v>
      </c>
      <c r="D310" s="13" t="s">
        <v>15</v>
      </c>
      <c r="E310" s="13" t="s">
        <v>6086</v>
      </c>
      <c r="F310" s="13">
        <v>6.93</v>
      </c>
      <c r="G310" s="13" t="s">
        <v>18</v>
      </c>
      <c r="H310" s="13" t="s">
        <v>6569</v>
      </c>
      <c r="I310" s="13" t="s">
        <v>6570</v>
      </c>
      <c r="J310" s="9" t="s">
        <v>6571</v>
      </c>
      <c r="K310" s="13">
        <v>71</v>
      </c>
    </row>
    <row r="311" spans="1:11" ht="15" customHeight="1" x14ac:dyDescent="0.2">
      <c r="A311" s="15" t="s">
        <v>6572</v>
      </c>
      <c r="B311" s="15" t="s">
        <v>6573</v>
      </c>
      <c r="C311" s="15">
        <v>1959</v>
      </c>
      <c r="D311" s="15" t="s">
        <v>15</v>
      </c>
      <c r="E311" s="15" t="s">
        <v>566</v>
      </c>
      <c r="F311" s="15">
        <v>7.4409999999999998</v>
      </c>
      <c r="G311" s="15" t="s">
        <v>18</v>
      </c>
      <c r="H311" s="15" t="s">
        <v>6574</v>
      </c>
      <c r="I311" s="15" t="s">
        <v>6575</v>
      </c>
      <c r="J311" s="10" t="s">
        <v>6576</v>
      </c>
      <c r="K311" s="15">
        <v>51</v>
      </c>
    </row>
    <row r="312" spans="1:11" ht="15" customHeight="1" x14ac:dyDescent="0.2">
      <c r="A312" s="13" t="s">
        <v>6577</v>
      </c>
      <c r="B312" s="13" t="s">
        <v>6578</v>
      </c>
      <c r="C312" s="13">
        <v>1957</v>
      </c>
      <c r="D312" s="13" t="s">
        <v>15</v>
      </c>
      <c r="E312" s="13" t="s">
        <v>1013</v>
      </c>
      <c r="F312" s="13">
        <v>5.5830000000000002</v>
      </c>
      <c r="G312" s="13" t="s">
        <v>46</v>
      </c>
      <c r="H312" s="13" t="s">
        <v>6579</v>
      </c>
      <c r="I312" s="13" t="s">
        <v>6580</v>
      </c>
      <c r="J312" s="9"/>
      <c r="K312" s="13">
        <v>12</v>
      </c>
    </row>
    <row r="313" spans="1:11" ht="15" customHeight="1" x14ac:dyDescent="0.2">
      <c r="A313" s="13" t="s">
        <v>6581</v>
      </c>
      <c r="B313" s="13" t="s">
        <v>6582</v>
      </c>
      <c r="C313" s="13">
        <v>1967</v>
      </c>
      <c r="D313" s="13" t="s">
        <v>15</v>
      </c>
      <c r="E313" s="13" t="s">
        <v>1270</v>
      </c>
      <c r="F313" s="13">
        <v>6.9</v>
      </c>
      <c r="G313" s="13" t="s">
        <v>18</v>
      </c>
      <c r="H313" s="13" t="s">
        <v>6583</v>
      </c>
      <c r="I313" s="13" t="s">
        <v>6584</v>
      </c>
      <c r="J313" s="9" t="s">
        <v>6585</v>
      </c>
      <c r="K313" s="13">
        <v>95</v>
      </c>
    </row>
    <row r="314" spans="1:11" ht="15" customHeight="1" x14ac:dyDescent="0.2">
      <c r="A314" s="13" t="s">
        <v>6586</v>
      </c>
      <c r="B314" s="13" t="s">
        <v>6587</v>
      </c>
      <c r="C314" s="13">
        <v>1950</v>
      </c>
      <c r="D314" s="13" t="s">
        <v>15</v>
      </c>
      <c r="E314" s="13" t="s">
        <v>1595</v>
      </c>
      <c r="F314" s="13">
        <v>6.1</v>
      </c>
      <c r="G314" s="13" t="s">
        <v>46</v>
      </c>
      <c r="H314" s="13" t="s">
        <v>6588</v>
      </c>
      <c r="I314" s="13" t="s">
        <v>6589</v>
      </c>
      <c r="J314" s="9" t="s">
        <v>6590</v>
      </c>
      <c r="K314" s="13">
        <v>14</v>
      </c>
    </row>
    <row r="315" spans="1:11" ht="15" customHeight="1" x14ac:dyDescent="0.2">
      <c r="A315" s="13" t="s">
        <v>6591</v>
      </c>
      <c r="B315" s="13" t="s">
        <v>6592</v>
      </c>
      <c r="C315" s="13">
        <v>1946</v>
      </c>
      <c r="D315" s="13" t="s">
        <v>15</v>
      </c>
      <c r="E315" s="13" t="s">
        <v>6086</v>
      </c>
      <c r="F315" s="13">
        <v>6.4</v>
      </c>
      <c r="G315" s="13" t="s">
        <v>46</v>
      </c>
      <c r="H315" s="13" t="s">
        <v>6593</v>
      </c>
      <c r="I315" s="13" t="s">
        <v>6594</v>
      </c>
      <c r="J315" s="9" t="s">
        <v>5396</v>
      </c>
      <c r="K315" s="13">
        <v>36</v>
      </c>
    </row>
    <row r="316" spans="1:11" ht="15" customHeight="1" x14ac:dyDescent="0.2">
      <c r="A316" s="13" t="s">
        <v>6595</v>
      </c>
      <c r="B316" s="13" t="s">
        <v>6596</v>
      </c>
      <c r="C316" s="13">
        <v>1955</v>
      </c>
      <c r="D316" s="13" t="s">
        <v>15</v>
      </c>
      <c r="E316" s="13" t="s">
        <v>468</v>
      </c>
      <c r="F316" s="13">
        <v>6.359</v>
      </c>
      <c r="G316" s="13" t="s">
        <v>46</v>
      </c>
      <c r="H316" s="13" t="s">
        <v>6597</v>
      </c>
      <c r="I316" s="13" t="s">
        <v>6598</v>
      </c>
      <c r="J316" s="9" t="s">
        <v>6599</v>
      </c>
      <c r="K316" s="13">
        <v>32</v>
      </c>
    </row>
    <row r="317" spans="1:11" ht="15" customHeight="1" x14ac:dyDescent="0.2">
      <c r="A317" s="13" t="s">
        <v>6600</v>
      </c>
      <c r="B317" s="13" t="s">
        <v>6601</v>
      </c>
      <c r="C317" s="13">
        <v>1967</v>
      </c>
      <c r="D317" s="13" t="s">
        <v>1316</v>
      </c>
      <c r="E317" s="13" t="s">
        <v>566</v>
      </c>
      <c r="F317" s="13">
        <v>7.4930000000000003</v>
      </c>
      <c r="G317" s="13" t="s">
        <v>18</v>
      </c>
      <c r="H317" s="13" t="s">
        <v>6602</v>
      </c>
      <c r="I317" s="13" t="s">
        <v>6603</v>
      </c>
      <c r="J317" s="9" t="s">
        <v>6604</v>
      </c>
      <c r="K317" s="13">
        <v>333</v>
      </c>
    </row>
    <row r="318" spans="1:11" ht="15" customHeight="1" x14ac:dyDescent="0.2">
      <c r="A318" s="13" t="s">
        <v>1947</v>
      </c>
      <c r="B318" s="13" t="s">
        <v>6605</v>
      </c>
      <c r="C318" s="13">
        <v>1945</v>
      </c>
      <c r="D318" s="13" t="s">
        <v>15</v>
      </c>
      <c r="E318" s="13" t="s">
        <v>566</v>
      </c>
      <c r="F318" s="13">
        <v>0</v>
      </c>
      <c r="G318" s="13"/>
      <c r="H318" s="13" t="s">
        <v>1950</v>
      </c>
      <c r="I318" s="13" t="s">
        <v>6606</v>
      </c>
      <c r="J318" s="9" t="s">
        <v>1952</v>
      </c>
      <c r="K318" s="13">
        <v>0</v>
      </c>
    </row>
    <row r="319" spans="1:11" ht="15" customHeight="1" x14ac:dyDescent="0.2">
      <c r="A319" s="13" t="s">
        <v>6607</v>
      </c>
      <c r="B319" s="13" t="s">
        <v>6608</v>
      </c>
      <c r="C319" s="13">
        <v>1944</v>
      </c>
      <c r="D319" s="13" t="s">
        <v>15</v>
      </c>
      <c r="E319" s="13" t="s">
        <v>1052</v>
      </c>
      <c r="F319" s="13">
        <v>5.2729999999999997</v>
      </c>
      <c r="G319" s="13" t="s">
        <v>28</v>
      </c>
      <c r="H319" s="13" t="s">
        <v>6609</v>
      </c>
      <c r="I319" s="13" t="s">
        <v>6610</v>
      </c>
      <c r="J319" s="9" t="s">
        <v>6611</v>
      </c>
      <c r="K319" s="13">
        <v>11</v>
      </c>
    </row>
    <row r="320" spans="1:11" ht="15" customHeight="1" x14ac:dyDescent="0.2">
      <c r="A320" s="13" t="s">
        <v>1732</v>
      </c>
      <c r="B320" s="13" t="s">
        <v>1733</v>
      </c>
      <c r="C320" s="13">
        <v>1940</v>
      </c>
      <c r="D320" s="13" t="s">
        <v>15</v>
      </c>
      <c r="E320" s="13" t="s">
        <v>1052</v>
      </c>
      <c r="F320" s="13">
        <v>6.3</v>
      </c>
      <c r="G320" s="13" t="s">
        <v>46</v>
      </c>
      <c r="H320" s="13" t="s">
        <v>1734</v>
      </c>
      <c r="I320" s="13" t="s">
        <v>1735</v>
      </c>
      <c r="J320" s="9"/>
      <c r="K320" s="13">
        <v>18</v>
      </c>
    </row>
    <row r="321" spans="1:11" ht="15" customHeight="1" x14ac:dyDescent="0.2">
      <c r="A321" s="15" t="s">
        <v>6612</v>
      </c>
      <c r="B321" s="15" t="s">
        <v>6612</v>
      </c>
      <c r="C321" s="15">
        <v>1964</v>
      </c>
      <c r="D321" s="15" t="s">
        <v>15</v>
      </c>
      <c r="E321" s="15" t="s">
        <v>1117</v>
      </c>
      <c r="F321" s="15">
        <v>6.4749999999999996</v>
      </c>
      <c r="G321" s="15" t="s">
        <v>46</v>
      </c>
      <c r="H321" s="15" t="s">
        <v>6613</v>
      </c>
      <c r="I321" s="15" t="s">
        <v>6614</v>
      </c>
      <c r="J321" s="10" t="s">
        <v>6615</v>
      </c>
      <c r="K321" s="15">
        <v>198</v>
      </c>
    </row>
    <row r="322" spans="1:11" ht="15" customHeight="1" x14ac:dyDescent="0.2">
      <c r="A322" s="13" t="s">
        <v>6616</v>
      </c>
      <c r="B322" s="13" t="s">
        <v>6617</v>
      </c>
      <c r="C322" s="13">
        <v>1958</v>
      </c>
      <c r="D322" s="13" t="s">
        <v>15</v>
      </c>
      <c r="E322" s="13" t="s">
        <v>1863</v>
      </c>
      <c r="F322" s="13">
        <v>7.76</v>
      </c>
      <c r="G322" s="13" t="s">
        <v>77</v>
      </c>
      <c r="H322" s="13" t="s">
        <v>6618</v>
      </c>
      <c r="I322" s="13" t="s">
        <v>6619</v>
      </c>
      <c r="J322" s="9" t="s">
        <v>6620</v>
      </c>
      <c r="K322" s="13">
        <v>1536</v>
      </c>
    </row>
    <row r="323" spans="1:11" ht="15" customHeight="1" x14ac:dyDescent="0.2">
      <c r="A323" s="13" t="s">
        <v>6621</v>
      </c>
      <c r="B323" s="13" t="s">
        <v>6622</v>
      </c>
      <c r="C323" s="13">
        <v>1956</v>
      </c>
      <c r="D323" s="13" t="s">
        <v>15</v>
      </c>
      <c r="E323" s="13" t="s">
        <v>1024</v>
      </c>
      <c r="F323" s="13">
        <v>5.6360000000000001</v>
      </c>
      <c r="G323" s="13" t="s">
        <v>46</v>
      </c>
      <c r="H323" s="13" t="s">
        <v>6623</v>
      </c>
      <c r="I323" s="13" t="s">
        <v>6624</v>
      </c>
      <c r="J323" s="9" t="s">
        <v>6625</v>
      </c>
      <c r="K323" s="13">
        <v>12</v>
      </c>
    </row>
    <row r="324" spans="1:11" ht="15" customHeight="1" x14ac:dyDescent="0.2">
      <c r="A324" s="13" t="s">
        <v>6626</v>
      </c>
      <c r="B324" s="13" t="s">
        <v>6627</v>
      </c>
      <c r="C324" s="13">
        <v>1963</v>
      </c>
      <c r="D324" s="13" t="s">
        <v>15</v>
      </c>
      <c r="E324" s="13" t="s">
        <v>566</v>
      </c>
      <c r="F324" s="13">
        <v>5.9050000000000002</v>
      </c>
      <c r="G324" s="13" t="s">
        <v>46</v>
      </c>
      <c r="H324" s="13" t="s">
        <v>6628</v>
      </c>
      <c r="I324" s="13" t="s">
        <v>6629</v>
      </c>
      <c r="J324" s="9" t="s">
        <v>6630</v>
      </c>
      <c r="K324" s="13">
        <v>21</v>
      </c>
    </row>
    <row r="325" spans="1:11" ht="15" customHeight="1" x14ac:dyDescent="0.2">
      <c r="A325" s="13" t="s">
        <v>6631</v>
      </c>
      <c r="B325" s="13" t="s">
        <v>6631</v>
      </c>
      <c r="C325" s="13">
        <v>1952</v>
      </c>
      <c r="D325" s="13" t="s">
        <v>15</v>
      </c>
      <c r="E325" s="13" t="s">
        <v>934</v>
      </c>
      <c r="F325" s="13">
        <v>7.3</v>
      </c>
      <c r="G325" s="13" t="s">
        <v>18</v>
      </c>
      <c r="H325" s="13" t="s">
        <v>6632</v>
      </c>
      <c r="I325" s="13" t="s">
        <v>6633</v>
      </c>
      <c r="J325" s="9" t="s">
        <v>6634</v>
      </c>
      <c r="K325" s="13">
        <v>157</v>
      </c>
    </row>
    <row r="326" spans="1:11" ht="15" customHeight="1" x14ac:dyDescent="0.2">
      <c r="A326" s="13" t="s">
        <v>6635</v>
      </c>
      <c r="B326" s="13" t="s">
        <v>6636</v>
      </c>
      <c r="C326" s="13">
        <v>1972</v>
      </c>
      <c r="D326" s="13" t="s">
        <v>6637</v>
      </c>
      <c r="E326" s="13" t="s">
        <v>1863</v>
      </c>
      <c r="F326" s="13">
        <v>6.17</v>
      </c>
      <c r="G326" s="13" t="s">
        <v>46</v>
      </c>
      <c r="H326" s="13" t="s">
        <v>6638</v>
      </c>
      <c r="I326" s="13" t="s">
        <v>6639</v>
      </c>
      <c r="J326" s="9" t="s">
        <v>6640</v>
      </c>
      <c r="K326" s="13">
        <v>56</v>
      </c>
    </row>
    <row r="327" spans="1:11" ht="15" customHeight="1" x14ac:dyDescent="0.2">
      <c r="A327" s="13" t="s">
        <v>6641</v>
      </c>
      <c r="B327" s="13" t="s">
        <v>6642</v>
      </c>
      <c r="C327" s="13">
        <v>1969</v>
      </c>
      <c r="D327" s="13" t="s">
        <v>6643</v>
      </c>
      <c r="E327" s="13" t="s">
        <v>1024</v>
      </c>
      <c r="F327" s="13">
        <v>6.3</v>
      </c>
      <c r="G327" s="13" t="s">
        <v>46</v>
      </c>
      <c r="H327" s="13" t="s">
        <v>6644</v>
      </c>
      <c r="I327" s="13" t="s">
        <v>6645</v>
      </c>
      <c r="J327" s="9" t="s">
        <v>6646</v>
      </c>
      <c r="K327" s="13">
        <v>49</v>
      </c>
    </row>
    <row r="328" spans="1:11" ht="15" customHeight="1" x14ac:dyDescent="0.2">
      <c r="A328" s="13" t="s">
        <v>6647</v>
      </c>
      <c r="B328" s="13" t="s">
        <v>6648</v>
      </c>
      <c r="C328" s="13">
        <v>1963</v>
      </c>
      <c r="D328" s="13" t="s">
        <v>15</v>
      </c>
      <c r="E328" s="13" t="s">
        <v>1052</v>
      </c>
      <c r="F328" s="13">
        <v>5.9</v>
      </c>
      <c r="G328" s="13" t="s">
        <v>46</v>
      </c>
      <c r="H328" s="13" t="s">
        <v>6649</v>
      </c>
      <c r="I328" s="13" t="s">
        <v>6650</v>
      </c>
      <c r="J328" s="9" t="s">
        <v>6651</v>
      </c>
      <c r="K328" s="13">
        <v>27</v>
      </c>
    </row>
    <row r="329" spans="1:11" ht="15" customHeight="1" x14ac:dyDescent="0.2">
      <c r="A329" s="13" t="s">
        <v>6652</v>
      </c>
      <c r="B329" s="13" t="s">
        <v>6653</v>
      </c>
      <c r="C329" s="13">
        <v>1949</v>
      </c>
      <c r="D329" s="13" t="s">
        <v>15</v>
      </c>
      <c r="E329" s="13" t="s">
        <v>6086</v>
      </c>
      <c r="F329" s="13">
        <v>6.1</v>
      </c>
      <c r="G329" s="13" t="s">
        <v>46</v>
      </c>
      <c r="H329" s="13" t="s">
        <v>6654</v>
      </c>
      <c r="I329" s="13" t="s">
        <v>6655</v>
      </c>
      <c r="J329" s="9" t="s">
        <v>6656</v>
      </c>
      <c r="K329" s="13">
        <v>21</v>
      </c>
    </row>
    <row r="330" spans="1:11" ht="15" customHeight="1" x14ac:dyDescent="0.2">
      <c r="A330" s="13" t="s">
        <v>6657</v>
      </c>
      <c r="B330" s="13" t="s">
        <v>6658</v>
      </c>
      <c r="C330" s="13">
        <v>1948</v>
      </c>
      <c r="D330" s="13" t="s">
        <v>15</v>
      </c>
      <c r="E330" s="13" t="s">
        <v>6659</v>
      </c>
      <c r="F330" s="13">
        <v>5</v>
      </c>
      <c r="G330" s="13" t="s">
        <v>28</v>
      </c>
      <c r="H330" s="13" t="s">
        <v>6660</v>
      </c>
      <c r="I330" s="13" t="s">
        <v>6661</v>
      </c>
      <c r="J330" s="9" t="s">
        <v>6662</v>
      </c>
      <c r="K330" s="13">
        <v>24</v>
      </c>
    </row>
    <row r="331" spans="1:11" ht="15" customHeight="1" x14ac:dyDescent="0.2">
      <c r="A331" s="15" t="s">
        <v>6663</v>
      </c>
      <c r="B331" s="15" t="s">
        <v>6663</v>
      </c>
      <c r="C331" s="15">
        <v>1962</v>
      </c>
      <c r="D331" s="15" t="s">
        <v>15</v>
      </c>
      <c r="E331" s="15" t="s">
        <v>399</v>
      </c>
      <c r="F331" s="15">
        <v>0</v>
      </c>
      <c r="G331" s="15"/>
      <c r="H331" s="15" t="s">
        <v>6664</v>
      </c>
      <c r="I331" s="15" t="s">
        <v>6665</v>
      </c>
      <c r="J331" s="10" t="s">
        <v>6666</v>
      </c>
      <c r="K331" s="15">
        <v>0</v>
      </c>
    </row>
    <row r="332" spans="1:11" ht="15" customHeight="1" x14ac:dyDescent="0.2">
      <c r="A332" s="13" t="s">
        <v>6667</v>
      </c>
      <c r="B332" s="13" t="s">
        <v>6667</v>
      </c>
      <c r="C332" s="13">
        <v>1949</v>
      </c>
      <c r="D332" s="13" t="s">
        <v>15</v>
      </c>
      <c r="E332" s="13" t="s">
        <v>1900</v>
      </c>
      <c r="F332" s="13">
        <v>6.9379999999999997</v>
      </c>
      <c r="G332" s="13" t="s">
        <v>18</v>
      </c>
      <c r="H332" s="13" t="s">
        <v>6668</v>
      </c>
      <c r="I332" s="13" t="s">
        <v>6669</v>
      </c>
      <c r="J332" s="9" t="s">
        <v>6670</v>
      </c>
      <c r="K332" s="13">
        <v>24</v>
      </c>
    </row>
    <row r="333" spans="1:11" ht="15" customHeight="1" x14ac:dyDescent="0.2">
      <c r="A333" s="13" t="s">
        <v>6671</v>
      </c>
      <c r="B333" s="13" t="s">
        <v>6672</v>
      </c>
      <c r="C333" s="13">
        <v>1958</v>
      </c>
      <c r="D333" s="13" t="s">
        <v>15</v>
      </c>
      <c r="E333" s="13" t="s">
        <v>6673</v>
      </c>
      <c r="F333" s="13">
        <v>8.1549999999999994</v>
      </c>
      <c r="G333" s="13" t="s">
        <v>77</v>
      </c>
      <c r="H333" s="13" t="s">
        <v>6674</v>
      </c>
      <c r="I333" s="13" t="s">
        <v>6675</v>
      </c>
      <c r="J333" s="9" t="s">
        <v>6676</v>
      </c>
      <c r="K333" s="13">
        <v>6121</v>
      </c>
    </row>
    <row r="334" spans="1:11" ht="15" customHeight="1" x14ac:dyDescent="0.2">
      <c r="A334" s="13" t="s">
        <v>6677</v>
      </c>
      <c r="B334" s="13" t="s">
        <v>6678</v>
      </c>
      <c r="C334" s="13">
        <v>1955</v>
      </c>
      <c r="D334" s="13" t="s">
        <v>15</v>
      </c>
      <c r="E334" s="13" t="s">
        <v>5845</v>
      </c>
      <c r="F334" s="13">
        <v>6.7</v>
      </c>
      <c r="G334" s="13" t="s">
        <v>18</v>
      </c>
      <c r="H334" s="13" t="s">
        <v>6679</v>
      </c>
      <c r="I334" s="13" t="s">
        <v>6680</v>
      </c>
      <c r="J334" s="9" t="s">
        <v>6681</v>
      </c>
      <c r="K334" s="13">
        <v>74</v>
      </c>
    </row>
    <row r="335" spans="1:11" ht="15" customHeight="1" x14ac:dyDescent="0.2">
      <c r="A335" s="13" t="s">
        <v>6682</v>
      </c>
      <c r="B335" s="13" t="s">
        <v>6683</v>
      </c>
      <c r="C335" s="13">
        <v>1944</v>
      </c>
      <c r="D335" s="13" t="s">
        <v>15</v>
      </c>
      <c r="E335" s="13" t="s">
        <v>6684</v>
      </c>
      <c r="F335" s="13">
        <v>6.1449999999999996</v>
      </c>
      <c r="G335" s="13" t="s">
        <v>46</v>
      </c>
      <c r="H335" s="13" t="s">
        <v>6685</v>
      </c>
      <c r="I335" s="13" t="s">
        <v>6686</v>
      </c>
      <c r="J335" s="9" t="s">
        <v>6687</v>
      </c>
      <c r="K335" s="13">
        <v>31</v>
      </c>
    </row>
    <row r="336" spans="1:11" ht="15" customHeight="1" x14ac:dyDescent="0.2">
      <c r="A336" s="13" t="s">
        <v>6688</v>
      </c>
      <c r="B336" s="13" t="s">
        <v>6689</v>
      </c>
      <c r="C336" s="13">
        <v>1953</v>
      </c>
      <c r="D336" s="13" t="s">
        <v>15</v>
      </c>
      <c r="E336" s="13" t="s">
        <v>6690</v>
      </c>
      <c r="F336" s="13">
        <v>6.3</v>
      </c>
      <c r="G336" s="13" t="s">
        <v>46</v>
      </c>
      <c r="H336" s="13" t="s">
        <v>6691</v>
      </c>
      <c r="I336" s="13" t="s">
        <v>6692</v>
      </c>
      <c r="J336" s="9" t="s">
        <v>6693</v>
      </c>
      <c r="K336" s="13">
        <v>9</v>
      </c>
    </row>
    <row r="337" spans="1:11" ht="15" customHeight="1" x14ac:dyDescent="0.2">
      <c r="A337" s="13" t="s">
        <v>6694</v>
      </c>
      <c r="B337" s="13" t="s">
        <v>6695</v>
      </c>
      <c r="C337" s="13">
        <v>1963</v>
      </c>
      <c r="D337" s="13" t="s">
        <v>15</v>
      </c>
      <c r="E337" s="13" t="s">
        <v>1270</v>
      </c>
      <c r="F337" s="13">
        <v>5.8</v>
      </c>
      <c r="G337" s="13" t="s">
        <v>46</v>
      </c>
      <c r="H337" s="13" t="s">
        <v>6696</v>
      </c>
      <c r="I337" s="13" t="s">
        <v>6697</v>
      </c>
      <c r="J337" s="9"/>
      <c r="K337" s="13">
        <v>7</v>
      </c>
    </row>
    <row r="338" spans="1:11" ht="15" customHeight="1" x14ac:dyDescent="0.2">
      <c r="A338" s="13" t="s">
        <v>2946</v>
      </c>
      <c r="B338" s="13" t="s">
        <v>2947</v>
      </c>
      <c r="C338" s="13">
        <v>1945</v>
      </c>
      <c r="D338" s="13" t="s">
        <v>15</v>
      </c>
      <c r="E338" s="13" t="s">
        <v>1096</v>
      </c>
      <c r="F338" s="13">
        <v>6.8</v>
      </c>
      <c r="G338" s="13" t="s">
        <v>18</v>
      </c>
      <c r="H338" s="13" t="s">
        <v>2948</v>
      </c>
      <c r="I338" s="13" t="s">
        <v>2949</v>
      </c>
      <c r="J338" s="9" t="s">
        <v>2950</v>
      </c>
      <c r="K338" s="13">
        <v>25</v>
      </c>
    </row>
    <row r="339" spans="1:11" ht="15" customHeight="1" x14ac:dyDescent="0.2">
      <c r="A339" s="13" t="s">
        <v>1337</v>
      </c>
      <c r="B339" s="13" t="s">
        <v>1338</v>
      </c>
      <c r="C339" s="13">
        <v>1957</v>
      </c>
      <c r="D339" s="13" t="s">
        <v>15</v>
      </c>
      <c r="E339" s="13" t="s">
        <v>1339</v>
      </c>
      <c r="F339" s="13">
        <v>8.2159999999999993</v>
      </c>
      <c r="G339" s="13" t="s">
        <v>77</v>
      </c>
      <c r="H339" s="13" t="s">
        <v>1340</v>
      </c>
      <c r="I339" s="13" t="s">
        <v>1341</v>
      </c>
      <c r="J339" s="9" t="s">
        <v>1342</v>
      </c>
      <c r="K339" s="13">
        <v>1582</v>
      </c>
    </row>
    <row r="340" spans="1:11" ht="15" customHeight="1" x14ac:dyDescent="0.2">
      <c r="A340" s="13" t="s">
        <v>6698</v>
      </c>
      <c r="B340" s="13" t="s">
        <v>6699</v>
      </c>
      <c r="C340" s="13">
        <v>1959</v>
      </c>
      <c r="D340" s="13" t="s">
        <v>15</v>
      </c>
      <c r="E340" s="13" t="s">
        <v>1024</v>
      </c>
      <c r="F340" s="13">
        <v>6.3</v>
      </c>
      <c r="G340" s="13" t="s">
        <v>46</v>
      </c>
      <c r="H340" s="13" t="s">
        <v>6700</v>
      </c>
      <c r="I340" s="13" t="s">
        <v>6701</v>
      </c>
      <c r="J340" s="9" t="s">
        <v>6702</v>
      </c>
      <c r="K340" s="13">
        <v>11</v>
      </c>
    </row>
    <row r="341" spans="1:11" ht="15" customHeight="1" x14ac:dyDescent="0.2">
      <c r="A341" s="15" t="s">
        <v>6703</v>
      </c>
      <c r="B341" s="15" t="s">
        <v>6704</v>
      </c>
      <c r="C341" s="15">
        <v>1969</v>
      </c>
      <c r="D341" s="15" t="s">
        <v>15</v>
      </c>
      <c r="E341" s="15" t="s">
        <v>1024</v>
      </c>
      <c r="F341" s="15">
        <v>6.5490000000000004</v>
      </c>
      <c r="G341" s="15" t="s">
        <v>18</v>
      </c>
      <c r="H341" s="15" t="s">
        <v>6705</v>
      </c>
      <c r="I341" s="15" t="s">
        <v>6706</v>
      </c>
      <c r="J341" s="10" t="s">
        <v>6707</v>
      </c>
      <c r="K341" s="15">
        <v>132</v>
      </c>
    </row>
    <row r="342" spans="1:11" ht="15" customHeight="1" x14ac:dyDescent="0.2">
      <c r="A342" s="13" t="s">
        <v>6708</v>
      </c>
      <c r="B342" s="13" t="s">
        <v>6709</v>
      </c>
      <c r="C342" s="13">
        <v>1988</v>
      </c>
      <c r="D342" s="13" t="s">
        <v>3390</v>
      </c>
      <c r="E342" s="13" t="s">
        <v>6710</v>
      </c>
      <c r="F342" s="13">
        <v>7.5</v>
      </c>
      <c r="G342" s="13" t="s">
        <v>77</v>
      </c>
      <c r="H342" s="13" t="s">
        <v>6711</v>
      </c>
      <c r="I342" s="13" t="s">
        <v>6712</v>
      </c>
      <c r="J342" s="9" t="s">
        <v>6713</v>
      </c>
      <c r="K342" s="13">
        <v>75</v>
      </c>
    </row>
    <row r="343" spans="1:11" ht="15" customHeight="1" x14ac:dyDescent="0.2">
      <c r="A343" s="13" t="s">
        <v>6714</v>
      </c>
      <c r="B343" s="13" t="s">
        <v>6715</v>
      </c>
      <c r="C343" s="13">
        <v>1965</v>
      </c>
      <c r="D343" s="13" t="s">
        <v>6716</v>
      </c>
      <c r="E343" s="13" t="s">
        <v>1013</v>
      </c>
      <c r="F343" s="13">
        <v>6.2</v>
      </c>
      <c r="G343" s="13" t="s">
        <v>46</v>
      </c>
      <c r="H343" s="13" t="s">
        <v>6717</v>
      </c>
      <c r="I343" s="13" t="s">
        <v>6718</v>
      </c>
      <c r="J343" s="9" t="s">
        <v>6719</v>
      </c>
      <c r="K343" s="13">
        <v>30</v>
      </c>
    </row>
    <row r="344" spans="1:11" ht="15" customHeight="1" x14ac:dyDescent="0.2">
      <c r="A344" s="13" t="s">
        <v>6720</v>
      </c>
      <c r="B344" s="13" t="s">
        <v>6721</v>
      </c>
      <c r="C344" s="13">
        <v>1953</v>
      </c>
      <c r="D344" s="13" t="s">
        <v>6722</v>
      </c>
      <c r="E344" s="13" t="s">
        <v>566</v>
      </c>
      <c r="F344" s="13">
        <v>6.6</v>
      </c>
      <c r="G344" s="13" t="s">
        <v>18</v>
      </c>
      <c r="H344" s="13" t="s">
        <v>6723</v>
      </c>
      <c r="I344" s="13" t="s">
        <v>6724</v>
      </c>
      <c r="J344" s="9" t="s">
        <v>6725</v>
      </c>
      <c r="K344" s="13">
        <v>25</v>
      </c>
    </row>
    <row r="345" spans="1:11" ht="15" customHeight="1" x14ac:dyDescent="0.2">
      <c r="A345" s="13" t="s">
        <v>6726</v>
      </c>
      <c r="B345" s="13" t="s">
        <v>6727</v>
      </c>
      <c r="C345" s="13">
        <v>1964</v>
      </c>
      <c r="D345" s="13" t="s">
        <v>15</v>
      </c>
      <c r="E345" s="13" t="s">
        <v>1270</v>
      </c>
      <c r="F345" s="13">
        <v>5.3</v>
      </c>
      <c r="G345" s="13" t="s">
        <v>28</v>
      </c>
      <c r="H345" s="13" t="s">
        <v>6728</v>
      </c>
      <c r="I345" s="13" t="s">
        <v>6729</v>
      </c>
      <c r="J345" s="9" t="s">
        <v>6730</v>
      </c>
      <c r="K345" s="13">
        <v>13</v>
      </c>
    </row>
    <row r="346" spans="1:11" ht="15" customHeight="1" x14ac:dyDescent="0.2">
      <c r="A346" s="13" t="s">
        <v>6731</v>
      </c>
      <c r="B346" s="13" t="s">
        <v>6732</v>
      </c>
      <c r="C346" s="13">
        <v>1952</v>
      </c>
      <c r="D346" s="13" t="s">
        <v>350</v>
      </c>
      <c r="E346" s="13" t="s">
        <v>1024</v>
      </c>
      <c r="F346" s="13">
        <v>5</v>
      </c>
      <c r="G346" s="13" t="s">
        <v>28</v>
      </c>
      <c r="H346" s="13" t="s">
        <v>6733</v>
      </c>
      <c r="I346" s="13" t="s">
        <v>6734</v>
      </c>
      <c r="J346" s="9" t="s">
        <v>6735</v>
      </c>
      <c r="K346" s="13">
        <v>2</v>
      </c>
    </row>
    <row r="347" spans="1:11" ht="15" customHeight="1" x14ac:dyDescent="0.2">
      <c r="A347" s="13" t="s">
        <v>6736</v>
      </c>
      <c r="B347" s="13" t="s">
        <v>6736</v>
      </c>
      <c r="C347" s="13">
        <v>1961</v>
      </c>
      <c r="D347" s="13" t="s">
        <v>350</v>
      </c>
      <c r="E347" s="13" t="s">
        <v>566</v>
      </c>
      <c r="F347" s="13">
        <v>10</v>
      </c>
      <c r="G347" s="13" t="s">
        <v>2037</v>
      </c>
      <c r="H347" s="13" t="s">
        <v>6737</v>
      </c>
      <c r="I347" s="13" t="s">
        <v>6738</v>
      </c>
      <c r="J347" s="9" t="s">
        <v>6739</v>
      </c>
      <c r="K347" s="13">
        <v>1</v>
      </c>
    </row>
    <row r="348" spans="1:11" ht="15" customHeight="1" x14ac:dyDescent="0.2">
      <c r="A348" s="13" t="s">
        <v>6740</v>
      </c>
      <c r="B348" s="13" t="s">
        <v>6741</v>
      </c>
      <c r="C348" s="13">
        <v>1971</v>
      </c>
      <c r="D348" s="13" t="s">
        <v>6742</v>
      </c>
      <c r="E348" s="13" t="s">
        <v>84</v>
      </c>
      <c r="F348" s="13">
        <v>6.1</v>
      </c>
      <c r="G348" s="13" t="s">
        <v>46</v>
      </c>
      <c r="H348" s="13" t="s">
        <v>6743</v>
      </c>
      <c r="I348" s="13" t="s">
        <v>6744</v>
      </c>
      <c r="J348" s="9" t="s">
        <v>6745</v>
      </c>
      <c r="K348" s="13">
        <v>31</v>
      </c>
    </row>
    <row r="349" spans="1:11" ht="15" customHeight="1" x14ac:dyDescent="0.2">
      <c r="A349" s="13" t="s">
        <v>6746</v>
      </c>
      <c r="B349" s="13" t="s">
        <v>6747</v>
      </c>
      <c r="C349" s="13">
        <v>1948</v>
      </c>
      <c r="D349" s="13" t="s">
        <v>15</v>
      </c>
      <c r="E349" s="13" t="s">
        <v>1024</v>
      </c>
      <c r="F349" s="13">
        <v>7.7670000000000003</v>
      </c>
      <c r="G349" s="13" t="s">
        <v>77</v>
      </c>
      <c r="H349" s="13" t="s">
        <v>6748</v>
      </c>
      <c r="I349" s="13" t="s">
        <v>6749</v>
      </c>
      <c r="J349" s="9" t="s">
        <v>6750</v>
      </c>
      <c r="K349" s="13">
        <v>326</v>
      </c>
    </row>
    <row r="350" spans="1:11" ht="15" customHeight="1" x14ac:dyDescent="0.2">
      <c r="A350" s="13" t="s">
        <v>6751</v>
      </c>
      <c r="B350" s="13" t="s">
        <v>6752</v>
      </c>
      <c r="C350" s="13">
        <v>1974</v>
      </c>
      <c r="D350" s="13" t="s">
        <v>15</v>
      </c>
      <c r="E350" s="13" t="s">
        <v>6753</v>
      </c>
      <c r="F350" s="13">
        <v>6.125</v>
      </c>
      <c r="G350" s="13" t="s">
        <v>46</v>
      </c>
      <c r="H350" s="13" t="s">
        <v>6754</v>
      </c>
      <c r="I350" s="13" t="s">
        <v>6755</v>
      </c>
      <c r="J350" s="9" t="s">
        <v>6756</v>
      </c>
      <c r="K350" s="13">
        <v>8</v>
      </c>
    </row>
    <row r="351" spans="1:11" ht="15" customHeight="1" x14ac:dyDescent="0.2">
      <c r="A351" s="15" t="s">
        <v>6757</v>
      </c>
      <c r="B351" s="15" t="s">
        <v>6758</v>
      </c>
      <c r="C351" s="15">
        <v>1981</v>
      </c>
      <c r="D351" s="15" t="s">
        <v>1316</v>
      </c>
      <c r="E351" s="15" t="s">
        <v>6759</v>
      </c>
      <c r="F351" s="15">
        <v>6.8710000000000004</v>
      </c>
      <c r="G351" s="15" t="s">
        <v>18</v>
      </c>
      <c r="H351" s="15" t="s">
        <v>6760</v>
      </c>
      <c r="I351" s="15" t="s">
        <v>6761</v>
      </c>
      <c r="J351" s="10" t="s">
        <v>6762</v>
      </c>
      <c r="K351" s="15">
        <v>475</v>
      </c>
    </row>
    <row r="352" spans="1:11" ht="15" customHeight="1" x14ac:dyDescent="0.2">
      <c r="A352" s="13" t="s">
        <v>1660</v>
      </c>
      <c r="B352" s="13" t="s">
        <v>1661</v>
      </c>
      <c r="C352" s="13">
        <v>1957</v>
      </c>
      <c r="D352" s="13" t="s">
        <v>519</v>
      </c>
      <c r="E352" s="13" t="s">
        <v>1662</v>
      </c>
      <c r="F352" s="13">
        <v>6.43</v>
      </c>
      <c r="G352" s="13" t="s">
        <v>46</v>
      </c>
      <c r="H352" s="13" t="s">
        <v>1663</v>
      </c>
      <c r="I352" s="13" t="s">
        <v>1664</v>
      </c>
      <c r="J352" s="9" t="s">
        <v>1665</v>
      </c>
      <c r="K352" s="13">
        <v>57</v>
      </c>
    </row>
    <row r="353" spans="1:11" ht="15" customHeight="1" x14ac:dyDescent="0.2">
      <c r="A353" s="13" t="s">
        <v>6763</v>
      </c>
      <c r="B353" s="13" t="s">
        <v>6764</v>
      </c>
      <c r="C353" s="13">
        <v>1971</v>
      </c>
      <c r="D353" s="13" t="s">
        <v>15</v>
      </c>
      <c r="E353" s="13" t="s">
        <v>1270</v>
      </c>
      <c r="F353" s="13">
        <v>4.5999999999999996</v>
      </c>
      <c r="G353" s="13" t="s">
        <v>28</v>
      </c>
      <c r="H353" s="13" t="s">
        <v>6765</v>
      </c>
      <c r="I353" s="13" t="s">
        <v>6766</v>
      </c>
      <c r="J353" s="9" t="s">
        <v>6767</v>
      </c>
      <c r="K353" s="13">
        <v>23</v>
      </c>
    </row>
    <row r="354" spans="1:11" ht="15" customHeight="1" x14ac:dyDescent="0.2">
      <c r="A354" s="13" t="s">
        <v>6768</v>
      </c>
      <c r="B354" s="13" t="s">
        <v>6769</v>
      </c>
      <c r="C354" s="13">
        <v>1946</v>
      </c>
      <c r="D354" s="13" t="s">
        <v>15</v>
      </c>
      <c r="E354" s="13" t="s">
        <v>1595</v>
      </c>
      <c r="F354" s="13">
        <v>5.4</v>
      </c>
      <c r="G354" s="13" t="s">
        <v>28</v>
      </c>
      <c r="H354" s="13" t="s">
        <v>6770</v>
      </c>
      <c r="I354" s="13" t="s">
        <v>6771</v>
      </c>
      <c r="J354" s="9" t="s">
        <v>6772</v>
      </c>
      <c r="K354" s="13">
        <v>5</v>
      </c>
    </row>
    <row r="355" spans="1:11" ht="15" customHeight="1" x14ac:dyDescent="0.2">
      <c r="A355" s="13" t="s">
        <v>6773</v>
      </c>
      <c r="B355" s="13"/>
      <c r="C355" s="13">
        <v>1983</v>
      </c>
      <c r="D355" s="13" t="s">
        <v>5424</v>
      </c>
      <c r="E355" s="13" t="s">
        <v>6774</v>
      </c>
      <c r="F355" s="13"/>
      <c r="G355" s="13"/>
      <c r="H355" s="13" t="s">
        <v>6775</v>
      </c>
      <c r="I355" s="13"/>
      <c r="J355" s="9"/>
      <c r="K355" s="13"/>
    </row>
    <row r="356" spans="1:11" ht="15" customHeight="1" x14ac:dyDescent="0.2">
      <c r="A356" s="13" t="s">
        <v>6776</v>
      </c>
      <c r="B356" s="13"/>
      <c r="C356" s="13">
        <v>1967</v>
      </c>
      <c r="D356" s="13" t="s">
        <v>350</v>
      </c>
      <c r="E356" s="13" t="s">
        <v>6777</v>
      </c>
      <c r="F356" s="13"/>
      <c r="G356" s="13"/>
      <c r="H356" s="13"/>
      <c r="I356" s="13"/>
      <c r="J356" s="9"/>
      <c r="K356" s="13"/>
    </row>
    <row r="357" spans="1:11" ht="15" customHeight="1" x14ac:dyDescent="0.2">
      <c r="A357" s="13" t="s">
        <v>6778</v>
      </c>
      <c r="B357" s="13" t="s">
        <v>6779</v>
      </c>
      <c r="C357" s="13">
        <v>1969</v>
      </c>
      <c r="D357" s="13" t="s">
        <v>15</v>
      </c>
      <c r="E357" s="13" t="s">
        <v>5530</v>
      </c>
      <c r="F357" s="13">
        <v>5.2960000000000003</v>
      </c>
      <c r="G357" s="13" t="s">
        <v>28</v>
      </c>
      <c r="H357" s="13" t="s">
        <v>6780</v>
      </c>
      <c r="I357" s="13" t="s">
        <v>6781</v>
      </c>
      <c r="J357" s="9" t="s">
        <v>6782</v>
      </c>
      <c r="K357" s="13">
        <v>27</v>
      </c>
    </row>
    <row r="358" spans="1:11" ht="15" customHeight="1" x14ac:dyDescent="0.2">
      <c r="A358" s="13" t="s">
        <v>6783</v>
      </c>
      <c r="B358" s="13" t="s">
        <v>6784</v>
      </c>
      <c r="C358" s="13">
        <v>1960</v>
      </c>
      <c r="D358" s="13" t="s">
        <v>15</v>
      </c>
      <c r="E358" s="13" t="s">
        <v>1595</v>
      </c>
      <c r="F358" s="13">
        <v>6.8</v>
      </c>
      <c r="G358" s="13" t="s">
        <v>18</v>
      </c>
      <c r="H358" s="13" t="s">
        <v>6785</v>
      </c>
      <c r="I358" s="13" t="s">
        <v>6786</v>
      </c>
      <c r="J358" s="9" t="s">
        <v>6787</v>
      </c>
      <c r="K358" s="13">
        <v>251</v>
      </c>
    </row>
    <row r="359" spans="1:11" ht="15" customHeight="1" x14ac:dyDescent="0.2">
      <c r="A359" s="13" t="s">
        <v>6788</v>
      </c>
      <c r="B359" s="13" t="s">
        <v>6789</v>
      </c>
      <c r="C359" s="13">
        <v>1973</v>
      </c>
      <c r="D359" s="13" t="s">
        <v>3641</v>
      </c>
      <c r="E359" s="13" t="s">
        <v>1480</v>
      </c>
      <c r="F359" s="13">
        <v>6.2</v>
      </c>
      <c r="G359" s="13" t="s">
        <v>46</v>
      </c>
      <c r="H359" s="13" t="s">
        <v>6790</v>
      </c>
      <c r="I359" s="13" t="s">
        <v>6791</v>
      </c>
      <c r="J359" s="9" t="s">
        <v>6792</v>
      </c>
      <c r="K359" s="13">
        <v>9</v>
      </c>
    </row>
    <row r="360" spans="1:11" ht="15" customHeight="1" x14ac:dyDescent="0.2">
      <c r="A360" s="13" t="s">
        <v>4591</v>
      </c>
      <c r="B360" s="13" t="s">
        <v>6793</v>
      </c>
      <c r="C360" s="13"/>
      <c r="D360" s="13" t="s">
        <v>15</v>
      </c>
      <c r="E360" s="13" t="s">
        <v>1538</v>
      </c>
      <c r="F360" s="13">
        <v>7.74</v>
      </c>
      <c r="G360" s="13" t="s">
        <v>77</v>
      </c>
      <c r="H360" s="13" t="s">
        <v>6794</v>
      </c>
      <c r="I360" s="13" t="s">
        <v>6795</v>
      </c>
      <c r="J360" s="9" t="s">
        <v>4595</v>
      </c>
      <c r="K360" s="13">
        <v>889</v>
      </c>
    </row>
    <row r="361" spans="1:11" ht="15" customHeight="1" x14ac:dyDescent="0.2">
      <c r="A361" s="15" t="s">
        <v>6796</v>
      </c>
      <c r="B361" s="15" t="s">
        <v>6797</v>
      </c>
      <c r="C361" s="15">
        <v>1979</v>
      </c>
      <c r="D361" s="15" t="s">
        <v>15</v>
      </c>
      <c r="E361" s="15" t="s">
        <v>566</v>
      </c>
      <c r="F361" s="15">
        <v>7.5659999999999998</v>
      </c>
      <c r="G361" s="15" t="s">
        <v>77</v>
      </c>
      <c r="H361" s="15" t="s">
        <v>6798</v>
      </c>
      <c r="I361" s="15" t="s">
        <v>6799</v>
      </c>
      <c r="J361" s="10" t="s">
        <v>6800</v>
      </c>
      <c r="K361" s="15">
        <v>2366</v>
      </c>
    </row>
    <row r="362" spans="1:11" ht="15" customHeight="1" x14ac:dyDescent="0.2">
      <c r="A362" s="13" t="s">
        <v>6801</v>
      </c>
      <c r="B362" s="13" t="s">
        <v>6802</v>
      </c>
      <c r="C362" s="13">
        <v>1976</v>
      </c>
      <c r="D362" s="13" t="s">
        <v>15</v>
      </c>
      <c r="E362" s="13" t="s">
        <v>490</v>
      </c>
      <c r="F362" s="13">
        <v>5.4</v>
      </c>
      <c r="G362" s="13" t="s">
        <v>28</v>
      </c>
      <c r="H362" s="13" t="s">
        <v>6803</v>
      </c>
      <c r="I362" s="13" t="s">
        <v>6804</v>
      </c>
      <c r="J362" s="9" t="s">
        <v>6805</v>
      </c>
      <c r="K362" s="13">
        <v>5</v>
      </c>
    </row>
    <row r="363" spans="1:11" ht="15" customHeight="1" x14ac:dyDescent="0.2">
      <c r="A363" s="13" t="s">
        <v>6806</v>
      </c>
      <c r="B363" s="13" t="s">
        <v>6807</v>
      </c>
      <c r="C363" s="13">
        <v>1965</v>
      </c>
      <c r="D363" s="13" t="s">
        <v>4386</v>
      </c>
      <c r="E363" s="13" t="s">
        <v>1227</v>
      </c>
      <c r="F363" s="13">
        <v>6.4</v>
      </c>
      <c r="G363" s="13" t="s">
        <v>46</v>
      </c>
      <c r="H363" s="13" t="s">
        <v>6808</v>
      </c>
      <c r="I363" s="13" t="s">
        <v>6809</v>
      </c>
      <c r="J363" s="9" t="s">
        <v>6810</v>
      </c>
      <c r="K363" s="13">
        <v>25</v>
      </c>
    </row>
    <row r="364" spans="1:11" ht="15" customHeight="1" x14ac:dyDescent="0.2">
      <c r="A364" s="13" t="s">
        <v>6811</v>
      </c>
      <c r="B364" s="13" t="s">
        <v>6812</v>
      </c>
      <c r="C364" s="13">
        <v>1969</v>
      </c>
      <c r="D364" s="13" t="s">
        <v>15</v>
      </c>
      <c r="E364" s="13" t="s">
        <v>1270</v>
      </c>
      <c r="F364" s="13">
        <v>6.5</v>
      </c>
      <c r="G364" s="13" t="s">
        <v>46</v>
      </c>
      <c r="H364" s="13" t="s">
        <v>6813</v>
      </c>
      <c r="I364" s="13" t="s">
        <v>6814</v>
      </c>
      <c r="J364" s="9" t="s">
        <v>6815</v>
      </c>
      <c r="K364" s="13">
        <v>30</v>
      </c>
    </row>
    <row r="365" spans="1:11" ht="15" customHeight="1" x14ac:dyDescent="0.2">
      <c r="A365" s="13" t="s">
        <v>6811</v>
      </c>
      <c r="B365" s="13" t="s">
        <v>6812</v>
      </c>
      <c r="C365" s="13">
        <v>1959</v>
      </c>
      <c r="D365" s="13" t="s">
        <v>1316</v>
      </c>
      <c r="E365" s="13" t="s">
        <v>1270</v>
      </c>
      <c r="F365" s="13">
        <v>6.5</v>
      </c>
      <c r="G365" s="13" t="s">
        <v>46</v>
      </c>
      <c r="H365" s="13" t="s">
        <v>6813</v>
      </c>
      <c r="I365" s="13" t="s">
        <v>6814</v>
      </c>
      <c r="J365" s="9" t="s">
        <v>6815</v>
      </c>
      <c r="K365" s="13">
        <v>30</v>
      </c>
    </row>
    <row r="366" spans="1:11" ht="15" customHeight="1" x14ac:dyDescent="0.2">
      <c r="A366" s="13" t="s">
        <v>6816</v>
      </c>
      <c r="B366" s="13" t="s">
        <v>6817</v>
      </c>
      <c r="C366" s="13">
        <v>1952</v>
      </c>
      <c r="D366" s="13" t="s">
        <v>15</v>
      </c>
      <c r="E366" s="13" t="s">
        <v>1788</v>
      </c>
      <c r="F366" s="13">
        <v>6.74</v>
      </c>
      <c r="G366" s="13" t="s">
        <v>18</v>
      </c>
      <c r="H366" s="13" t="s">
        <v>6818</v>
      </c>
      <c r="I366" s="13" t="s">
        <v>6819</v>
      </c>
      <c r="J366" s="9" t="s">
        <v>6820</v>
      </c>
      <c r="K366" s="13">
        <v>52</v>
      </c>
    </row>
    <row r="367" spans="1:11" ht="15" customHeight="1" x14ac:dyDescent="0.2">
      <c r="A367" s="13" t="s">
        <v>6821</v>
      </c>
      <c r="B367" s="13" t="s">
        <v>6822</v>
      </c>
      <c r="C367" s="13">
        <v>1964</v>
      </c>
      <c r="D367" s="13" t="s">
        <v>1316</v>
      </c>
      <c r="E367" s="13" t="s">
        <v>6823</v>
      </c>
      <c r="F367" s="13">
        <v>6.2</v>
      </c>
      <c r="G367" s="13" t="s">
        <v>46</v>
      </c>
      <c r="H367" s="13" t="s">
        <v>6824</v>
      </c>
      <c r="I367" s="13" t="s">
        <v>6825</v>
      </c>
      <c r="J367" s="9" t="s">
        <v>6826</v>
      </c>
      <c r="K367" s="13">
        <v>72</v>
      </c>
    </row>
  </sheetData>
  <dataValidations count="1">
    <dataValidation type="list" allowBlank="1" showDropDown="1" showInputMessage="1" showErrorMessage="1" sqref="D2:D8 D10:D19 D21:D29 D31:D38 D40:D48 D50:D54 I2:I8 I10:I19 I21:I29 I31:I38 I40:I48 I50:I54" xr:uid="{00000000-0002-0000-0800-000000000000}">
      <formula1>#REF!</formula1>
      <formula2>0</formula2>
    </dataValidation>
  </dataValidations>
  <pageMargins left="0.74791666666666701" right="0.74791666666666701" top="0.98402777777777795" bottom="0.98402777777777795"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Tabelle10">
    <outlinePr summaryBelow="0"/>
  </sheetPr>
  <dimension ref="A1:L316"/>
  <sheetViews>
    <sheetView zoomScaleNormal="100" workbookViewId="0">
      <pane ySplit="1" topLeftCell="A29" activePane="bottomLeft" state="frozen"/>
      <selection pane="bottomLeft" activeCell="N29" sqref="N29"/>
    </sheetView>
  </sheetViews>
  <sheetFormatPr baseColWidth="10" defaultColWidth="12.5703125" defaultRowHeight="15" customHeight="1" x14ac:dyDescent="0.2"/>
  <cols>
    <col min="1" max="1" width="47.42578125" style="2" customWidth="1"/>
    <col min="2" max="2" width="18.5703125" style="2" customWidth="1"/>
    <col min="3" max="3" width="8.140625" style="2" customWidth="1"/>
    <col min="4" max="4" width="7" style="2" customWidth="1"/>
    <col min="5" max="5" width="11.42578125" style="2" customWidth="1"/>
    <col min="6" max="6" width="6.42578125" style="2" customWidth="1"/>
    <col min="7" max="7" width="11.42578125" style="2" customWidth="1"/>
    <col min="8" max="8" width="13.5703125" style="2" customWidth="1"/>
    <col min="9" max="9" width="44.7109375" style="2" customWidth="1"/>
    <col min="10" max="10" width="43" style="2" customWidth="1"/>
    <col min="11" max="12" width="18.5703125" style="2" customWidth="1"/>
  </cols>
  <sheetData>
    <row r="1" spans="1:11" ht="16.5" customHeight="1" x14ac:dyDescent="0.2">
      <c r="A1" s="11" t="s">
        <v>0</v>
      </c>
      <c r="B1" s="11" t="s">
        <v>1</v>
      </c>
      <c r="C1" s="11" t="s">
        <v>2</v>
      </c>
      <c r="D1" s="11" t="s">
        <v>3</v>
      </c>
      <c r="E1" s="11" t="s">
        <v>4</v>
      </c>
      <c r="F1" s="11" t="s">
        <v>5</v>
      </c>
      <c r="G1" s="11" t="s">
        <v>6</v>
      </c>
      <c r="H1" s="11" t="s">
        <v>7</v>
      </c>
      <c r="I1" s="11" t="s">
        <v>8</v>
      </c>
      <c r="J1" s="11" t="s">
        <v>9</v>
      </c>
      <c r="K1" s="11" t="s">
        <v>10</v>
      </c>
    </row>
    <row r="2" spans="1:11" ht="15" customHeight="1" x14ac:dyDescent="0.2">
      <c r="A2" s="13" t="s">
        <v>6827</v>
      </c>
      <c r="B2" s="13" t="s">
        <v>6828</v>
      </c>
      <c r="C2" s="13">
        <v>2012</v>
      </c>
      <c r="D2" s="13" t="s">
        <v>6829</v>
      </c>
      <c r="E2" s="13" t="s">
        <v>5794</v>
      </c>
      <c r="F2" s="13">
        <v>6.8230000000000004</v>
      </c>
      <c r="G2" s="13" t="s">
        <v>18</v>
      </c>
      <c r="H2" s="13" t="s">
        <v>6830</v>
      </c>
      <c r="I2" s="13" t="s">
        <v>6831</v>
      </c>
      <c r="J2" s="9" t="s">
        <v>6832</v>
      </c>
      <c r="K2" s="13">
        <v>4129</v>
      </c>
    </row>
    <row r="3" spans="1:11" ht="15" customHeight="1" x14ac:dyDescent="0.2">
      <c r="A3" s="13" t="s">
        <v>6833</v>
      </c>
      <c r="B3" s="13" t="s">
        <v>6834</v>
      </c>
      <c r="C3" s="13">
        <v>2011</v>
      </c>
      <c r="D3" s="13" t="s">
        <v>15</v>
      </c>
      <c r="E3" s="13" t="s">
        <v>1270</v>
      </c>
      <c r="F3" s="13">
        <v>5.8</v>
      </c>
      <c r="G3" s="13" t="s">
        <v>46</v>
      </c>
      <c r="H3" s="13" t="s">
        <v>6835</v>
      </c>
      <c r="I3" s="13" t="s">
        <v>6836</v>
      </c>
      <c r="J3" s="9" t="s">
        <v>6837</v>
      </c>
      <c r="K3" s="13">
        <v>576</v>
      </c>
    </row>
    <row r="4" spans="1:11" ht="15" customHeight="1" x14ac:dyDescent="0.2">
      <c r="A4" s="13" t="s">
        <v>6838</v>
      </c>
      <c r="B4" s="13" t="s">
        <v>6839</v>
      </c>
      <c r="C4" s="13">
        <v>2023</v>
      </c>
      <c r="D4" s="13" t="s">
        <v>15</v>
      </c>
      <c r="E4" s="13" t="s">
        <v>1270</v>
      </c>
      <c r="F4" s="13">
        <v>5.2969999999999997</v>
      </c>
      <c r="G4" s="13" t="s">
        <v>28</v>
      </c>
      <c r="H4" s="13" t="s">
        <v>6840</v>
      </c>
      <c r="I4" s="13" t="s">
        <v>6841</v>
      </c>
      <c r="J4" s="9" t="s">
        <v>6842</v>
      </c>
      <c r="K4" s="13">
        <v>123</v>
      </c>
    </row>
    <row r="5" spans="1:11" ht="15" customHeight="1" x14ac:dyDescent="0.2">
      <c r="A5" s="13" t="s">
        <v>2276</v>
      </c>
      <c r="B5" s="13" t="s">
        <v>2276</v>
      </c>
      <c r="C5" s="13">
        <v>2024</v>
      </c>
      <c r="D5" s="13" t="s">
        <v>15</v>
      </c>
      <c r="E5" s="13" t="s">
        <v>1270</v>
      </c>
      <c r="F5" s="13">
        <v>5.75</v>
      </c>
      <c r="G5" s="13" t="s">
        <v>46</v>
      </c>
      <c r="H5" s="13" t="s">
        <v>2277</v>
      </c>
      <c r="I5" s="13" t="s">
        <v>2278</v>
      </c>
      <c r="J5" s="9" t="s">
        <v>2279</v>
      </c>
      <c r="K5" s="13">
        <v>685</v>
      </c>
    </row>
    <row r="6" spans="1:11" ht="15" customHeight="1" x14ac:dyDescent="0.2">
      <c r="A6" s="13" t="s">
        <v>6843</v>
      </c>
      <c r="B6" s="13" t="s">
        <v>6844</v>
      </c>
      <c r="C6" s="13">
        <v>2023</v>
      </c>
      <c r="D6" s="13" t="s">
        <v>15</v>
      </c>
      <c r="E6" s="13" t="s">
        <v>1270</v>
      </c>
      <c r="F6" s="13">
        <v>5.6669999999999998</v>
      </c>
      <c r="G6" s="13" t="s">
        <v>46</v>
      </c>
      <c r="H6" s="13" t="s">
        <v>6845</v>
      </c>
      <c r="I6" s="13" t="s">
        <v>6846</v>
      </c>
      <c r="J6" s="9" t="s">
        <v>6847</v>
      </c>
      <c r="K6" s="13">
        <v>3</v>
      </c>
    </row>
    <row r="7" spans="1:11" ht="15" customHeight="1" x14ac:dyDescent="0.2">
      <c r="A7" s="13" t="s">
        <v>6848</v>
      </c>
      <c r="B7" s="13" t="s">
        <v>6848</v>
      </c>
      <c r="C7" s="13">
        <v>2024</v>
      </c>
      <c r="D7" s="13" t="s">
        <v>350</v>
      </c>
      <c r="E7" s="13" t="s">
        <v>1270</v>
      </c>
      <c r="F7" s="13">
        <v>6.7629999999999999</v>
      </c>
      <c r="G7" s="13" t="s">
        <v>18</v>
      </c>
      <c r="H7" s="13" t="s">
        <v>6849</v>
      </c>
      <c r="I7" s="13" t="s">
        <v>6850</v>
      </c>
      <c r="J7" s="9" t="s">
        <v>6851</v>
      </c>
      <c r="K7" s="13">
        <v>1232</v>
      </c>
    </row>
    <row r="8" spans="1:11" ht="15" customHeight="1" x14ac:dyDescent="0.2">
      <c r="A8" s="13" t="s">
        <v>6852</v>
      </c>
      <c r="B8" s="13" t="s">
        <v>6853</v>
      </c>
      <c r="C8" s="13">
        <v>2015</v>
      </c>
      <c r="D8" s="13" t="s">
        <v>927</v>
      </c>
      <c r="E8" s="13" t="s">
        <v>1270</v>
      </c>
      <c r="F8" s="13">
        <v>6.3239999999999998</v>
      </c>
      <c r="G8" s="13" t="s">
        <v>46</v>
      </c>
      <c r="H8" s="13" t="s">
        <v>6854</v>
      </c>
      <c r="I8" s="13" t="s">
        <v>6855</v>
      </c>
      <c r="J8" s="9" t="s">
        <v>6856</v>
      </c>
      <c r="K8" s="13">
        <v>1383</v>
      </c>
    </row>
    <row r="9" spans="1:11" ht="15" customHeight="1" x14ac:dyDescent="0.2">
      <c r="A9" s="13" t="s">
        <v>6857</v>
      </c>
      <c r="B9" s="13"/>
      <c r="C9" s="13"/>
      <c r="D9" s="13"/>
      <c r="E9" s="13"/>
      <c r="F9" s="13"/>
      <c r="G9" s="13"/>
      <c r="H9" s="13"/>
      <c r="I9" s="13"/>
      <c r="J9" s="9"/>
      <c r="K9" s="13"/>
    </row>
    <row r="10" spans="1:11" ht="15" customHeight="1" x14ac:dyDescent="0.2">
      <c r="A10" s="13" t="s">
        <v>6858</v>
      </c>
      <c r="B10" s="13" t="s">
        <v>6859</v>
      </c>
      <c r="C10" s="13">
        <v>2002</v>
      </c>
      <c r="D10" s="13" t="s">
        <v>15</v>
      </c>
      <c r="E10" s="13" t="s">
        <v>1270</v>
      </c>
      <c r="F10" s="13"/>
      <c r="G10" s="13"/>
      <c r="H10" s="13" t="s">
        <v>6860</v>
      </c>
      <c r="I10" s="13" t="s">
        <v>49</v>
      </c>
      <c r="J10" s="9" t="s">
        <v>6861</v>
      </c>
      <c r="K10" s="13"/>
    </row>
    <row r="11" spans="1:11" ht="15" customHeight="1" x14ac:dyDescent="0.2">
      <c r="A11" s="15" t="s">
        <v>6862</v>
      </c>
      <c r="B11" s="15" t="s">
        <v>6863</v>
      </c>
      <c r="C11" s="15">
        <v>1994</v>
      </c>
      <c r="D11" s="15" t="s">
        <v>15</v>
      </c>
      <c r="E11" s="15" t="s">
        <v>1270</v>
      </c>
      <c r="F11" s="15">
        <v>5.2949999999999999</v>
      </c>
      <c r="G11" s="15" t="s">
        <v>28</v>
      </c>
      <c r="H11" s="15" t="s">
        <v>6864</v>
      </c>
      <c r="I11" s="15" t="s">
        <v>6865</v>
      </c>
      <c r="J11" s="10" t="s">
        <v>6866</v>
      </c>
      <c r="K11" s="15">
        <v>212</v>
      </c>
    </row>
    <row r="12" spans="1:11" ht="15" customHeight="1" x14ac:dyDescent="0.2">
      <c r="A12" s="13" t="s">
        <v>6867</v>
      </c>
      <c r="B12" s="13" t="s">
        <v>6867</v>
      </c>
      <c r="C12" s="13">
        <v>2012</v>
      </c>
      <c r="D12" s="13" t="s">
        <v>3637</v>
      </c>
      <c r="E12" s="13" t="s">
        <v>595</v>
      </c>
      <c r="F12" s="13">
        <v>3.25</v>
      </c>
      <c r="G12" s="13" t="s">
        <v>169</v>
      </c>
      <c r="H12" s="13" t="s">
        <v>6868</v>
      </c>
      <c r="I12" s="13" t="s">
        <v>6869</v>
      </c>
      <c r="J12" s="9" t="s">
        <v>6870</v>
      </c>
      <c r="K12" s="13">
        <v>2</v>
      </c>
    </row>
    <row r="13" spans="1:11" ht="15" customHeight="1" x14ac:dyDescent="0.2">
      <c r="A13" s="13" t="s">
        <v>6871</v>
      </c>
      <c r="B13" s="13" t="s">
        <v>6871</v>
      </c>
      <c r="C13" s="13">
        <v>2024</v>
      </c>
      <c r="D13" s="13" t="s">
        <v>350</v>
      </c>
      <c r="E13" s="13" t="s">
        <v>1270</v>
      </c>
      <c r="F13" s="13">
        <v>6.577</v>
      </c>
      <c r="G13" s="13" t="s">
        <v>18</v>
      </c>
      <c r="H13" s="13" t="s">
        <v>6872</v>
      </c>
      <c r="I13" s="13" t="s">
        <v>6873</v>
      </c>
      <c r="J13" s="9" t="s">
        <v>6874</v>
      </c>
      <c r="K13" s="13">
        <v>26</v>
      </c>
    </row>
    <row r="14" spans="1:11" ht="15" customHeight="1" x14ac:dyDescent="0.2">
      <c r="A14" s="13" t="s">
        <v>5432</v>
      </c>
      <c r="B14" s="13" t="s">
        <v>5433</v>
      </c>
      <c r="C14" s="13">
        <v>1970</v>
      </c>
      <c r="D14" s="13" t="s">
        <v>15</v>
      </c>
      <c r="E14" s="13" t="s">
        <v>1270</v>
      </c>
      <c r="F14" s="13">
        <v>0</v>
      </c>
      <c r="G14" s="13"/>
      <c r="H14" s="13" t="s">
        <v>5434</v>
      </c>
      <c r="I14" s="13" t="s">
        <v>5435</v>
      </c>
      <c r="J14" s="9"/>
      <c r="K14" s="13">
        <v>0</v>
      </c>
    </row>
    <row r="15" spans="1:11" ht="15" customHeight="1" x14ac:dyDescent="0.2">
      <c r="A15" s="13" t="s">
        <v>6875</v>
      </c>
      <c r="B15" s="13" t="s">
        <v>6875</v>
      </c>
      <c r="C15" s="13">
        <v>2021</v>
      </c>
      <c r="D15" s="13" t="s">
        <v>350</v>
      </c>
      <c r="E15" s="13" t="s">
        <v>1270</v>
      </c>
      <c r="F15" s="13">
        <v>6.4</v>
      </c>
      <c r="G15" s="13" t="s">
        <v>46</v>
      </c>
      <c r="H15" s="13" t="s">
        <v>6876</v>
      </c>
      <c r="I15" s="13" t="s">
        <v>6877</v>
      </c>
      <c r="J15" s="9" t="s">
        <v>6878</v>
      </c>
      <c r="K15" s="13">
        <v>11</v>
      </c>
    </row>
    <row r="16" spans="1:11" ht="15" customHeight="1" x14ac:dyDescent="0.2">
      <c r="A16" s="13" t="s">
        <v>6879</v>
      </c>
      <c r="B16" s="13" t="s">
        <v>6880</v>
      </c>
      <c r="C16" s="13">
        <v>1939</v>
      </c>
      <c r="D16" s="13" t="s">
        <v>6881</v>
      </c>
      <c r="E16" s="13" t="s">
        <v>1270</v>
      </c>
      <c r="F16" s="13">
        <v>7</v>
      </c>
      <c r="G16" s="13" t="s">
        <v>18</v>
      </c>
      <c r="H16" s="13" t="s">
        <v>6882</v>
      </c>
      <c r="I16" s="13" t="s">
        <v>6883</v>
      </c>
      <c r="J16" s="9" t="s">
        <v>6884</v>
      </c>
      <c r="K16" s="13">
        <v>53</v>
      </c>
    </row>
    <row r="17" spans="1:11" ht="15" customHeight="1" x14ac:dyDescent="0.2">
      <c r="A17" s="13" t="s">
        <v>6885</v>
      </c>
      <c r="B17" s="13" t="s">
        <v>6885</v>
      </c>
      <c r="C17" s="13">
        <v>2022</v>
      </c>
      <c r="D17" s="13" t="s">
        <v>15</v>
      </c>
      <c r="E17" s="13" t="s">
        <v>1270</v>
      </c>
      <c r="F17" s="13">
        <v>5.7</v>
      </c>
      <c r="G17" s="13" t="s">
        <v>46</v>
      </c>
      <c r="H17" s="13" t="s">
        <v>6886</v>
      </c>
      <c r="I17" s="13" t="s">
        <v>6887</v>
      </c>
      <c r="J17" s="9" t="s">
        <v>6888</v>
      </c>
      <c r="K17" s="13">
        <v>62</v>
      </c>
    </row>
    <row r="18" spans="1:11" ht="15" customHeight="1" x14ac:dyDescent="0.2">
      <c r="A18" s="13" t="s">
        <v>6889</v>
      </c>
      <c r="B18" s="13" t="s">
        <v>6889</v>
      </c>
      <c r="C18" s="13">
        <v>1982</v>
      </c>
      <c r="D18" s="13" t="s">
        <v>15</v>
      </c>
      <c r="E18" s="13" t="s">
        <v>3014</v>
      </c>
      <c r="F18" s="13">
        <v>6.5</v>
      </c>
      <c r="G18" s="13" t="s">
        <v>46</v>
      </c>
      <c r="H18" s="13" t="s">
        <v>6890</v>
      </c>
      <c r="I18" s="13" t="s">
        <v>6891</v>
      </c>
      <c r="J18" s="9" t="s">
        <v>6892</v>
      </c>
      <c r="K18" s="13">
        <v>746</v>
      </c>
    </row>
    <row r="19" spans="1:11" ht="15" customHeight="1" x14ac:dyDescent="0.2">
      <c r="A19" s="13" t="s">
        <v>6893</v>
      </c>
      <c r="B19" s="13" t="s">
        <v>2281</v>
      </c>
      <c r="C19" s="13">
        <v>2023</v>
      </c>
      <c r="D19" s="13" t="s">
        <v>15</v>
      </c>
      <c r="E19" s="13" t="s">
        <v>1270</v>
      </c>
      <c r="F19" s="13">
        <v>7.1660000000000004</v>
      </c>
      <c r="G19" s="13" t="s">
        <v>18</v>
      </c>
      <c r="H19" s="13" t="s">
        <v>2282</v>
      </c>
      <c r="I19" s="13" t="s">
        <v>6894</v>
      </c>
      <c r="J19" s="9" t="s">
        <v>2284</v>
      </c>
      <c r="K19" s="13">
        <v>470</v>
      </c>
    </row>
    <row r="20" spans="1:11" ht="15" customHeight="1" x14ac:dyDescent="0.2">
      <c r="A20" s="13" t="s">
        <v>6895</v>
      </c>
      <c r="B20" s="13" t="s">
        <v>6896</v>
      </c>
      <c r="C20" s="13">
        <v>2009</v>
      </c>
      <c r="D20" s="13" t="s">
        <v>15</v>
      </c>
      <c r="E20" s="13" t="s">
        <v>1270</v>
      </c>
      <c r="F20" s="13">
        <v>6.3</v>
      </c>
      <c r="G20" s="13" t="s">
        <v>46</v>
      </c>
      <c r="H20" s="13" t="s">
        <v>6897</v>
      </c>
      <c r="I20" s="13" t="s">
        <v>6898</v>
      </c>
      <c r="J20" s="9" t="s">
        <v>6899</v>
      </c>
      <c r="K20" s="13">
        <v>133</v>
      </c>
    </row>
    <row r="21" spans="1:11" ht="15" customHeight="1" x14ac:dyDescent="0.2">
      <c r="A21" s="15" t="s">
        <v>6900</v>
      </c>
      <c r="B21" s="15" t="s">
        <v>6901</v>
      </c>
      <c r="C21" s="15">
        <v>2009</v>
      </c>
      <c r="D21" s="15" t="s">
        <v>15</v>
      </c>
      <c r="E21" s="15" t="s">
        <v>1270</v>
      </c>
      <c r="F21" s="15">
        <v>6.65</v>
      </c>
      <c r="G21" s="15" t="s">
        <v>18</v>
      </c>
      <c r="H21" s="15" t="s">
        <v>6902</v>
      </c>
      <c r="I21" s="15" t="s">
        <v>6903</v>
      </c>
      <c r="J21" s="10" t="s">
        <v>6904</v>
      </c>
      <c r="K21" s="15">
        <v>605</v>
      </c>
    </row>
    <row r="22" spans="1:11" ht="15" customHeight="1" x14ac:dyDescent="0.2">
      <c r="A22" s="13" t="s">
        <v>6905</v>
      </c>
      <c r="B22" s="13" t="s">
        <v>6905</v>
      </c>
      <c r="C22" s="13">
        <v>2017</v>
      </c>
      <c r="D22" s="13" t="s">
        <v>6906</v>
      </c>
      <c r="E22" s="13" t="s">
        <v>49</v>
      </c>
      <c r="F22" s="13">
        <v>7.4450000000000003</v>
      </c>
      <c r="G22" s="13" t="s">
        <v>18</v>
      </c>
      <c r="H22" s="13" t="s">
        <v>6907</v>
      </c>
      <c r="I22" s="13" t="s">
        <v>6908</v>
      </c>
      <c r="J22" s="9" t="s">
        <v>6909</v>
      </c>
      <c r="K22" s="13">
        <v>16421</v>
      </c>
    </row>
    <row r="23" spans="1:11" ht="15" customHeight="1" x14ac:dyDescent="0.2">
      <c r="A23" s="13" t="s">
        <v>6910</v>
      </c>
      <c r="B23" s="13" t="s">
        <v>6911</v>
      </c>
      <c r="C23" s="13">
        <v>1996</v>
      </c>
      <c r="D23" s="13" t="s">
        <v>350</v>
      </c>
      <c r="E23" s="13" t="s">
        <v>1270</v>
      </c>
      <c r="F23" s="13">
        <v>0</v>
      </c>
      <c r="G23" s="13"/>
      <c r="H23" s="13" t="s">
        <v>6912</v>
      </c>
      <c r="I23" s="13" t="s">
        <v>6913</v>
      </c>
      <c r="J23" s="9"/>
      <c r="K23" s="13">
        <v>0</v>
      </c>
    </row>
    <row r="24" spans="1:11" ht="15" customHeight="1" x14ac:dyDescent="0.2">
      <c r="A24" s="13" t="s">
        <v>6914</v>
      </c>
      <c r="B24" s="13" t="s">
        <v>6915</v>
      </c>
      <c r="C24" s="13">
        <v>2024</v>
      </c>
      <c r="D24" s="13" t="s">
        <v>350</v>
      </c>
      <c r="E24" s="13" t="s">
        <v>1270</v>
      </c>
      <c r="F24" s="13">
        <v>6.9189999999999996</v>
      </c>
      <c r="G24" s="13" t="s">
        <v>18</v>
      </c>
      <c r="H24" s="13" t="s">
        <v>6916</v>
      </c>
      <c r="I24" s="13" t="s">
        <v>6917</v>
      </c>
      <c r="J24" s="9" t="s">
        <v>6918</v>
      </c>
      <c r="K24" s="13">
        <v>31</v>
      </c>
    </row>
    <row r="25" spans="1:11" ht="15" customHeight="1" x14ac:dyDescent="0.2">
      <c r="A25" s="13" t="s">
        <v>6919</v>
      </c>
      <c r="B25" s="13" t="s">
        <v>6919</v>
      </c>
      <c r="C25" s="13">
        <v>2025</v>
      </c>
      <c r="D25" s="13" t="s">
        <v>15</v>
      </c>
      <c r="E25" s="13" t="s">
        <v>1270</v>
      </c>
      <c r="F25" s="13">
        <v>6.4450000000000003</v>
      </c>
      <c r="G25" s="13" t="s">
        <v>46</v>
      </c>
      <c r="H25" s="13" t="s">
        <v>6920</v>
      </c>
      <c r="I25" s="13" t="s">
        <v>6921</v>
      </c>
      <c r="J25" s="9" t="s">
        <v>6922</v>
      </c>
      <c r="K25" s="13">
        <v>1391</v>
      </c>
    </row>
    <row r="26" spans="1:11" ht="15" customHeight="1" x14ac:dyDescent="0.2">
      <c r="A26" s="13" t="s">
        <v>6923</v>
      </c>
      <c r="B26" s="13" t="s">
        <v>6924</v>
      </c>
      <c r="C26" s="13">
        <v>2024</v>
      </c>
      <c r="D26" s="13" t="s">
        <v>15</v>
      </c>
      <c r="E26" s="13" t="s">
        <v>1270</v>
      </c>
      <c r="F26" s="13">
        <v>6.6639999999999997</v>
      </c>
      <c r="G26" s="13" t="s">
        <v>18</v>
      </c>
      <c r="H26" s="13" t="s">
        <v>6925</v>
      </c>
      <c r="I26" s="13" t="s">
        <v>6926</v>
      </c>
      <c r="J26" s="9" t="s">
        <v>6927</v>
      </c>
      <c r="K26" s="13">
        <v>1341</v>
      </c>
    </row>
    <row r="27" spans="1:11" ht="15" customHeight="1" x14ac:dyDescent="0.2">
      <c r="A27" s="13" t="s">
        <v>6928</v>
      </c>
      <c r="B27" s="13" t="s">
        <v>6929</v>
      </c>
      <c r="C27" s="13">
        <v>2005</v>
      </c>
      <c r="D27" s="13" t="s">
        <v>350</v>
      </c>
      <c r="E27" s="13" t="s">
        <v>1270</v>
      </c>
      <c r="F27" s="13">
        <v>6.2</v>
      </c>
      <c r="G27" s="13" t="s">
        <v>46</v>
      </c>
      <c r="H27" s="13" t="s">
        <v>6930</v>
      </c>
      <c r="I27" s="13" t="s">
        <v>6931</v>
      </c>
      <c r="J27" s="9" t="s">
        <v>6932</v>
      </c>
      <c r="K27" s="13">
        <v>10</v>
      </c>
    </row>
    <row r="28" spans="1:11" ht="15" customHeight="1" x14ac:dyDescent="0.2">
      <c r="A28" s="13" t="s">
        <v>6933</v>
      </c>
      <c r="B28" s="13" t="s">
        <v>6934</v>
      </c>
      <c r="C28" s="13">
        <v>2006</v>
      </c>
      <c r="D28" s="13" t="s">
        <v>15</v>
      </c>
      <c r="E28" s="13" t="s">
        <v>1270</v>
      </c>
      <c r="F28" s="13">
        <v>5.5679999999999996</v>
      </c>
      <c r="G28" s="13" t="s">
        <v>46</v>
      </c>
      <c r="H28" s="13" t="s">
        <v>6935</v>
      </c>
      <c r="I28" s="13" t="s">
        <v>6936</v>
      </c>
      <c r="J28" s="9" t="s">
        <v>6937</v>
      </c>
      <c r="K28" s="13">
        <v>391</v>
      </c>
    </row>
    <row r="29" spans="1:11" ht="15" customHeight="1" x14ac:dyDescent="0.2">
      <c r="A29" s="13" t="s">
        <v>6938</v>
      </c>
      <c r="B29" s="13" t="s">
        <v>6939</v>
      </c>
      <c r="C29" s="13">
        <v>2000</v>
      </c>
      <c r="D29" s="13" t="s">
        <v>4446</v>
      </c>
      <c r="E29" s="13" t="s">
        <v>1270</v>
      </c>
      <c r="F29" s="13">
        <v>7.1390000000000002</v>
      </c>
      <c r="G29" s="13" t="s">
        <v>18</v>
      </c>
      <c r="H29" s="13" t="s">
        <v>6940</v>
      </c>
      <c r="I29" s="13" t="s">
        <v>6941</v>
      </c>
      <c r="J29" s="9" t="s">
        <v>6942</v>
      </c>
      <c r="K29" s="13">
        <v>231</v>
      </c>
    </row>
    <row r="30" spans="1:11" ht="15" customHeight="1" x14ac:dyDescent="0.2">
      <c r="A30" s="13" t="s">
        <v>6943</v>
      </c>
      <c r="B30" s="13" t="s">
        <v>6943</v>
      </c>
      <c r="C30" s="13">
        <v>2011</v>
      </c>
      <c r="D30" s="13" t="s">
        <v>15</v>
      </c>
      <c r="E30" s="13" t="s">
        <v>2042</v>
      </c>
      <c r="F30" s="13">
        <v>5.2469999999999999</v>
      </c>
      <c r="G30" s="13" t="s">
        <v>28</v>
      </c>
      <c r="H30" s="13" t="s">
        <v>6944</v>
      </c>
      <c r="I30" s="13" t="s">
        <v>6945</v>
      </c>
      <c r="J30" s="9"/>
      <c r="K30" s="13">
        <v>150</v>
      </c>
    </row>
    <row r="31" spans="1:11" ht="15" customHeight="1" x14ac:dyDescent="0.2">
      <c r="A31" s="15" t="s">
        <v>6946</v>
      </c>
      <c r="B31" s="15" t="s">
        <v>6947</v>
      </c>
      <c r="C31" s="15">
        <v>2023</v>
      </c>
      <c r="D31" s="15" t="s">
        <v>15</v>
      </c>
      <c r="E31" s="15" t="s">
        <v>1270</v>
      </c>
      <c r="F31" s="15">
        <v>6.3</v>
      </c>
      <c r="G31" s="15" t="s">
        <v>46</v>
      </c>
      <c r="H31" s="15" t="s">
        <v>6948</v>
      </c>
      <c r="I31" s="15" t="s">
        <v>6949</v>
      </c>
      <c r="J31" s="10" t="s">
        <v>6950</v>
      </c>
      <c r="K31" s="15">
        <v>209</v>
      </c>
    </row>
    <row r="32" spans="1:11" ht="15" customHeight="1" x14ac:dyDescent="0.2">
      <c r="A32" s="13" t="s">
        <v>6951</v>
      </c>
      <c r="B32" s="13" t="s">
        <v>6952</v>
      </c>
      <c r="C32" s="13">
        <v>1999</v>
      </c>
      <c r="D32" s="13" t="s">
        <v>15</v>
      </c>
      <c r="E32" s="13" t="s">
        <v>1270</v>
      </c>
      <c r="F32" s="13">
        <v>5.0090000000000003</v>
      </c>
      <c r="G32" s="13" t="s">
        <v>28</v>
      </c>
      <c r="H32" s="13" t="s">
        <v>6953</v>
      </c>
      <c r="I32" s="13" t="s">
        <v>6954</v>
      </c>
      <c r="J32" s="9" t="s">
        <v>6955</v>
      </c>
      <c r="K32" s="13">
        <v>114</v>
      </c>
    </row>
    <row r="33" spans="1:11" ht="15" customHeight="1" x14ac:dyDescent="0.2">
      <c r="A33" s="13" t="s">
        <v>6956</v>
      </c>
      <c r="B33" s="13" t="s">
        <v>6956</v>
      </c>
      <c r="C33" s="13">
        <v>2021</v>
      </c>
      <c r="D33" s="13" t="s">
        <v>15</v>
      </c>
      <c r="E33" s="13" t="s">
        <v>1270</v>
      </c>
      <c r="F33" s="13">
        <v>5.8639999999999999</v>
      </c>
      <c r="G33" s="13" t="s">
        <v>46</v>
      </c>
      <c r="H33" s="13" t="s">
        <v>6957</v>
      </c>
      <c r="I33" s="13" t="s">
        <v>6958</v>
      </c>
      <c r="J33" s="9" t="s">
        <v>6959</v>
      </c>
      <c r="K33" s="13">
        <v>213</v>
      </c>
    </row>
    <row r="34" spans="1:11" ht="15" customHeight="1" x14ac:dyDescent="0.2">
      <c r="A34" s="13" t="s">
        <v>6960</v>
      </c>
      <c r="B34" s="13" t="s">
        <v>4298</v>
      </c>
      <c r="C34" s="13">
        <v>2002</v>
      </c>
      <c r="D34" s="13" t="s">
        <v>15</v>
      </c>
      <c r="E34" s="13" t="s">
        <v>1270</v>
      </c>
      <c r="F34" s="13">
        <v>7.9779999999999998</v>
      </c>
      <c r="G34" s="13" t="s">
        <v>77</v>
      </c>
      <c r="H34" s="13" t="s">
        <v>4299</v>
      </c>
      <c r="I34" s="13" t="s">
        <v>4300</v>
      </c>
      <c r="J34" s="9" t="s">
        <v>4301</v>
      </c>
      <c r="K34" s="13">
        <v>16556</v>
      </c>
    </row>
    <row r="35" spans="1:11" ht="15" customHeight="1" x14ac:dyDescent="0.2">
      <c r="A35" s="13" t="s">
        <v>6961</v>
      </c>
      <c r="B35" s="13" t="s">
        <v>6961</v>
      </c>
      <c r="C35" s="13">
        <v>2016</v>
      </c>
      <c r="D35" s="13" t="s">
        <v>15</v>
      </c>
      <c r="E35" s="13" t="s">
        <v>1270</v>
      </c>
      <c r="F35" s="13">
        <v>6.4160000000000004</v>
      </c>
      <c r="G35" s="13" t="s">
        <v>46</v>
      </c>
      <c r="H35" s="13" t="s">
        <v>6962</v>
      </c>
      <c r="I35" s="13" t="s">
        <v>6963</v>
      </c>
      <c r="J35" s="9" t="s">
        <v>6964</v>
      </c>
      <c r="K35" s="13">
        <v>6189</v>
      </c>
    </row>
    <row r="36" spans="1:11" ht="15" customHeight="1" x14ac:dyDescent="0.2">
      <c r="A36" s="13" t="s">
        <v>6965</v>
      </c>
      <c r="B36" s="13" t="s">
        <v>6965</v>
      </c>
      <c r="C36" s="13">
        <v>2022</v>
      </c>
      <c r="D36" s="13" t="s">
        <v>15</v>
      </c>
      <c r="E36" s="13" t="s">
        <v>1270</v>
      </c>
      <c r="F36" s="13">
        <v>7.1109999999999998</v>
      </c>
      <c r="G36" s="13" t="s">
        <v>18</v>
      </c>
      <c r="H36" s="13" t="s">
        <v>6966</v>
      </c>
      <c r="I36" s="13" t="s">
        <v>6967</v>
      </c>
      <c r="J36" s="9" t="s">
        <v>6968</v>
      </c>
      <c r="K36" s="13">
        <v>378</v>
      </c>
    </row>
    <row r="37" spans="1:11" ht="15" customHeight="1" x14ac:dyDescent="0.2">
      <c r="A37" s="13" t="s">
        <v>6969</v>
      </c>
      <c r="B37" s="13" t="s">
        <v>6970</v>
      </c>
      <c r="C37" s="13">
        <v>2013</v>
      </c>
      <c r="D37" s="13" t="s">
        <v>15</v>
      </c>
      <c r="E37" s="13" t="s">
        <v>6971</v>
      </c>
      <c r="F37" s="13">
        <v>7.2</v>
      </c>
      <c r="G37" s="13" t="s">
        <v>18</v>
      </c>
      <c r="H37" s="13" t="s">
        <v>6972</v>
      </c>
      <c r="I37" s="13" t="s">
        <v>6973</v>
      </c>
      <c r="J37" s="9" t="s">
        <v>6974</v>
      </c>
      <c r="K37" s="13">
        <v>122</v>
      </c>
    </row>
    <row r="38" spans="1:11" ht="15" customHeight="1" x14ac:dyDescent="0.2">
      <c r="A38" s="13" t="s">
        <v>6975</v>
      </c>
      <c r="B38" s="13" t="s">
        <v>6976</v>
      </c>
      <c r="C38" s="13">
        <v>2024</v>
      </c>
      <c r="D38" s="13" t="s">
        <v>209</v>
      </c>
      <c r="E38" s="13" t="s">
        <v>1270</v>
      </c>
      <c r="F38" s="13">
        <v>7.0860000000000003</v>
      </c>
      <c r="G38" s="13" t="s">
        <v>18</v>
      </c>
      <c r="H38" s="13" t="s">
        <v>6977</v>
      </c>
      <c r="I38" s="13" t="s">
        <v>6978</v>
      </c>
      <c r="J38" s="9" t="s">
        <v>6979</v>
      </c>
      <c r="K38" s="13">
        <v>76</v>
      </c>
    </row>
    <row r="39" spans="1:11" ht="15" customHeight="1" x14ac:dyDescent="0.2">
      <c r="A39" s="13" t="s">
        <v>6980</v>
      </c>
      <c r="B39" s="13" t="s">
        <v>6980</v>
      </c>
      <c r="C39" s="13">
        <v>2009</v>
      </c>
      <c r="D39" s="13" t="s">
        <v>15</v>
      </c>
      <c r="E39" s="13" t="s">
        <v>1270</v>
      </c>
      <c r="F39" s="13">
        <v>0</v>
      </c>
      <c r="G39" s="13"/>
      <c r="H39" s="13" t="s">
        <v>6981</v>
      </c>
      <c r="I39" s="13" t="s">
        <v>6982</v>
      </c>
      <c r="J39" s="9"/>
      <c r="K39" s="13">
        <v>0</v>
      </c>
    </row>
    <row r="40" spans="1:11" ht="15" customHeight="1" x14ac:dyDescent="0.2">
      <c r="A40" s="13" t="s">
        <v>6983</v>
      </c>
      <c r="B40" s="13" t="s">
        <v>6983</v>
      </c>
      <c r="C40" s="13">
        <v>2021</v>
      </c>
      <c r="D40" s="13" t="s">
        <v>15</v>
      </c>
      <c r="E40" s="13" t="s">
        <v>1270</v>
      </c>
      <c r="F40" s="13">
        <v>6.1</v>
      </c>
      <c r="G40" s="13" t="s">
        <v>46</v>
      </c>
      <c r="H40" s="13" t="s">
        <v>6984</v>
      </c>
      <c r="I40" s="13" t="s">
        <v>6985</v>
      </c>
      <c r="J40" s="9" t="s">
        <v>6986</v>
      </c>
      <c r="K40" s="13">
        <v>89</v>
      </c>
    </row>
    <row r="41" spans="1:11" ht="15" customHeight="1" x14ac:dyDescent="0.2">
      <c r="A41" s="15" t="s">
        <v>6987</v>
      </c>
      <c r="B41" s="15" t="s">
        <v>6988</v>
      </c>
      <c r="C41" s="15">
        <v>1982</v>
      </c>
      <c r="D41" s="15" t="s">
        <v>15</v>
      </c>
      <c r="E41" s="15" t="s">
        <v>1270</v>
      </c>
      <c r="F41" s="15">
        <v>5.9</v>
      </c>
      <c r="G41" s="15" t="s">
        <v>46</v>
      </c>
      <c r="H41" s="15" t="s">
        <v>6989</v>
      </c>
      <c r="I41" s="15" t="s">
        <v>6990</v>
      </c>
      <c r="J41" s="10" t="s">
        <v>6991</v>
      </c>
      <c r="K41" s="15">
        <v>113</v>
      </c>
    </row>
    <row r="42" spans="1:11" ht="15" customHeight="1" x14ac:dyDescent="0.2">
      <c r="A42" s="13" t="s">
        <v>6992</v>
      </c>
      <c r="B42" s="13"/>
      <c r="C42" s="13"/>
      <c r="D42" s="13" t="s">
        <v>350</v>
      </c>
      <c r="E42" s="13" t="s">
        <v>1270</v>
      </c>
      <c r="F42" s="13"/>
      <c r="G42" s="13"/>
      <c r="H42" s="13"/>
      <c r="I42" s="13"/>
      <c r="J42" s="9"/>
      <c r="K42" s="13"/>
    </row>
    <row r="43" spans="1:11" ht="15" customHeight="1" x14ac:dyDescent="0.2">
      <c r="A43" s="13" t="s">
        <v>6993</v>
      </c>
      <c r="B43" s="13" t="s">
        <v>6994</v>
      </c>
      <c r="C43" s="13">
        <v>2017</v>
      </c>
      <c r="D43" s="13" t="s">
        <v>15</v>
      </c>
      <c r="E43" s="13" t="s">
        <v>1270</v>
      </c>
      <c r="F43" s="13">
        <v>6.31</v>
      </c>
      <c r="G43" s="13" t="s">
        <v>46</v>
      </c>
      <c r="H43" s="13" t="s">
        <v>6995</v>
      </c>
      <c r="I43" s="13" t="s">
        <v>6996</v>
      </c>
      <c r="J43" s="9" t="s">
        <v>6997</v>
      </c>
      <c r="K43" s="13">
        <v>2658</v>
      </c>
    </row>
    <row r="44" spans="1:11" ht="15" customHeight="1" x14ac:dyDescent="0.2">
      <c r="A44" s="13" t="s">
        <v>6998</v>
      </c>
      <c r="B44" s="13" t="s">
        <v>6999</v>
      </c>
      <c r="C44" s="13">
        <v>2007</v>
      </c>
      <c r="D44" s="13" t="s">
        <v>15</v>
      </c>
      <c r="E44" s="13" t="s">
        <v>310</v>
      </c>
      <c r="F44" s="13">
        <v>7.2</v>
      </c>
      <c r="G44" s="13" t="s">
        <v>18</v>
      </c>
      <c r="H44" s="13" t="s">
        <v>7000</v>
      </c>
      <c r="I44" s="13" t="s">
        <v>7001</v>
      </c>
      <c r="J44" s="9" t="s">
        <v>7002</v>
      </c>
      <c r="K44" s="13">
        <v>3779</v>
      </c>
    </row>
    <row r="45" spans="1:11" ht="15" customHeight="1" x14ac:dyDescent="0.2">
      <c r="A45" s="13" t="s">
        <v>7003</v>
      </c>
      <c r="B45" s="13" t="s">
        <v>7004</v>
      </c>
      <c r="C45" s="13">
        <v>1984</v>
      </c>
      <c r="D45" s="13" t="s">
        <v>15</v>
      </c>
      <c r="E45" s="13" t="s">
        <v>1270</v>
      </c>
      <c r="F45" s="13">
        <v>6.8</v>
      </c>
      <c r="G45" s="13" t="s">
        <v>18</v>
      </c>
      <c r="H45" s="13" t="s">
        <v>7005</v>
      </c>
      <c r="I45" s="13" t="s">
        <v>7006</v>
      </c>
      <c r="J45" s="9" t="s">
        <v>7007</v>
      </c>
      <c r="K45" s="13">
        <v>2158</v>
      </c>
    </row>
    <row r="46" spans="1:11" ht="15" customHeight="1" x14ac:dyDescent="0.2">
      <c r="A46" s="13" t="s">
        <v>7008</v>
      </c>
      <c r="B46" s="13" t="s">
        <v>7009</v>
      </c>
      <c r="C46" s="13">
        <v>1999</v>
      </c>
      <c r="D46" s="13" t="s">
        <v>15</v>
      </c>
      <c r="E46" s="13" t="s">
        <v>1270</v>
      </c>
      <c r="F46" s="13">
        <v>6.202</v>
      </c>
      <c r="G46" s="13" t="s">
        <v>46</v>
      </c>
      <c r="H46" s="13" t="s">
        <v>7010</v>
      </c>
      <c r="I46" s="13" t="s">
        <v>7011</v>
      </c>
      <c r="J46" s="9" t="s">
        <v>7012</v>
      </c>
      <c r="K46" s="13">
        <v>57</v>
      </c>
    </row>
    <row r="47" spans="1:11" ht="15" customHeight="1" x14ac:dyDescent="0.2">
      <c r="A47" s="13" t="s">
        <v>7013</v>
      </c>
      <c r="B47" s="13" t="s">
        <v>7014</v>
      </c>
      <c r="C47" s="13">
        <v>2009</v>
      </c>
      <c r="D47" s="13" t="s">
        <v>15</v>
      </c>
      <c r="E47" s="13" t="s">
        <v>1270</v>
      </c>
      <c r="F47" s="13">
        <v>6</v>
      </c>
      <c r="G47" s="13" t="s">
        <v>46</v>
      </c>
      <c r="H47" s="13" t="s">
        <v>7015</v>
      </c>
      <c r="I47" s="13" t="s">
        <v>7016</v>
      </c>
      <c r="J47" s="9" t="s">
        <v>7017</v>
      </c>
      <c r="K47" s="13">
        <v>895</v>
      </c>
    </row>
    <row r="48" spans="1:11" ht="15" customHeight="1" x14ac:dyDescent="0.2">
      <c r="A48" s="13" t="s">
        <v>7018</v>
      </c>
      <c r="B48" s="13" t="s">
        <v>7019</v>
      </c>
      <c r="C48" s="13">
        <v>2004</v>
      </c>
      <c r="D48" s="13" t="s">
        <v>3641</v>
      </c>
      <c r="E48" s="13" t="s">
        <v>1270</v>
      </c>
      <c r="F48" s="13"/>
      <c r="G48" s="13"/>
      <c r="H48" s="13" t="s">
        <v>7020</v>
      </c>
      <c r="I48" s="13" t="s">
        <v>7021</v>
      </c>
      <c r="J48" s="9" t="s">
        <v>7022</v>
      </c>
      <c r="K48" s="13"/>
    </row>
    <row r="49" spans="1:11" ht="15" customHeight="1" x14ac:dyDescent="0.2">
      <c r="A49" s="13" t="s">
        <v>7023</v>
      </c>
      <c r="B49" s="13"/>
      <c r="C49" s="13"/>
      <c r="D49" s="13" t="s">
        <v>15</v>
      </c>
      <c r="E49" s="13" t="s">
        <v>1270</v>
      </c>
      <c r="F49" s="13"/>
      <c r="G49" s="13"/>
      <c r="H49" s="13"/>
      <c r="I49" s="13"/>
      <c r="J49" s="9"/>
      <c r="K49" s="13"/>
    </row>
    <row r="50" spans="1:11" ht="15" customHeight="1" x14ac:dyDescent="0.2">
      <c r="A50" s="13" t="s">
        <v>127</v>
      </c>
      <c r="B50" s="13" t="s">
        <v>127</v>
      </c>
      <c r="C50" s="13">
        <v>2022</v>
      </c>
      <c r="D50" s="13" t="s">
        <v>15</v>
      </c>
      <c r="E50" s="13" t="s">
        <v>1270</v>
      </c>
      <c r="F50" s="13">
        <v>6.7549999999999999</v>
      </c>
      <c r="G50" s="13" t="s">
        <v>18</v>
      </c>
      <c r="H50" s="13" t="s">
        <v>130</v>
      </c>
      <c r="I50" s="13" t="s">
        <v>7024</v>
      </c>
      <c r="J50" s="9" t="s">
        <v>132</v>
      </c>
      <c r="K50" s="13">
        <v>2110</v>
      </c>
    </row>
    <row r="51" spans="1:11" ht="15" customHeight="1" x14ac:dyDescent="0.2">
      <c r="A51" s="15" t="s">
        <v>7025</v>
      </c>
      <c r="B51" s="15" t="s">
        <v>7025</v>
      </c>
      <c r="C51" s="15">
        <v>2007</v>
      </c>
      <c r="D51" s="15" t="s">
        <v>15</v>
      </c>
      <c r="E51" s="15" t="s">
        <v>1270</v>
      </c>
      <c r="F51" s="15">
        <v>6.8</v>
      </c>
      <c r="G51" s="15" t="s">
        <v>18</v>
      </c>
      <c r="H51" s="15" t="s">
        <v>7026</v>
      </c>
      <c r="I51" s="15" t="s">
        <v>7027</v>
      </c>
      <c r="J51" s="10"/>
      <c r="K51" s="15">
        <v>38</v>
      </c>
    </row>
    <row r="52" spans="1:11" ht="15" customHeight="1" x14ac:dyDescent="0.2">
      <c r="A52" s="13" t="s">
        <v>7028</v>
      </c>
      <c r="B52" s="13" t="s">
        <v>7028</v>
      </c>
      <c r="C52" s="13">
        <v>1980</v>
      </c>
      <c r="D52" s="13" t="s">
        <v>3167</v>
      </c>
      <c r="E52" s="13" t="s">
        <v>1270</v>
      </c>
      <c r="F52" s="13">
        <v>6.5</v>
      </c>
      <c r="G52" s="13" t="s">
        <v>46</v>
      </c>
      <c r="H52" s="13" t="s">
        <v>7029</v>
      </c>
      <c r="I52" s="13" t="s">
        <v>7030</v>
      </c>
      <c r="J52" s="9" t="s">
        <v>7031</v>
      </c>
      <c r="K52" s="13">
        <v>11</v>
      </c>
    </row>
    <row r="53" spans="1:11" ht="15" customHeight="1" x14ac:dyDescent="0.2">
      <c r="A53" s="13" t="s">
        <v>7032</v>
      </c>
      <c r="B53" s="13" t="s">
        <v>7033</v>
      </c>
      <c r="C53" s="13">
        <v>2018</v>
      </c>
      <c r="D53" s="13" t="s">
        <v>15</v>
      </c>
      <c r="E53" s="13" t="s">
        <v>1013</v>
      </c>
      <c r="F53" s="13">
        <v>6.8</v>
      </c>
      <c r="G53" s="13" t="s">
        <v>18</v>
      </c>
      <c r="H53" s="13">
        <v>502422</v>
      </c>
      <c r="I53" s="13" t="s">
        <v>7034</v>
      </c>
      <c r="J53" s="9" t="s">
        <v>7035</v>
      </c>
      <c r="K53" s="13">
        <v>436</v>
      </c>
    </row>
    <row r="54" spans="1:11" ht="15" customHeight="1" x14ac:dyDescent="0.2">
      <c r="A54" s="13" t="s">
        <v>7036</v>
      </c>
      <c r="B54" s="13" t="s">
        <v>7037</v>
      </c>
      <c r="C54" s="13">
        <v>1996</v>
      </c>
      <c r="D54" s="13" t="s">
        <v>15</v>
      </c>
      <c r="E54" s="13" t="s">
        <v>1270</v>
      </c>
      <c r="F54" s="13">
        <v>6.7</v>
      </c>
      <c r="G54" s="13" t="s">
        <v>18</v>
      </c>
      <c r="H54" s="13" t="s">
        <v>7038</v>
      </c>
      <c r="I54" s="13" t="s">
        <v>7039</v>
      </c>
      <c r="J54" s="9" t="s">
        <v>7040</v>
      </c>
      <c r="K54" s="13">
        <v>791</v>
      </c>
    </row>
    <row r="55" spans="1:11" ht="15" customHeight="1" x14ac:dyDescent="0.2">
      <c r="A55" s="13" t="s">
        <v>7041</v>
      </c>
      <c r="B55" s="13" t="s">
        <v>7042</v>
      </c>
      <c r="C55" s="13">
        <v>2021</v>
      </c>
      <c r="D55" s="13" t="s">
        <v>7043</v>
      </c>
      <c r="E55" s="13" t="s">
        <v>2303</v>
      </c>
      <c r="F55" s="13">
        <v>6.7</v>
      </c>
      <c r="G55" s="13" t="s">
        <v>18</v>
      </c>
      <c r="H55" s="13" t="s">
        <v>7044</v>
      </c>
      <c r="I55" s="13" t="s">
        <v>7045</v>
      </c>
      <c r="J55" s="9" t="s">
        <v>7046</v>
      </c>
      <c r="K55" s="13">
        <v>176</v>
      </c>
    </row>
    <row r="56" spans="1:11" ht="15" customHeight="1" x14ac:dyDescent="0.2">
      <c r="A56" s="13" t="s">
        <v>7047</v>
      </c>
      <c r="B56" s="13" t="s">
        <v>7048</v>
      </c>
      <c r="C56" s="13">
        <v>1995</v>
      </c>
      <c r="D56" s="13" t="s">
        <v>15</v>
      </c>
      <c r="E56" s="13" t="s">
        <v>1270</v>
      </c>
      <c r="F56" s="13">
        <v>6.4809999999999999</v>
      </c>
      <c r="G56" s="13" t="s">
        <v>46</v>
      </c>
      <c r="H56" s="13" t="s">
        <v>7049</v>
      </c>
      <c r="I56" s="13" t="s">
        <v>7050</v>
      </c>
      <c r="J56" s="9" t="s">
        <v>7051</v>
      </c>
      <c r="K56" s="13">
        <v>412</v>
      </c>
    </row>
    <row r="57" spans="1:11" ht="15" customHeight="1" x14ac:dyDescent="0.2">
      <c r="A57" s="13" t="s">
        <v>7052</v>
      </c>
      <c r="B57" s="13" t="s">
        <v>7053</v>
      </c>
      <c r="C57" s="13">
        <v>1991</v>
      </c>
      <c r="D57" s="13" t="s">
        <v>15</v>
      </c>
      <c r="E57" s="13" t="s">
        <v>1270</v>
      </c>
      <c r="F57" s="13">
        <v>6.4169999999999998</v>
      </c>
      <c r="G57" s="13" t="s">
        <v>46</v>
      </c>
      <c r="H57" s="13" t="s">
        <v>7054</v>
      </c>
      <c r="I57" s="13" t="s">
        <v>7055</v>
      </c>
      <c r="J57" s="9" t="s">
        <v>7056</v>
      </c>
      <c r="K57" s="13">
        <v>216</v>
      </c>
    </row>
    <row r="58" spans="1:11" ht="15" customHeight="1" x14ac:dyDescent="0.2">
      <c r="A58" s="13" t="s">
        <v>7057</v>
      </c>
      <c r="B58" s="13" t="s">
        <v>7058</v>
      </c>
      <c r="C58" s="13">
        <v>2019</v>
      </c>
      <c r="D58" s="13" t="s">
        <v>15</v>
      </c>
      <c r="E58" s="13" t="s">
        <v>1270</v>
      </c>
      <c r="F58" s="13">
        <v>7</v>
      </c>
      <c r="G58" s="13" t="s">
        <v>18</v>
      </c>
      <c r="H58" s="13" t="s">
        <v>7059</v>
      </c>
      <c r="I58" s="13" t="s">
        <v>7060</v>
      </c>
      <c r="J58" s="9" t="s">
        <v>7061</v>
      </c>
      <c r="K58" s="13">
        <v>381</v>
      </c>
    </row>
    <row r="59" spans="1:11" ht="15" customHeight="1" x14ac:dyDescent="0.2">
      <c r="A59" s="13" t="s">
        <v>7062</v>
      </c>
      <c r="B59" s="13" t="s">
        <v>7062</v>
      </c>
      <c r="C59" s="13">
        <v>1957</v>
      </c>
      <c r="D59" s="13" t="s">
        <v>15</v>
      </c>
      <c r="E59" s="13" t="s">
        <v>1270</v>
      </c>
      <c r="F59" s="13"/>
      <c r="G59" s="13"/>
      <c r="H59" s="13" t="s">
        <v>7063</v>
      </c>
      <c r="I59" s="13" t="s">
        <v>7064</v>
      </c>
      <c r="J59" s="9" t="s">
        <v>7065</v>
      </c>
      <c r="K59" s="13"/>
    </row>
    <row r="60" spans="1:11" ht="15" customHeight="1" x14ac:dyDescent="0.2">
      <c r="A60" s="13" t="s">
        <v>7066</v>
      </c>
      <c r="B60" s="13" t="s">
        <v>5670</v>
      </c>
      <c r="C60" s="13">
        <v>1954</v>
      </c>
      <c r="D60" s="13" t="s">
        <v>15</v>
      </c>
      <c r="E60" s="13" t="s">
        <v>1270</v>
      </c>
      <c r="F60" s="13">
        <v>7.4</v>
      </c>
      <c r="G60" s="13" t="s">
        <v>18</v>
      </c>
      <c r="H60" s="13" t="s">
        <v>5671</v>
      </c>
      <c r="I60" s="13" t="s">
        <v>5672</v>
      </c>
      <c r="J60" s="9" t="s">
        <v>5673</v>
      </c>
      <c r="K60" s="13">
        <v>156</v>
      </c>
    </row>
    <row r="61" spans="1:11" ht="15" customHeight="1" x14ac:dyDescent="0.2">
      <c r="A61" s="15" t="s">
        <v>7067</v>
      </c>
      <c r="B61" s="15" t="s">
        <v>7067</v>
      </c>
      <c r="C61" s="15">
        <v>1962</v>
      </c>
      <c r="D61" s="15" t="s">
        <v>15</v>
      </c>
      <c r="E61" s="15" t="s">
        <v>1270</v>
      </c>
      <c r="F61" s="15"/>
      <c r="G61" s="15"/>
      <c r="H61" s="15" t="s">
        <v>7068</v>
      </c>
      <c r="I61" s="15" t="s">
        <v>7069</v>
      </c>
      <c r="J61" s="10" t="s">
        <v>5243</v>
      </c>
      <c r="K61" s="15"/>
    </row>
    <row r="62" spans="1:11" ht="15" customHeight="1" x14ac:dyDescent="0.2">
      <c r="A62" s="13" t="s">
        <v>7070</v>
      </c>
      <c r="B62" s="13" t="s">
        <v>7071</v>
      </c>
      <c r="C62" s="13">
        <v>2021</v>
      </c>
      <c r="D62" s="13" t="s">
        <v>15</v>
      </c>
      <c r="E62" s="13" t="s">
        <v>1270</v>
      </c>
      <c r="F62" s="13">
        <v>6.9710000000000001</v>
      </c>
      <c r="G62" s="13" t="s">
        <v>18</v>
      </c>
      <c r="H62" s="13" t="s">
        <v>7072</v>
      </c>
      <c r="I62" s="13" t="s">
        <v>7073</v>
      </c>
      <c r="J62" s="9" t="s">
        <v>7074</v>
      </c>
      <c r="K62" s="13">
        <v>445</v>
      </c>
    </row>
    <row r="63" spans="1:11" ht="15" customHeight="1" x14ac:dyDescent="0.2">
      <c r="A63" s="13" t="s">
        <v>7075</v>
      </c>
      <c r="B63" s="13" t="s">
        <v>7075</v>
      </c>
      <c r="C63" s="13">
        <v>2001</v>
      </c>
      <c r="D63" s="13" t="s">
        <v>350</v>
      </c>
      <c r="E63" s="13" t="s">
        <v>1270</v>
      </c>
      <c r="F63" s="13">
        <v>6.8319999999999999</v>
      </c>
      <c r="G63" s="13" t="s">
        <v>18</v>
      </c>
      <c r="H63" s="13" t="s">
        <v>7076</v>
      </c>
      <c r="I63" s="13" t="s">
        <v>7077</v>
      </c>
      <c r="J63" s="9" t="s">
        <v>7078</v>
      </c>
      <c r="K63" s="13">
        <v>544</v>
      </c>
    </row>
    <row r="64" spans="1:11" ht="15" customHeight="1" x14ac:dyDescent="0.2">
      <c r="A64" s="13" t="s">
        <v>7079</v>
      </c>
      <c r="B64" s="13" t="s">
        <v>7080</v>
      </c>
      <c r="C64" s="13">
        <v>1998</v>
      </c>
      <c r="D64" s="13" t="s">
        <v>15</v>
      </c>
      <c r="E64" s="13" t="s">
        <v>1270</v>
      </c>
      <c r="F64" s="13">
        <v>0</v>
      </c>
      <c r="G64" s="13"/>
      <c r="H64" s="13" t="s">
        <v>7081</v>
      </c>
      <c r="I64" s="13" t="s">
        <v>7082</v>
      </c>
      <c r="J64" s="9" t="s">
        <v>7083</v>
      </c>
      <c r="K64" s="13">
        <v>0</v>
      </c>
    </row>
    <row r="65" spans="1:11" ht="15" customHeight="1" x14ac:dyDescent="0.2">
      <c r="A65" s="13" t="s">
        <v>7084</v>
      </c>
      <c r="B65" s="13" t="s">
        <v>7085</v>
      </c>
      <c r="C65" s="13">
        <v>1997</v>
      </c>
      <c r="D65" s="13" t="s">
        <v>15</v>
      </c>
      <c r="E65" s="13" t="s">
        <v>1270</v>
      </c>
      <c r="F65" s="13">
        <v>6.4669999999999996</v>
      </c>
      <c r="G65" s="13" t="s">
        <v>46</v>
      </c>
      <c r="H65" s="13" t="s">
        <v>7086</v>
      </c>
      <c r="I65" s="13" t="s">
        <v>7087</v>
      </c>
      <c r="J65" s="9" t="s">
        <v>7088</v>
      </c>
      <c r="K65" s="13">
        <v>31</v>
      </c>
    </row>
    <row r="66" spans="1:11" ht="15" customHeight="1" x14ac:dyDescent="0.2">
      <c r="A66" s="13" t="s">
        <v>7089</v>
      </c>
      <c r="B66" s="13" t="s">
        <v>7090</v>
      </c>
      <c r="C66" s="13">
        <v>2023</v>
      </c>
      <c r="D66" s="13" t="s">
        <v>15</v>
      </c>
      <c r="E66" s="13" t="s">
        <v>1270</v>
      </c>
      <c r="F66" s="13">
        <v>6.4370000000000003</v>
      </c>
      <c r="G66" s="13" t="s">
        <v>46</v>
      </c>
      <c r="H66" s="13" t="s">
        <v>7091</v>
      </c>
      <c r="I66" s="13" t="s">
        <v>7092</v>
      </c>
      <c r="J66" s="9" t="s">
        <v>7093</v>
      </c>
      <c r="K66" s="13">
        <v>1179</v>
      </c>
    </row>
    <row r="67" spans="1:11" ht="15" customHeight="1" x14ac:dyDescent="0.2">
      <c r="A67" s="13" t="s">
        <v>7094</v>
      </c>
      <c r="B67" s="13" t="s">
        <v>7095</v>
      </c>
      <c r="C67" s="13">
        <v>1983</v>
      </c>
      <c r="D67" s="13" t="s">
        <v>15</v>
      </c>
      <c r="E67" s="13" t="s">
        <v>1270</v>
      </c>
      <c r="F67" s="13">
        <v>7.2229999999999999</v>
      </c>
      <c r="G67" s="13" t="s">
        <v>18</v>
      </c>
      <c r="H67" s="13" t="s">
        <v>7096</v>
      </c>
      <c r="I67" s="13" t="s">
        <v>7097</v>
      </c>
      <c r="J67" s="9" t="s">
        <v>7098</v>
      </c>
      <c r="K67" s="13">
        <v>3505</v>
      </c>
    </row>
    <row r="68" spans="1:11" ht="15" customHeight="1" x14ac:dyDescent="0.2">
      <c r="A68" s="13" t="s">
        <v>7099</v>
      </c>
      <c r="B68" s="13" t="s">
        <v>7100</v>
      </c>
      <c r="C68" s="13">
        <v>2016</v>
      </c>
      <c r="D68" s="13" t="s">
        <v>15</v>
      </c>
      <c r="E68" s="13" t="s">
        <v>1961</v>
      </c>
      <c r="F68" s="13">
        <v>6.3</v>
      </c>
      <c r="G68" s="13" t="s">
        <v>46</v>
      </c>
      <c r="H68" s="13">
        <v>325346</v>
      </c>
      <c r="I68" s="13" t="s">
        <v>7101</v>
      </c>
      <c r="J68" s="9" t="s">
        <v>7102</v>
      </c>
      <c r="K68" s="13">
        <v>322</v>
      </c>
    </row>
    <row r="69" spans="1:11" ht="15" customHeight="1" x14ac:dyDescent="0.2">
      <c r="A69" s="13" t="s">
        <v>7103</v>
      </c>
      <c r="B69" s="13" t="s">
        <v>7104</v>
      </c>
      <c r="C69" s="13">
        <v>2016</v>
      </c>
      <c r="D69" s="13" t="s">
        <v>15</v>
      </c>
      <c r="E69" s="13" t="s">
        <v>7105</v>
      </c>
      <c r="F69" s="13">
        <v>6.0910000000000002</v>
      </c>
      <c r="G69" s="13" t="s">
        <v>46</v>
      </c>
      <c r="H69" s="13" t="s">
        <v>7106</v>
      </c>
      <c r="I69" s="13" t="s">
        <v>7107</v>
      </c>
      <c r="J69" s="9" t="s">
        <v>7108</v>
      </c>
      <c r="K69" s="13">
        <v>2098</v>
      </c>
    </row>
    <row r="70" spans="1:11" ht="15" customHeight="1" x14ac:dyDescent="0.2">
      <c r="A70" s="13" t="s">
        <v>7109</v>
      </c>
      <c r="B70" s="13" t="s">
        <v>7110</v>
      </c>
      <c r="C70" s="13">
        <v>2009</v>
      </c>
      <c r="D70" s="13" t="s">
        <v>5388</v>
      </c>
      <c r="E70" s="13" t="s">
        <v>1270</v>
      </c>
      <c r="F70" s="13">
        <v>6.2</v>
      </c>
      <c r="G70" s="13" t="s">
        <v>46</v>
      </c>
      <c r="H70" s="13" t="s">
        <v>7111</v>
      </c>
      <c r="I70" s="13" t="s">
        <v>7112</v>
      </c>
      <c r="J70" s="9" t="s">
        <v>7113</v>
      </c>
      <c r="K70" s="13">
        <v>3</v>
      </c>
    </row>
    <row r="71" spans="1:11" ht="15" customHeight="1" x14ac:dyDescent="0.2">
      <c r="A71" s="15" t="s">
        <v>7114</v>
      </c>
      <c r="B71" s="15" t="s">
        <v>7115</v>
      </c>
      <c r="C71" s="15">
        <v>1994</v>
      </c>
      <c r="D71" s="15" t="s">
        <v>15</v>
      </c>
      <c r="E71" s="15" t="s">
        <v>1270</v>
      </c>
      <c r="F71" s="15">
        <v>6.7939999999999996</v>
      </c>
      <c r="G71" s="15" t="s">
        <v>18</v>
      </c>
      <c r="H71" s="15" t="s">
        <v>7116</v>
      </c>
      <c r="I71" s="15" t="s">
        <v>7117</v>
      </c>
      <c r="J71" s="10" t="s">
        <v>7118</v>
      </c>
      <c r="K71" s="15">
        <v>1281</v>
      </c>
    </row>
    <row r="72" spans="1:11" ht="15" customHeight="1" x14ac:dyDescent="0.2">
      <c r="A72" s="13" t="s">
        <v>7119</v>
      </c>
      <c r="B72" s="13" t="s">
        <v>7119</v>
      </c>
      <c r="C72" s="13">
        <v>2006</v>
      </c>
      <c r="D72" s="13" t="s">
        <v>350</v>
      </c>
      <c r="E72" s="13" t="s">
        <v>1270</v>
      </c>
      <c r="F72" s="13">
        <v>5</v>
      </c>
      <c r="G72" s="13" t="s">
        <v>28</v>
      </c>
      <c r="H72" s="13" t="s">
        <v>7120</v>
      </c>
      <c r="I72" s="13" t="s">
        <v>7121</v>
      </c>
      <c r="J72" s="9" t="s">
        <v>7122</v>
      </c>
      <c r="K72" s="13">
        <v>2</v>
      </c>
    </row>
    <row r="73" spans="1:11" ht="15" customHeight="1" x14ac:dyDescent="0.2">
      <c r="A73" s="13" t="s">
        <v>7123</v>
      </c>
      <c r="B73" s="13" t="s">
        <v>7124</v>
      </c>
      <c r="C73" s="13">
        <v>2018</v>
      </c>
      <c r="D73" s="13" t="s">
        <v>3641</v>
      </c>
      <c r="E73" s="13" t="s">
        <v>1270</v>
      </c>
      <c r="F73" s="13">
        <v>5.8</v>
      </c>
      <c r="G73" s="13" t="s">
        <v>46</v>
      </c>
      <c r="H73" s="13" t="s">
        <v>7125</v>
      </c>
      <c r="I73" s="13" t="s">
        <v>7126</v>
      </c>
      <c r="J73" s="9" t="s">
        <v>7127</v>
      </c>
      <c r="K73" s="13">
        <v>757</v>
      </c>
    </row>
    <row r="74" spans="1:11" ht="15" customHeight="1" x14ac:dyDescent="0.2">
      <c r="A74" s="13" t="s">
        <v>7128</v>
      </c>
      <c r="B74" s="13" t="s">
        <v>7129</v>
      </c>
      <c r="C74" s="13">
        <v>1961</v>
      </c>
      <c r="D74" s="13" t="s">
        <v>15</v>
      </c>
      <c r="E74" s="13" t="s">
        <v>1566</v>
      </c>
      <c r="F74" s="13">
        <v>7</v>
      </c>
      <c r="G74" s="13" t="s">
        <v>18</v>
      </c>
      <c r="H74" s="13" t="s">
        <v>7130</v>
      </c>
      <c r="I74" s="13" t="s">
        <v>7131</v>
      </c>
      <c r="J74" s="9" t="s">
        <v>7132</v>
      </c>
      <c r="K74" s="13">
        <v>410</v>
      </c>
    </row>
    <row r="75" spans="1:11" ht="15" customHeight="1" x14ac:dyDescent="0.2">
      <c r="A75" s="13" t="s">
        <v>7133</v>
      </c>
      <c r="B75" s="13" t="s">
        <v>7134</v>
      </c>
      <c r="C75" s="13">
        <v>2016</v>
      </c>
      <c r="D75" s="13" t="s">
        <v>15</v>
      </c>
      <c r="E75" s="13" t="s">
        <v>1270</v>
      </c>
      <c r="F75" s="13">
        <v>5.766</v>
      </c>
      <c r="G75" s="13" t="s">
        <v>46</v>
      </c>
      <c r="H75" s="13" t="s">
        <v>7135</v>
      </c>
      <c r="I75" s="13" t="s">
        <v>7136</v>
      </c>
      <c r="J75" s="9" t="s">
        <v>7137</v>
      </c>
      <c r="K75" s="13">
        <v>832</v>
      </c>
    </row>
    <row r="76" spans="1:11" ht="15" customHeight="1" x14ac:dyDescent="0.2">
      <c r="A76" s="13" t="s">
        <v>7138</v>
      </c>
      <c r="B76" s="13" t="s">
        <v>7138</v>
      </c>
      <c r="C76" s="13">
        <v>2020</v>
      </c>
      <c r="D76" s="13" t="s">
        <v>15</v>
      </c>
      <c r="E76" s="13" t="s">
        <v>1270</v>
      </c>
      <c r="F76" s="13">
        <v>7.5709999999999997</v>
      </c>
      <c r="G76" s="13" t="s">
        <v>77</v>
      </c>
      <c r="H76" s="13" t="s">
        <v>7139</v>
      </c>
      <c r="I76" s="13" t="s">
        <v>7140</v>
      </c>
      <c r="J76" s="9" t="s">
        <v>7141</v>
      </c>
      <c r="K76" s="13">
        <v>226</v>
      </c>
    </row>
    <row r="77" spans="1:11" ht="15" customHeight="1" x14ac:dyDescent="0.2">
      <c r="A77" s="13" t="s">
        <v>7142</v>
      </c>
      <c r="B77" s="13" t="s">
        <v>7143</v>
      </c>
      <c r="C77" s="13">
        <v>2018</v>
      </c>
      <c r="D77" s="13" t="s">
        <v>15</v>
      </c>
      <c r="E77" s="13" t="s">
        <v>1270</v>
      </c>
      <c r="F77" s="13">
        <v>6.649</v>
      </c>
      <c r="G77" s="13" t="s">
        <v>18</v>
      </c>
      <c r="H77" s="13" t="s">
        <v>7144</v>
      </c>
      <c r="I77" s="13" t="s">
        <v>7145</v>
      </c>
      <c r="J77" s="9" t="s">
        <v>7146</v>
      </c>
      <c r="K77" s="13">
        <v>282</v>
      </c>
    </row>
    <row r="78" spans="1:11" ht="15" customHeight="1" x14ac:dyDescent="0.2">
      <c r="A78" s="13" t="s">
        <v>7147</v>
      </c>
      <c r="B78" s="13" t="s">
        <v>7148</v>
      </c>
      <c r="C78" s="13">
        <v>1997</v>
      </c>
      <c r="D78" s="13" t="s">
        <v>15</v>
      </c>
      <c r="E78" s="13" t="s">
        <v>1270</v>
      </c>
      <c r="F78" s="13">
        <v>8.44</v>
      </c>
      <c r="G78" s="13" t="s">
        <v>77</v>
      </c>
      <c r="H78" s="13" t="s">
        <v>7149</v>
      </c>
      <c r="I78" s="13" t="s">
        <v>7150</v>
      </c>
      <c r="J78" s="9" t="s">
        <v>7151</v>
      </c>
      <c r="K78" s="13">
        <v>13672</v>
      </c>
    </row>
    <row r="79" spans="1:11" ht="15" customHeight="1" x14ac:dyDescent="0.2">
      <c r="A79" s="13" t="s">
        <v>7152</v>
      </c>
      <c r="B79" s="13" t="s">
        <v>7153</v>
      </c>
      <c r="C79" s="13">
        <v>2015</v>
      </c>
      <c r="D79" s="13" t="s">
        <v>15</v>
      </c>
      <c r="E79" s="13" t="s">
        <v>1270</v>
      </c>
      <c r="F79" s="13">
        <v>6.7649999999999997</v>
      </c>
      <c r="G79" s="13" t="s">
        <v>18</v>
      </c>
      <c r="H79" s="13" t="s">
        <v>7154</v>
      </c>
      <c r="I79" s="13" t="s">
        <v>7155</v>
      </c>
      <c r="J79" s="9" t="s">
        <v>7156</v>
      </c>
      <c r="K79" s="13">
        <v>4429</v>
      </c>
    </row>
    <row r="80" spans="1:11" ht="15" customHeight="1" x14ac:dyDescent="0.2">
      <c r="A80" s="13" t="s">
        <v>7157</v>
      </c>
      <c r="B80" s="13" t="s">
        <v>7157</v>
      </c>
      <c r="C80" s="13">
        <v>2018</v>
      </c>
      <c r="D80" s="13" t="s">
        <v>15</v>
      </c>
      <c r="E80" s="13" t="s">
        <v>1270</v>
      </c>
      <c r="F80" s="13">
        <v>6.7679999999999998</v>
      </c>
      <c r="G80" s="13" t="s">
        <v>18</v>
      </c>
      <c r="H80" s="13" t="s">
        <v>7158</v>
      </c>
      <c r="I80" s="13" t="s">
        <v>7159</v>
      </c>
      <c r="J80" s="9" t="s">
        <v>7160</v>
      </c>
      <c r="K80" s="13">
        <v>1422</v>
      </c>
    </row>
    <row r="81" spans="1:11" ht="15" customHeight="1" x14ac:dyDescent="0.2">
      <c r="A81" s="15" t="s">
        <v>7161</v>
      </c>
      <c r="B81" s="15" t="s">
        <v>7162</v>
      </c>
      <c r="C81" s="15">
        <v>2003</v>
      </c>
      <c r="D81" s="15" t="s">
        <v>15</v>
      </c>
      <c r="E81" s="15" t="s">
        <v>1270</v>
      </c>
      <c r="F81" s="15">
        <v>5.9480000000000004</v>
      </c>
      <c r="G81" s="15" t="s">
        <v>46</v>
      </c>
      <c r="H81" s="15" t="s">
        <v>7163</v>
      </c>
      <c r="I81" s="15" t="s">
        <v>7164</v>
      </c>
      <c r="J81" s="10" t="s">
        <v>7165</v>
      </c>
      <c r="K81" s="15">
        <v>1592</v>
      </c>
    </row>
    <row r="82" spans="1:11" ht="15" customHeight="1" x14ac:dyDescent="0.2">
      <c r="A82" s="13" t="s">
        <v>7166</v>
      </c>
      <c r="B82" s="13" t="s">
        <v>7167</v>
      </c>
      <c r="C82" s="13">
        <v>2017</v>
      </c>
      <c r="D82" s="13" t="s">
        <v>2463</v>
      </c>
      <c r="E82" s="13" t="s">
        <v>7168</v>
      </c>
      <c r="F82" s="13">
        <v>5.6059999999999999</v>
      </c>
      <c r="G82" s="13" t="s">
        <v>46</v>
      </c>
      <c r="H82" s="13" t="s">
        <v>7169</v>
      </c>
      <c r="I82" s="13" t="s">
        <v>7170</v>
      </c>
      <c r="J82" s="9" t="s">
        <v>7171</v>
      </c>
      <c r="K82" s="13">
        <v>33</v>
      </c>
    </row>
    <row r="83" spans="1:11" ht="15" customHeight="1" x14ac:dyDescent="0.2">
      <c r="A83" s="13" t="s">
        <v>7172</v>
      </c>
      <c r="B83" s="13" t="s">
        <v>7173</v>
      </c>
      <c r="C83" s="13">
        <v>2020</v>
      </c>
      <c r="D83" s="13" t="s">
        <v>15</v>
      </c>
      <c r="E83" s="13" t="s">
        <v>1270</v>
      </c>
      <c r="F83" s="13">
        <v>6.7249999999999996</v>
      </c>
      <c r="G83" s="13" t="s">
        <v>18</v>
      </c>
      <c r="H83" s="13" t="s">
        <v>7174</v>
      </c>
      <c r="I83" s="13" t="s">
        <v>7175</v>
      </c>
      <c r="J83" s="9" t="s">
        <v>7176</v>
      </c>
      <c r="K83" s="13">
        <v>100</v>
      </c>
    </row>
    <row r="84" spans="1:11" ht="15" customHeight="1" x14ac:dyDescent="0.2">
      <c r="A84" s="13" t="s">
        <v>7177</v>
      </c>
      <c r="B84" s="13" t="s">
        <v>7178</v>
      </c>
      <c r="C84" s="13">
        <v>2011</v>
      </c>
      <c r="D84" s="13" t="s">
        <v>15</v>
      </c>
      <c r="E84" s="13" t="s">
        <v>1270</v>
      </c>
      <c r="F84" s="13">
        <v>6</v>
      </c>
      <c r="G84" s="13" t="s">
        <v>46</v>
      </c>
      <c r="H84" s="13" t="s">
        <v>7179</v>
      </c>
      <c r="I84" s="13" t="s">
        <v>7180</v>
      </c>
      <c r="J84" s="9" t="s">
        <v>7181</v>
      </c>
      <c r="K84" s="13">
        <v>846</v>
      </c>
    </row>
    <row r="85" spans="1:11" ht="15" customHeight="1" x14ac:dyDescent="0.2">
      <c r="A85" s="13" t="s">
        <v>7182</v>
      </c>
      <c r="B85" s="13" t="s">
        <v>7183</v>
      </c>
      <c r="C85" s="13">
        <v>1980</v>
      </c>
      <c r="D85" s="13" t="s">
        <v>15</v>
      </c>
      <c r="E85" s="13" t="s">
        <v>1764</v>
      </c>
      <c r="F85" s="13">
        <v>6.1630000000000003</v>
      </c>
      <c r="G85" s="13" t="s">
        <v>46</v>
      </c>
      <c r="H85" s="13" t="s">
        <v>7184</v>
      </c>
      <c r="I85" s="13" t="s">
        <v>7185</v>
      </c>
      <c r="J85" s="9" t="s">
        <v>7186</v>
      </c>
      <c r="K85" s="13">
        <v>700</v>
      </c>
    </row>
    <row r="86" spans="1:11" ht="15" customHeight="1" x14ac:dyDescent="0.2">
      <c r="A86" s="13" t="s">
        <v>7187</v>
      </c>
      <c r="B86" s="13" t="s">
        <v>7188</v>
      </c>
      <c r="C86" s="13">
        <v>2007</v>
      </c>
      <c r="D86" s="13" t="s">
        <v>15</v>
      </c>
      <c r="E86" s="13" t="s">
        <v>1270</v>
      </c>
      <c r="F86" s="13">
        <v>6.6859999999999999</v>
      </c>
      <c r="G86" s="13" t="s">
        <v>18</v>
      </c>
      <c r="H86" s="13" t="s">
        <v>7189</v>
      </c>
      <c r="I86" s="13" t="s">
        <v>7190</v>
      </c>
      <c r="J86" s="9" t="s">
        <v>7191</v>
      </c>
      <c r="K86" s="13">
        <v>1440</v>
      </c>
    </row>
    <row r="87" spans="1:11" ht="15" customHeight="1" x14ac:dyDescent="0.2">
      <c r="A87" s="13" t="s">
        <v>7192</v>
      </c>
      <c r="B87" s="13" t="s">
        <v>7192</v>
      </c>
      <c r="C87" s="13">
        <v>2013</v>
      </c>
      <c r="D87" s="13" t="s">
        <v>350</v>
      </c>
      <c r="E87" s="13" t="s">
        <v>1270</v>
      </c>
      <c r="F87" s="13">
        <v>7</v>
      </c>
      <c r="G87" s="13" t="s">
        <v>18</v>
      </c>
      <c r="H87" s="13" t="s">
        <v>7193</v>
      </c>
      <c r="I87" s="13" t="s">
        <v>7194</v>
      </c>
      <c r="J87" s="9" t="s">
        <v>7195</v>
      </c>
      <c r="K87" s="13">
        <v>7</v>
      </c>
    </row>
    <row r="88" spans="1:11" ht="15" customHeight="1" x14ac:dyDescent="0.2">
      <c r="A88" s="13" t="s">
        <v>7196</v>
      </c>
      <c r="B88" s="13" t="s">
        <v>7197</v>
      </c>
      <c r="C88" s="13">
        <v>1990</v>
      </c>
      <c r="D88" s="13" t="s">
        <v>15</v>
      </c>
      <c r="E88" s="13" t="s">
        <v>1270</v>
      </c>
      <c r="F88" s="13">
        <v>5.9</v>
      </c>
      <c r="G88" s="13" t="s">
        <v>46</v>
      </c>
      <c r="H88" s="13" t="s">
        <v>7198</v>
      </c>
      <c r="I88" s="13" t="s">
        <v>7199</v>
      </c>
      <c r="J88" s="9" t="s">
        <v>7200</v>
      </c>
      <c r="K88" s="13">
        <v>69</v>
      </c>
    </row>
    <row r="89" spans="1:11" ht="15" customHeight="1" x14ac:dyDescent="0.2">
      <c r="A89" s="13" t="s">
        <v>7201</v>
      </c>
      <c r="B89" s="13" t="s">
        <v>7202</v>
      </c>
      <c r="C89" s="13">
        <v>1996</v>
      </c>
      <c r="D89" s="13" t="s">
        <v>15</v>
      </c>
      <c r="E89" s="13" t="s">
        <v>7203</v>
      </c>
      <c r="F89" s="13">
        <v>6.601</v>
      </c>
      <c r="G89" s="13" t="s">
        <v>18</v>
      </c>
      <c r="H89" s="13" t="s">
        <v>7204</v>
      </c>
      <c r="I89" s="13" t="s">
        <v>7205</v>
      </c>
      <c r="J89" s="9" t="s">
        <v>7206</v>
      </c>
      <c r="K89" s="13">
        <v>519</v>
      </c>
    </row>
    <row r="90" spans="1:11" ht="15" customHeight="1" x14ac:dyDescent="0.2">
      <c r="A90" s="13" t="s">
        <v>7207</v>
      </c>
      <c r="B90" s="13" t="s">
        <v>7208</v>
      </c>
      <c r="C90" s="13">
        <v>2002</v>
      </c>
      <c r="D90" s="13" t="s">
        <v>15</v>
      </c>
      <c r="E90" s="13" t="s">
        <v>7209</v>
      </c>
      <c r="F90" s="13">
        <v>6.3620000000000001</v>
      </c>
      <c r="G90" s="13" t="s">
        <v>46</v>
      </c>
      <c r="H90" s="13" t="s">
        <v>7210</v>
      </c>
      <c r="I90" s="13" t="s">
        <v>7211</v>
      </c>
      <c r="J90" s="9" t="s">
        <v>7212</v>
      </c>
      <c r="K90" s="13">
        <v>2103</v>
      </c>
    </row>
    <row r="91" spans="1:11" ht="15" customHeight="1" x14ac:dyDescent="0.2">
      <c r="A91" s="15" t="s">
        <v>7213</v>
      </c>
      <c r="B91" s="15" t="s">
        <v>7214</v>
      </c>
      <c r="C91" s="15">
        <v>2016</v>
      </c>
      <c r="D91" s="15" t="s">
        <v>15</v>
      </c>
      <c r="E91" s="15" t="s">
        <v>1270</v>
      </c>
      <c r="F91" s="15"/>
      <c r="G91" s="15"/>
      <c r="H91" s="15" t="s">
        <v>7215</v>
      </c>
      <c r="I91" s="15" t="s">
        <v>7216</v>
      </c>
      <c r="J91" s="10" t="s">
        <v>7217</v>
      </c>
      <c r="K91" s="15"/>
    </row>
    <row r="92" spans="1:11" ht="15" customHeight="1" x14ac:dyDescent="0.2">
      <c r="A92" s="13" t="s">
        <v>7218</v>
      </c>
      <c r="B92" s="13" t="s">
        <v>7219</v>
      </c>
      <c r="C92" s="13">
        <v>1979</v>
      </c>
      <c r="D92" s="13" t="s">
        <v>15</v>
      </c>
      <c r="E92" s="13" t="s">
        <v>1270</v>
      </c>
      <c r="F92" s="13">
        <v>7.2</v>
      </c>
      <c r="G92" s="13" t="s">
        <v>18</v>
      </c>
      <c r="H92" s="13" t="s">
        <v>7220</v>
      </c>
      <c r="I92" s="13" t="s">
        <v>7221</v>
      </c>
      <c r="J92" s="9" t="s">
        <v>7222</v>
      </c>
      <c r="K92" s="13">
        <v>188</v>
      </c>
    </row>
    <row r="93" spans="1:11" ht="15" customHeight="1" x14ac:dyDescent="0.2">
      <c r="A93" s="13" t="s">
        <v>7223</v>
      </c>
      <c r="B93" s="13" t="s">
        <v>7224</v>
      </c>
      <c r="C93" s="13">
        <v>1980</v>
      </c>
      <c r="D93" s="13" t="s">
        <v>15</v>
      </c>
      <c r="E93" s="13" t="s">
        <v>566</v>
      </c>
      <c r="F93" s="13">
        <v>7.4539999999999997</v>
      </c>
      <c r="G93" s="13" t="s">
        <v>18</v>
      </c>
      <c r="H93" s="13" t="s">
        <v>7225</v>
      </c>
      <c r="I93" s="13" t="s">
        <v>7226</v>
      </c>
      <c r="J93" s="9" t="s">
        <v>7227</v>
      </c>
      <c r="K93" s="13">
        <v>668</v>
      </c>
    </row>
    <row r="94" spans="1:11" ht="15" customHeight="1" x14ac:dyDescent="0.2">
      <c r="A94" s="13" t="s">
        <v>7228</v>
      </c>
      <c r="B94" s="13" t="s">
        <v>7229</v>
      </c>
      <c r="C94" s="13">
        <v>1980</v>
      </c>
      <c r="D94" s="13" t="s">
        <v>927</v>
      </c>
      <c r="E94" s="13" t="s">
        <v>1270</v>
      </c>
      <c r="F94" s="13">
        <v>6.2</v>
      </c>
      <c r="G94" s="13" t="s">
        <v>46</v>
      </c>
      <c r="H94" s="13" t="s">
        <v>7230</v>
      </c>
      <c r="I94" s="13" t="s">
        <v>7231</v>
      </c>
      <c r="J94" s="9" t="s">
        <v>7232</v>
      </c>
      <c r="K94" s="13">
        <v>83</v>
      </c>
    </row>
    <row r="95" spans="1:11" ht="15" customHeight="1" x14ac:dyDescent="0.2">
      <c r="A95" s="13" t="s">
        <v>7233</v>
      </c>
      <c r="B95" s="13" t="s">
        <v>7234</v>
      </c>
      <c r="C95" s="13">
        <v>1996</v>
      </c>
      <c r="D95" s="13" t="s">
        <v>15</v>
      </c>
      <c r="E95" s="13" t="s">
        <v>1270</v>
      </c>
      <c r="F95" s="13">
        <v>5.6669999999999998</v>
      </c>
      <c r="G95" s="13" t="s">
        <v>46</v>
      </c>
      <c r="H95" s="13" t="s">
        <v>7235</v>
      </c>
      <c r="I95" s="13" t="s">
        <v>7236</v>
      </c>
      <c r="J95" s="9" t="s">
        <v>7237</v>
      </c>
      <c r="K95" s="13">
        <v>27</v>
      </c>
    </row>
    <row r="96" spans="1:11" ht="15" customHeight="1" x14ac:dyDescent="0.2">
      <c r="A96" s="13" t="s">
        <v>7238</v>
      </c>
      <c r="B96" s="13" t="s">
        <v>7239</v>
      </c>
      <c r="C96" s="13">
        <v>2007</v>
      </c>
      <c r="D96" s="13" t="s">
        <v>15</v>
      </c>
      <c r="E96" s="13" t="s">
        <v>1270</v>
      </c>
      <c r="F96" s="13"/>
      <c r="G96" s="13"/>
      <c r="H96" s="13" t="s">
        <v>7240</v>
      </c>
      <c r="I96" s="13"/>
      <c r="J96" s="9" t="s">
        <v>7241</v>
      </c>
      <c r="K96" s="13"/>
    </row>
    <row r="97" spans="1:11" ht="15" customHeight="1" x14ac:dyDescent="0.2">
      <c r="A97" s="13" t="s">
        <v>7242</v>
      </c>
      <c r="B97" s="13" t="s">
        <v>7242</v>
      </c>
      <c r="C97" s="13">
        <v>1999</v>
      </c>
      <c r="D97" s="13" t="s">
        <v>15</v>
      </c>
      <c r="E97" s="13" t="s">
        <v>1270</v>
      </c>
      <c r="F97" s="13">
        <v>6.8689999999999998</v>
      </c>
      <c r="G97" s="13" t="s">
        <v>18</v>
      </c>
      <c r="H97" s="13" t="s">
        <v>7243</v>
      </c>
      <c r="I97" s="13" t="s">
        <v>7244</v>
      </c>
      <c r="J97" s="9" t="s">
        <v>7245</v>
      </c>
      <c r="K97" s="13">
        <v>1143</v>
      </c>
    </row>
    <row r="98" spans="1:11" ht="15" customHeight="1" x14ac:dyDescent="0.2">
      <c r="A98" s="13" t="s">
        <v>7246</v>
      </c>
      <c r="B98" s="13" t="s">
        <v>7247</v>
      </c>
      <c r="C98" s="13">
        <v>1980</v>
      </c>
      <c r="D98" s="13" t="s">
        <v>3607</v>
      </c>
      <c r="E98" s="13" t="s">
        <v>928</v>
      </c>
      <c r="F98" s="13">
        <v>5.7</v>
      </c>
      <c r="G98" s="13" t="s">
        <v>46</v>
      </c>
      <c r="H98" s="13" t="s">
        <v>7248</v>
      </c>
      <c r="I98" s="13" t="s">
        <v>7249</v>
      </c>
      <c r="J98" s="9" t="s">
        <v>7250</v>
      </c>
      <c r="K98" s="13">
        <v>41</v>
      </c>
    </row>
    <row r="99" spans="1:11" ht="15" customHeight="1" x14ac:dyDescent="0.2">
      <c r="A99" s="13" t="s">
        <v>7251</v>
      </c>
      <c r="B99" s="13" t="s">
        <v>7251</v>
      </c>
      <c r="C99" s="13">
        <v>2005</v>
      </c>
      <c r="D99" s="13" t="s">
        <v>15</v>
      </c>
      <c r="E99" s="13" t="s">
        <v>1270</v>
      </c>
      <c r="F99" s="13">
        <v>6.194</v>
      </c>
      <c r="G99" s="13" t="s">
        <v>46</v>
      </c>
      <c r="H99" s="13" t="s">
        <v>7252</v>
      </c>
      <c r="I99" s="13" t="s">
        <v>7253</v>
      </c>
      <c r="J99" s="9" t="s">
        <v>7254</v>
      </c>
      <c r="K99" s="13">
        <v>1158</v>
      </c>
    </row>
    <row r="100" spans="1:11" ht="15" customHeight="1" x14ac:dyDescent="0.2">
      <c r="A100" s="13" t="s">
        <v>7255</v>
      </c>
      <c r="B100" s="13" t="s">
        <v>7255</v>
      </c>
      <c r="C100" s="13">
        <v>2025</v>
      </c>
      <c r="D100" s="13" t="s">
        <v>15</v>
      </c>
      <c r="E100" s="13" t="s">
        <v>1270</v>
      </c>
      <c r="F100" s="13">
        <v>3.8</v>
      </c>
      <c r="G100" s="13" t="s">
        <v>86</v>
      </c>
      <c r="H100" s="13" t="s">
        <v>7256</v>
      </c>
      <c r="I100" s="13" t="s">
        <v>7257</v>
      </c>
      <c r="J100" s="9" t="s">
        <v>7258</v>
      </c>
      <c r="K100" s="13">
        <v>6</v>
      </c>
    </row>
    <row r="101" spans="1:11" ht="15" customHeight="1" x14ac:dyDescent="0.2">
      <c r="A101" s="15" t="s">
        <v>7259</v>
      </c>
      <c r="B101" s="15" t="s">
        <v>7259</v>
      </c>
      <c r="C101" s="15">
        <v>2021</v>
      </c>
      <c r="D101" s="15" t="s">
        <v>350</v>
      </c>
      <c r="E101" s="15" t="s">
        <v>1270</v>
      </c>
      <c r="F101" s="15">
        <v>6</v>
      </c>
      <c r="G101" s="15" t="s">
        <v>46</v>
      </c>
      <c r="H101" s="15" t="s">
        <v>7260</v>
      </c>
      <c r="I101" s="15" t="s">
        <v>7261</v>
      </c>
      <c r="J101" s="10" t="s">
        <v>7262</v>
      </c>
      <c r="K101" s="15">
        <v>0</v>
      </c>
    </row>
    <row r="102" spans="1:11" ht="15" customHeight="1" x14ac:dyDescent="0.2">
      <c r="A102" s="13" t="s">
        <v>7263</v>
      </c>
      <c r="B102" s="13" t="s">
        <v>7264</v>
      </c>
      <c r="C102" s="13">
        <v>2017</v>
      </c>
      <c r="D102" s="13" t="s">
        <v>7265</v>
      </c>
      <c r="E102" s="13" t="s">
        <v>7266</v>
      </c>
      <c r="F102" s="13">
        <v>8</v>
      </c>
      <c r="G102" s="13" t="s">
        <v>77</v>
      </c>
      <c r="H102" s="13" t="s">
        <v>7267</v>
      </c>
      <c r="I102" s="13" t="s">
        <v>7268</v>
      </c>
      <c r="J102" s="9" t="s">
        <v>7269</v>
      </c>
      <c r="K102" s="13">
        <v>2</v>
      </c>
    </row>
    <row r="103" spans="1:11" ht="15" customHeight="1" x14ac:dyDescent="0.2">
      <c r="A103" s="13" t="s">
        <v>7270</v>
      </c>
      <c r="B103" s="13" t="s">
        <v>7271</v>
      </c>
      <c r="C103" s="13">
        <v>2011</v>
      </c>
      <c r="D103" s="13" t="s">
        <v>350</v>
      </c>
      <c r="E103" s="13" t="s">
        <v>1270</v>
      </c>
      <c r="F103" s="13">
        <v>8.2710000000000008</v>
      </c>
      <c r="G103" s="13" t="s">
        <v>77</v>
      </c>
      <c r="H103" s="13" t="s">
        <v>7272</v>
      </c>
      <c r="I103" s="13" t="s">
        <v>7273</v>
      </c>
      <c r="J103" s="9" t="s">
        <v>7274</v>
      </c>
      <c r="K103" s="13">
        <v>18002</v>
      </c>
    </row>
    <row r="104" spans="1:11" ht="15" customHeight="1" x14ac:dyDescent="0.2">
      <c r="A104" s="13" t="s">
        <v>7275</v>
      </c>
      <c r="B104" s="13" t="s">
        <v>7275</v>
      </c>
      <c r="C104" s="13">
        <v>2015</v>
      </c>
      <c r="D104" s="13" t="s">
        <v>350</v>
      </c>
      <c r="E104" s="13" t="s">
        <v>1270</v>
      </c>
      <c r="F104" s="13">
        <v>10</v>
      </c>
      <c r="G104" s="13" t="s">
        <v>2037</v>
      </c>
      <c r="H104" s="13" t="s">
        <v>7276</v>
      </c>
      <c r="I104" s="13" t="s">
        <v>7277</v>
      </c>
      <c r="J104" s="9" t="s">
        <v>7278</v>
      </c>
      <c r="K104" s="13">
        <v>1</v>
      </c>
    </row>
    <row r="105" spans="1:11" ht="15" customHeight="1" x14ac:dyDescent="0.2">
      <c r="A105" s="13" t="s">
        <v>7279</v>
      </c>
      <c r="B105" s="13" t="s">
        <v>7280</v>
      </c>
      <c r="C105" s="13">
        <v>1999</v>
      </c>
      <c r="D105" s="13" t="s">
        <v>15</v>
      </c>
      <c r="E105" s="13" t="s">
        <v>1270</v>
      </c>
      <c r="F105" s="13">
        <v>6.7619999999999996</v>
      </c>
      <c r="G105" s="13" t="s">
        <v>18</v>
      </c>
      <c r="H105" s="13" t="s">
        <v>7281</v>
      </c>
      <c r="I105" s="13" t="s">
        <v>7282</v>
      </c>
      <c r="J105" s="9" t="s">
        <v>7283</v>
      </c>
      <c r="K105" s="13">
        <v>1167</v>
      </c>
    </row>
    <row r="106" spans="1:11" ht="15" customHeight="1" x14ac:dyDescent="0.2">
      <c r="A106" s="13" t="s">
        <v>7284</v>
      </c>
      <c r="B106" s="13" t="s">
        <v>7285</v>
      </c>
      <c r="C106" s="13"/>
      <c r="D106" s="13" t="s">
        <v>350</v>
      </c>
      <c r="E106" s="13" t="s">
        <v>1270</v>
      </c>
      <c r="F106" s="13">
        <v>7.01</v>
      </c>
      <c r="G106" s="13" t="s">
        <v>18</v>
      </c>
      <c r="H106" s="13">
        <v>233063</v>
      </c>
      <c r="I106" s="13" t="s">
        <v>7286</v>
      </c>
      <c r="J106" s="9" t="s">
        <v>7287</v>
      </c>
      <c r="K106" s="13">
        <v>1735</v>
      </c>
    </row>
    <row r="107" spans="1:11" ht="15" customHeight="1" x14ac:dyDescent="0.2">
      <c r="A107" s="13" t="s">
        <v>7285</v>
      </c>
      <c r="B107" s="13" t="s">
        <v>7285</v>
      </c>
      <c r="C107" s="13"/>
      <c r="D107" s="13" t="s">
        <v>350</v>
      </c>
      <c r="E107" s="13" t="s">
        <v>1270</v>
      </c>
      <c r="F107" s="13">
        <v>6.4589999999999996</v>
      </c>
      <c r="G107" s="13" t="s">
        <v>46</v>
      </c>
      <c r="H107" s="13">
        <v>329263</v>
      </c>
      <c r="I107" s="13" t="s">
        <v>7288</v>
      </c>
      <c r="J107" s="9" t="s">
        <v>7289</v>
      </c>
      <c r="K107" s="13">
        <v>990</v>
      </c>
    </row>
    <row r="108" spans="1:11" ht="15" customHeight="1" x14ac:dyDescent="0.2">
      <c r="A108" s="13" t="s">
        <v>7290</v>
      </c>
      <c r="B108" s="13" t="s">
        <v>7290</v>
      </c>
      <c r="C108" s="13">
        <v>2017</v>
      </c>
      <c r="D108" s="13" t="s">
        <v>350</v>
      </c>
      <c r="E108" s="13" t="s">
        <v>1270</v>
      </c>
      <c r="F108" s="13">
        <v>6.0990000000000002</v>
      </c>
      <c r="G108" s="13" t="s">
        <v>46</v>
      </c>
      <c r="H108" s="13" t="s">
        <v>7291</v>
      </c>
      <c r="I108" s="13" t="s">
        <v>7292</v>
      </c>
      <c r="J108" s="9" t="s">
        <v>7293</v>
      </c>
      <c r="K108" s="13">
        <v>478</v>
      </c>
    </row>
    <row r="109" spans="1:11" ht="15" customHeight="1" x14ac:dyDescent="0.2">
      <c r="A109" s="13" t="s">
        <v>7294</v>
      </c>
      <c r="B109" s="13" t="s">
        <v>7294</v>
      </c>
      <c r="C109" s="13">
        <v>1989</v>
      </c>
      <c r="D109" s="13" t="s">
        <v>15</v>
      </c>
      <c r="E109" s="13" t="s">
        <v>1270</v>
      </c>
      <c r="F109" s="13">
        <v>5.6840000000000002</v>
      </c>
      <c r="G109" s="13" t="s">
        <v>46</v>
      </c>
      <c r="H109" s="13" t="s">
        <v>7295</v>
      </c>
      <c r="I109" s="13" t="s">
        <v>7296</v>
      </c>
      <c r="J109" s="9" t="s">
        <v>7297</v>
      </c>
      <c r="K109" s="13">
        <v>267</v>
      </c>
    </row>
    <row r="110" spans="1:11" ht="15" customHeight="1" x14ac:dyDescent="0.2">
      <c r="A110" s="13" t="s">
        <v>7298</v>
      </c>
      <c r="B110" s="13" t="s">
        <v>7298</v>
      </c>
      <c r="C110" s="13">
        <v>2023</v>
      </c>
      <c r="D110" s="13" t="s">
        <v>15</v>
      </c>
      <c r="E110" s="13" t="s">
        <v>1270</v>
      </c>
      <c r="F110" s="13">
        <v>6.4009999999999998</v>
      </c>
      <c r="G110" s="13" t="s">
        <v>46</v>
      </c>
      <c r="H110" s="13" t="s">
        <v>7299</v>
      </c>
      <c r="I110" s="13" t="s">
        <v>7300</v>
      </c>
      <c r="J110" s="9" t="s">
        <v>7301</v>
      </c>
      <c r="K110" s="13">
        <v>740</v>
      </c>
    </row>
    <row r="111" spans="1:11" ht="15" customHeight="1" x14ac:dyDescent="0.2">
      <c r="A111" s="15" t="s">
        <v>7302</v>
      </c>
      <c r="B111" s="15" t="s">
        <v>7303</v>
      </c>
      <c r="C111" s="15">
        <v>1993</v>
      </c>
      <c r="D111" s="15" t="s">
        <v>15</v>
      </c>
      <c r="E111" s="15" t="s">
        <v>1270</v>
      </c>
      <c r="F111" s="15">
        <v>5.9</v>
      </c>
      <c r="G111" s="15" t="s">
        <v>46</v>
      </c>
      <c r="H111" s="15" t="s">
        <v>7304</v>
      </c>
      <c r="I111" s="15" t="s">
        <v>7305</v>
      </c>
      <c r="J111" s="10" t="s">
        <v>7306</v>
      </c>
      <c r="K111" s="15">
        <v>23</v>
      </c>
    </row>
    <row r="112" spans="1:11" ht="15" customHeight="1" x14ac:dyDescent="0.2">
      <c r="A112" s="13" t="s">
        <v>7307</v>
      </c>
      <c r="B112" s="13" t="s">
        <v>7308</v>
      </c>
      <c r="C112" s="13">
        <v>1992</v>
      </c>
      <c r="D112" s="13" t="s">
        <v>15</v>
      </c>
      <c r="E112" s="13" t="s">
        <v>1270</v>
      </c>
      <c r="F112" s="13">
        <v>6.7</v>
      </c>
      <c r="G112" s="13" t="s">
        <v>18</v>
      </c>
      <c r="H112" s="13" t="s">
        <v>7309</v>
      </c>
      <c r="I112" s="13" t="s">
        <v>7310</v>
      </c>
      <c r="J112" s="9" t="s">
        <v>7311</v>
      </c>
      <c r="K112" s="13">
        <v>82</v>
      </c>
    </row>
    <row r="113" spans="1:11" ht="15" customHeight="1" x14ac:dyDescent="0.2">
      <c r="A113" s="13" t="s">
        <v>7312</v>
      </c>
      <c r="B113" s="13" t="s">
        <v>7313</v>
      </c>
      <c r="C113" s="13">
        <v>1999</v>
      </c>
      <c r="D113" s="13" t="s">
        <v>3674</v>
      </c>
      <c r="E113" s="13" t="s">
        <v>1270</v>
      </c>
      <c r="F113" s="13">
        <v>5.25</v>
      </c>
      <c r="G113" s="13" t="s">
        <v>28</v>
      </c>
      <c r="H113" s="13" t="s">
        <v>7314</v>
      </c>
      <c r="I113" s="13" t="s">
        <v>7315</v>
      </c>
      <c r="J113" s="9" t="s">
        <v>7316</v>
      </c>
      <c r="K113" s="13">
        <v>24</v>
      </c>
    </row>
    <row r="114" spans="1:11" ht="15" customHeight="1" x14ac:dyDescent="0.2">
      <c r="A114" s="13" t="s">
        <v>7317</v>
      </c>
      <c r="B114" s="13" t="s">
        <v>7317</v>
      </c>
      <c r="C114" s="13">
        <v>2019</v>
      </c>
      <c r="D114" s="13" t="s">
        <v>6906</v>
      </c>
      <c r="E114" s="13" t="s">
        <v>2517</v>
      </c>
      <c r="F114" s="13">
        <v>6.8470000000000004</v>
      </c>
      <c r="G114" s="13" t="s">
        <v>18</v>
      </c>
      <c r="H114" s="13" t="s">
        <v>7318</v>
      </c>
      <c r="I114" s="13" t="s">
        <v>7319</v>
      </c>
      <c r="J114" s="9" t="s">
        <v>7320</v>
      </c>
      <c r="K114" s="13">
        <v>1814</v>
      </c>
    </row>
    <row r="115" spans="1:11" ht="15" customHeight="1" x14ac:dyDescent="0.2">
      <c r="A115" s="13" t="s">
        <v>7321</v>
      </c>
      <c r="B115" s="13" t="s">
        <v>7321</v>
      </c>
      <c r="C115" s="13">
        <v>2016</v>
      </c>
      <c r="D115" s="13" t="s">
        <v>15</v>
      </c>
      <c r="E115" s="13" t="s">
        <v>1270</v>
      </c>
      <c r="F115" s="13"/>
      <c r="G115" s="13"/>
      <c r="H115" s="13" t="s">
        <v>7322</v>
      </c>
      <c r="I115" s="13" t="s">
        <v>7323</v>
      </c>
      <c r="J115" s="9" t="s">
        <v>7324</v>
      </c>
      <c r="K115" s="13"/>
    </row>
    <row r="116" spans="1:11" ht="15" customHeight="1" x14ac:dyDescent="0.2">
      <c r="A116" s="13" t="s">
        <v>7325</v>
      </c>
      <c r="B116" s="13" t="s">
        <v>7326</v>
      </c>
      <c r="C116" s="13">
        <v>2019</v>
      </c>
      <c r="D116" s="13" t="s">
        <v>1316</v>
      </c>
      <c r="E116" s="13" t="s">
        <v>1013</v>
      </c>
      <c r="F116" s="13">
        <v>6.7530000000000001</v>
      </c>
      <c r="G116" s="13" t="s">
        <v>18</v>
      </c>
      <c r="H116" s="13" t="s">
        <v>7327</v>
      </c>
      <c r="I116" s="13" t="s">
        <v>7328</v>
      </c>
      <c r="J116" s="9" t="s">
        <v>7329</v>
      </c>
      <c r="K116" s="13">
        <v>180</v>
      </c>
    </row>
    <row r="117" spans="1:11" ht="15" customHeight="1" x14ac:dyDescent="0.2">
      <c r="A117" s="13" t="s">
        <v>7326</v>
      </c>
      <c r="B117" s="13" t="s">
        <v>7326</v>
      </c>
      <c r="C117" s="13">
        <v>2019</v>
      </c>
      <c r="D117" s="13" t="s">
        <v>1316</v>
      </c>
      <c r="E117" s="13" t="s">
        <v>7330</v>
      </c>
      <c r="F117" s="13">
        <v>6.7530000000000001</v>
      </c>
      <c r="G117" s="13" t="s">
        <v>18</v>
      </c>
      <c r="H117" s="13" t="s">
        <v>7327</v>
      </c>
      <c r="I117" s="13" t="s">
        <v>7331</v>
      </c>
      <c r="J117" s="9" t="s">
        <v>7329</v>
      </c>
      <c r="K117" s="13">
        <v>180</v>
      </c>
    </row>
    <row r="118" spans="1:11" ht="15" customHeight="1" x14ac:dyDescent="0.2">
      <c r="A118" s="13" t="s">
        <v>7332</v>
      </c>
      <c r="B118" s="13" t="s">
        <v>7333</v>
      </c>
      <c r="C118" s="13">
        <v>2023</v>
      </c>
      <c r="D118" s="13" t="s">
        <v>15</v>
      </c>
      <c r="E118" s="13" t="s">
        <v>1270</v>
      </c>
      <c r="F118" s="13">
        <v>7.9690000000000003</v>
      </c>
      <c r="G118" s="13" t="s">
        <v>77</v>
      </c>
      <c r="H118" s="13" t="s">
        <v>7334</v>
      </c>
      <c r="I118" s="13" t="s">
        <v>7335</v>
      </c>
      <c r="J118" s="9" t="s">
        <v>7336</v>
      </c>
      <c r="K118" s="13">
        <v>780</v>
      </c>
    </row>
    <row r="119" spans="1:11" ht="15" customHeight="1" x14ac:dyDescent="0.2">
      <c r="A119" s="13" t="s">
        <v>7337</v>
      </c>
      <c r="B119" s="13" t="s">
        <v>7337</v>
      </c>
      <c r="C119" s="13">
        <v>2021</v>
      </c>
      <c r="D119" s="13" t="s">
        <v>7338</v>
      </c>
      <c r="E119" s="13" t="s">
        <v>324</v>
      </c>
      <c r="F119" s="13">
        <v>7.4630000000000001</v>
      </c>
      <c r="G119" s="13" t="s">
        <v>18</v>
      </c>
      <c r="H119" s="13" t="s">
        <v>7339</v>
      </c>
      <c r="I119" s="13" t="s">
        <v>7340</v>
      </c>
      <c r="J119" s="9" t="s">
        <v>7341</v>
      </c>
      <c r="K119" s="13">
        <v>9433</v>
      </c>
    </row>
    <row r="120" spans="1:11" ht="15" customHeight="1" x14ac:dyDescent="0.2">
      <c r="A120" s="13" t="s">
        <v>7337</v>
      </c>
      <c r="B120" s="13" t="s">
        <v>7337</v>
      </c>
      <c r="C120" s="13">
        <v>2021</v>
      </c>
      <c r="D120" s="13" t="s">
        <v>15</v>
      </c>
      <c r="E120" s="13" t="s">
        <v>1270</v>
      </c>
      <c r="F120" s="13">
        <v>7.4630000000000001</v>
      </c>
      <c r="G120" s="13" t="s">
        <v>18</v>
      </c>
      <c r="H120" s="13" t="s">
        <v>7339</v>
      </c>
      <c r="I120" s="13" t="s">
        <v>7340</v>
      </c>
      <c r="J120" s="9" t="s">
        <v>7341</v>
      </c>
      <c r="K120" s="13">
        <v>9433</v>
      </c>
    </row>
    <row r="121" spans="1:11" ht="15" customHeight="1" x14ac:dyDescent="0.2">
      <c r="A121" s="15" t="s">
        <v>7342</v>
      </c>
      <c r="B121" s="15" t="s">
        <v>7343</v>
      </c>
      <c r="C121" s="15">
        <v>2015</v>
      </c>
      <c r="D121" s="15" t="s">
        <v>7344</v>
      </c>
      <c r="E121" s="15" t="s">
        <v>1134</v>
      </c>
      <c r="F121" s="15">
        <v>7.0220000000000002</v>
      </c>
      <c r="G121" s="15" t="s">
        <v>18</v>
      </c>
      <c r="H121" s="15" t="s">
        <v>7345</v>
      </c>
      <c r="I121" s="15" t="s">
        <v>7346</v>
      </c>
      <c r="J121" s="10" t="s">
        <v>7347</v>
      </c>
      <c r="K121" s="15">
        <v>387</v>
      </c>
    </row>
    <row r="122" spans="1:11" ht="15" customHeight="1" x14ac:dyDescent="0.2">
      <c r="A122" s="13" t="s">
        <v>7348</v>
      </c>
      <c r="B122" s="13" t="s">
        <v>7349</v>
      </c>
      <c r="C122" s="13">
        <v>2018</v>
      </c>
      <c r="D122" s="13" t="s">
        <v>15</v>
      </c>
      <c r="E122" s="13" t="s">
        <v>2042</v>
      </c>
      <c r="F122" s="13">
        <v>7.8</v>
      </c>
      <c r="G122" s="13" t="s">
        <v>77</v>
      </c>
      <c r="H122" s="13" t="s">
        <v>7350</v>
      </c>
      <c r="I122" s="13" t="s">
        <v>7351</v>
      </c>
      <c r="J122" s="9" t="s">
        <v>7352</v>
      </c>
      <c r="K122" s="13">
        <v>32</v>
      </c>
    </row>
    <row r="123" spans="1:11" ht="15" customHeight="1" x14ac:dyDescent="0.2">
      <c r="A123" s="13" t="s">
        <v>7353</v>
      </c>
      <c r="B123" s="13" t="s">
        <v>7353</v>
      </c>
      <c r="C123" s="13">
        <v>1996</v>
      </c>
      <c r="D123" s="13" t="s">
        <v>15</v>
      </c>
      <c r="E123" s="13" t="s">
        <v>1270</v>
      </c>
      <c r="F123" s="13">
        <v>2</v>
      </c>
      <c r="G123" s="13" t="s">
        <v>1310</v>
      </c>
      <c r="H123" s="13" t="s">
        <v>7354</v>
      </c>
      <c r="I123" s="13" t="s">
        <v>7355</v>
      </c>
      <c r="J123" s="9" t="s">
        <v>7356</v>
      </c>
      <c r="K123" s="13">
        <v>2</v>
      </c>
    </row>
    <row r="124" spans="1:11" ht="15" customHeight="1" x14ac:dyDescent="0.2">
      <c r="A124" s="13" t="s">
        <v>7357</v>
      </c>
      <c r="B124" s="13" t="s">
        <v>7358</v>
      </c>
      <c r="C124" s="13">
        <v>2008</v>
      </c>
      <c r="D124" s="13" t="s">
        <v>15</v>
      </c>
      <c r="E124" s="13" t="s">
        <v>1270</v>
      </c>
      <c r="F124" s="13">
        <v>5.0110000000000001</v>
      </c>
      <c r="G124" s="13" t="s">
        <v>28</v>
      </c>
      <c r="H124" s="13" t="s">
        <v>7359</v>
      </c>
      <c r="I124" s="13" t="s">
        <v>7360</v>
      </c>
      <c r="J124" s="9" t="s">
        <v>7361</v>
      </c>
      <c r="K124" s="13">
        <v>131</v>
      </c>
    </row>
    <row r="125" spans="1:11" ht="15" customHeight="1" x14ac:dyDescent="0.2">
      <c r="A125" s="13" t="s">
        <v>7362</v>
      </c>
      <c r="B125" s="13" t="s">
        <v>7362</v>
      </c>
      <c r="C125" s="13">
        <v>2023</v>
      </c>
      <c r="D125" s="13" t="s">
        <v>15</v>
      </c>
      <c r="E125" s="13" t="s">
        <v>1270</v>
      </c>
      <c r="F125" s="13">
        <v>6.9089999999999998</v>
      </c>
      <c r="G125" s="13" t="s">
        <v>18</v>
      </c>
      <c r="H125" s="13" t="s">
        <v>7363</v>
      </c>
      <c r="I125" s="13" t="s">
        <v>7364</v>
      </c>
      <c r="J125" s="9" t="s">
        <v>7365</v>
      </c>
      <c r="K125" s="13">
        <v>2060</v>
      </c>
    </row>
    <row r="126" spans="1:11" ht="15" customHeight="1" x14ac:dyDescent="0.2">
      <c r="A126" s="13" t="s">
        <v>2301</v>
      </c>
      <c r="B126" s="13" t="s">
        <v>2302</v>
      </c>
      <c r="C126" s="13">
        <v>2015</v>
      </c>
      <c r="D126" s="13" t="s">
        <v>15</v>
      </c>
      <c r="E126" s="13" t="s">
        <v>1270</v>
      </c>
      <c r="F126" s="13">
        <v>6.5759999999999996</v>
      </c>
      <c r="G126" s="13" t="s">
        <v>18</v>
      </c>
      <c r="H126" s="13" t="s">
        <v>2304</v>
      </c>
      <c r="I126" s="13" t="s">
        <v>2305</v>
      </c>
      <c r="J126" s="9" t="s">
        <v>2306</v>
      </c>
      <c r="K126" s="13">
        <v>242</v>
      </c>
    </row>
    <row r="127" spans="1:11" ht="15" customHeight="1" x14ac:dyDescent="0.2">
      <c r="A127" s="13" t="s">
        <v>7366</v>
      </c>
      <c r="B127" s="13" t="s">
        <v>7367</v>
      </c>
      <c r="C127" s="13">
        <v>2019</v>
      </c>
      <c r="D127" s="13" t="s">
        <v>15</v>
      </c>
      <c r="E127" s="13" t="s">
        <v>1270</v>
      </c>
      <c r="F127" s="13">
        <v>6</v>
      </c>
      <c r="G127" s="13" t="s">
        <v>46</v>
      </c>
      <c r="H127" s="13" t="s">
        <v>7368</v>
      </c>
      <c r="I127" s="13" t="s">
        <v>7369</v>
      </c>
      <c r="J127" s="9" t="s">
        <v>7370</v>
      </c>
      <c r="K127" s="13">
        <v>333</v>
      </c>
    </row>
    <row r="128" spans="1:11" ht="15" customHeight="1" x14ac:dyDescent="0.2">
      <c r="A128" s="13" t="s">
        <v>7371</v>
      </c>
      <c r="B128" s="13" t="s">
        <v>7372</v>
      </c>
      <c r="C128" s="13">
        <v>2020</v>
      </c>
      <c r="D128" s="13" t="s">
        <v>1012</v>
      </c>
      <c r="E128" s="13" t="s">
        <v>3295</v>
      </c>
      <c r="F128" s="13">
        <v>6.8</v>
      </c>
      <c r="G128" s="13" t="s">
        <v>18</v>
      </c>
      <c r="H128" s="13">
        <v>520765</v>
      </c>
      <c r="I128" s="13" t="s">
        <v>7373</v>
      </c>
      <c r="J128" s="9" t="s">
        <v>7374</v>
      </c>
      <c r="K128" s="13">
        <v>327</v>
      </c>
    </row>
    <row r="129" spans="1:11" ht="15" customHeight="1" x14ac:dyDescent="0.2">
      <c r="A129" s="13" t="s">
        <v>7375</v>
      </c>
      <c r="B129" s="13" t="s">
        <v>7375</v>
      </c>
      <c r="C129" s="13">
        <v>2019</v>
      </c>
      <c r="D129" s="13" t="s">
        <v>7338</v>
      </c>
      <c r="E129" s="13" t="s">
        <v>107</v>
      </c>
      <c r="F129" s="13">
        <v>6.8470000000000004</v>
      </c>
      <c r="G129" s="13" t="s">
        <v>18</v>
      </c>
      <c r="H129" s="13" t="s">
        <v>7376</v>
      </c>
      <c r="I129" s="13" t="s">
        <v>7377</v>
      </c>
      <c r="J129" s="9" t="s">
        <v>7378</v>
      </c>
      <c r="K129" s="13">
        <v>1943</v>
      </c>
    </row>
    <row r="130" spans="1:11" ht="15" customHeight="1" x14ac:dyDescent="0.2">
      <c r="A130" s="13" t="s">
        <v>7379</v>
      </c>
      <c r="B130" s="13" t="s">
        <v>7380</v>
      </c>
      <c r="C130" s="13">
        <v>2003</v>
      </c>
      <c r="D130" s="13" t="s">
        <v>350</v>
      </c>
      <c r="E130" s="13" t="s">
        <v>1270</v>
      </c>
      <c r="F130" s="13">
        <v>7.5359999999999996</v>
      </c>
      <c r="G130" s="13" t="s">
        <v>77</v>
      </c>
      <c r="H130" s="13" t="s">
        <v>7381</v>
      </c>
      <c r="I130" s="13" t="s">
        <v>7382</v>
      </c>
      <c r="J130" s="9" t="s">
        <v>7383</v>
      </c>
      <c r="K130" s="13">
        <v>2536</v>
      </c>
    </row>
    <row r="131" spans="1:11" ht="15" customHeight="1" x14ac:dyDescent="0.2">
      <c r="A131" s="15" t="s">
        <v>7384</v>
      </c>
      <c r="B131" s="15" t="s">
        <v>7384</v>
      </c>
      <c r="C131" s="15">
        <v>1939</v>
      </c>
      <c r="D131" s="15" t="s">
        <v>6906</v>
      </c>
      <c r="E131" s="15" t="s">
        <v>1358</v>
      </c>
      <c r="F131" s="15">
        <v>7.4</v>
      </c>
      <c r="G131" s="15" t="s">
        <v>18</v>
      </c>
      <c r="H131" s="15" t="s">
        <v>7385</v>
      </c>
      <c r="I131" s="15" t="s">
        <v>7386</v>
      </c>
      <c r="J131" s="10" t="s">
        <v>7387</v>
      </c>
      <c r="K131" s="15">
        <v>132</v>
      </c>
    </row>
    <row r="132" spans="1:11" ht="15" customHeight="1" x14ac:dyDescent="0.2">
      <c r="A132" s="13" t="s">
        <v>7388</v>
      </c>
      <c r="B132" s="13" t="s">
        <v>7389</v>
      </c>
      <c r="C132" s="13">
        <v>2001</v>
      </c>
      <c r="D132" s="13" t="s">
        <v>15</v>
      </c>
      <c r="E132" s="13" t="s">
        <v>1270</v>
      </c>
      <c r="F132" s="13">
        <v>6.3</v>
      </c>
      <c r="G132" s="13" t="s">
        <v>46</v>
      </c>
      <c r="H132" s="13" t="s">
        <v>7390</v>
      </c>
      <c r="I132" s="13" t="s">
        <v>7391</v>
      </c>
      <c r="J132" s="9" t="s">
        <v>7392</v>
      </c>
      <c r="K132" s="13">
        <v>73</v>
      </c>
    </row>
    <row r="133" spans="1:11" ht="15" customHeight="1" x14ac:dyDescent="0.2">
      <c r="A133" s="13" t="s">
        <v>7393</v>
      </c>
      <c r="B133" s="13" t="s">
        <v>7393</v>
      </c>
      <c r="C133" s="13">
        <v>2010</v>
      </c>
      <c r="D133" s="13" t="s">
        <v>15</v>
      </c>
      <c r="E133" s="13" t="s">
        <v>1270</v>
      </c>
      <c r="F133" s="13">
        <v>6.9</v>
      </c>
      <c r="G133" s="13" t="s">
        <v>18</v>
      </c>
      <c r="H133" s="13" t="s">
        <v>7394</v>
      </c>
      <c r="I133" s="13" t="s">
        <v>7395</v>
      </c>
      <c r="J133" s="9" t="s">
        <v>7396</v>
      </c>
      <c r="K133" s="13">
        <v>161</v>
      </c>
    </row>
    <row r="134" spans="1:11" ht="15" customHeight="1" x14ac:dyDescent="0.2">
      <c r="A134" s="13" t="s">
        <v>7397</v>
      </c>
      <c r="B134" s="13" t="s">
        <v>7398</v>
      </c>
      <c r="C134" s="13">
        <v>2012</v>
      </c>
      <c r="D134" s="13" t="s">
        <v>15</v>
      </c>
      <c r="E134" s="13" t="s">
        <v>7399</v>
      </c>
      <c r="F134" s="13">
        <v>5.9</v>
      </c>
      <c r="G134" s="13" t="s">
        <v>46</v>
      </c>
      <c r="H134" s="13" t="s">
        <v>7400</v>
      </c>
      <c r="I134" s="13" t="s">
        <v>7401</v>
      </c>
      <c r="J134" s="9" t="s">
        <v>7402</v>
      </c>
      <c r="K134" s="13">
        <v>20</v>
      </c>
    </row>
    <row r="135" spans="1:11" ht="15" customHeight="1" x14ac:dyDescent="0.2">
      <c r="A135" s="13" t="s">
        <v>7403</v>
      </c>
      <c r="B135" s="13" t="s">
        <v>7404</v>
      </c>
      <c r="C135" s="13">
        <v>2017</v>
      </c>
      <c r="D135" s="13" t="s">
        <v>1316</v>
      </c>
      <c r="E135" s="13" t="s">
        <v>1052</v>
      </c>
      <c r="F135" s="13">
        <v>6</v>
      </c>
      <c r="G135" s="13" t="s">
        <v>46</v>
      </c>
      <c r="H135" s="13" t="s">
        <v>7405</v>
      </c>
      <c r="I135" s="13" t="s">
        <v>7406</v>
      </c>
      <c r="J135" s="9" t="s">
        <v>7407</v>
      </c>
      <c r="K135" s="13">
        <v>200</v>
      </c>
    </row>
    <row r="136" spans="1:11" ht="15" customHeight="1" x14ac:dyDescent="0.2">
      <c r="A136" s="13" t="s">
        <v>7408</v>
      </c>
      <c r="B136" s="13" t="s">
        <v>7408</v>
      </c>
      <c r="C136" s="13">
        <v>1973</v>
      </c>
      <c r="D136" s="13" t="s">
        <v>15</v>
      </c>
      <c r="E136" s="13" t="s">
        <v>1270</v>
      </c>
      <c r="F136" s="13">
        <v>2.875</v>
      </c>
      <c r="G136" s="13" t="s">
        <v>169</v>
      </c>
      <c r="H136" s="13" t="s">
        <v>7409</v>
      </c>
      <c r="I136" s="13" t="s">
        <v>7410</v>
      </c>
      <c r="J136" s="9"/>
      <c r="K136" s="13">
        <v>8</v>
      </c>
    </row>
    <row r="137" spans="1:11" ht="15" customHeight="1" x14ac:dyDescent="0.2">
      <c r="A137" s="13" t="s">
        <v>7411</v>
      </c>
      <c r="B137" s="13" t="s">
        <v>7412</v>
      </c>
      <c r="C137" s="13">
        <v>2011</v>
      </c>
      <c r="D137" s="13" t="s">
        <v>15</v>
      </c>
      <c r="E137" s="13" t="s">
        <v>1270</v>
      </c>
      <c r="F137" s="13">
        <v>6.4980000000000002</v>
      </c>
      <c r="G137" s="13" t="s">
        <v>46</v>
      </c>
      <c r="H137" s="13" t="s">
        <v>7413</v>
      </c>
      <c r="I137" s="13" t="s">
        <v>7414</v>
      </c>
      <c r="J137" s="9" t="s">
        <v>7415</v>
      </c>
      <c r="K137" s="13">
        <v>10977</v>
      </c>
    </row>
    <row r="138" spans="1:11" ht="15" customHeight="1" x14ac:dyDescent="0.2">
      <c r="A138" s="13" t="s">
        <v>7416</v>
      </c>
      <c r="B138" s="13" t="s">
        <v>7417</v>
      </c>
      <c r="C138" s="13">
        <v>2013</v>
      </c>
      <c r="D138" s="13" t="s">
        <v>15</v>
      </c>
      <c r="E138" s="13" t="s">
        <v>1270</v>
      </c>
      <c r="F138" s="13">
        <v>6.2089999999999996</v>
      </c>
      <c r="G138" s="13" t="s">
        <v>46</v>
      </c>
      <c r="H138" s="13" t="s">
        <v>7418</v>
      </c>
      <c r="I138" s="13" t="s">
        <v>7414</v>
      </c>
      <c r="J138" s="9" t="s">
        <v>7419</v>
      </c>
      <c r="K138" s="13">
        <v>9002</v>
      </c>
    </row>
    <row r="139" spans="1:11" ht="15" customHeight="1" x14ac:dyDescent="0.2">
      <c r="A139" s="13" t="s">
        <v>7420</v>
      </c>
      <c r="B139" s="13" t="s">
        <v>7420</v>
      </c>
      <c r="C139" s="13">
        <v>2020</v>
      </c>
      <c r="D139" s="13" t="s">
        <v>15</v>
      </c>
      <c r="E139" s="13" t="s">
        <v>1270</v>
      </c>
      <c r="F139" s="13">
        <v>7.1109999999999998</v>
      </c>
      <c r="G139" s="13" t="s">
        <v>18</v>
      </c>
      <c r="H139" s="13" t="s">
        <v>7421</v>
      </c>
      <c r="I139" s="13" t="s">
        <v>7422</v>
      </c>
      <c r="J139" s="9" t="s">
        <v>7423</v>
      </c>
      <c r="K139" s="13">
        <v>1282</v>
      </c>
    </row>
    <row r="140" spans="1:11" ht="15" customHeight="1" x14ac:dyDescent="0.2">
      <c r="A140" s="13" t="s">
        <v>7424</v>
      </c>
      <c r="B140" s="13" t="s">
        <v>7425</v>
      </c>
      <c r="C140" s="13">
        <v>1990</v>
      </c>
      <c r="D140" s="13" t="s">
        <v>15</v>
      </c>
      <c r="E140" s="13" t="s">
        <v>1270</v>
      </c>
      <c r="F140" s="13">
        <v>7.0570000000000004</v>
      </c>
      <c r="G140" s="13" t="s">
        <v>18</v>
      </c>
      <c r="H140" s="13" t="s">
        <v>7426</v>
      </c>
      <c r="I140" s="13" t="s">
        <v>7427</v>
      </c>
      <c r="J140" s="9" t="s">
        <v>7428</v>
      </c>
      <c r="K140" s="13">
        <v>387</v>
      </c>
    </row>
    <row r="141" spans="1:11" ht="15" customHeight="1" x14ac:dyDescent="0.2">
      <c r="A141" s="15" t="s">
        <v>7429</v>
      </c>
      <c r="B141" s="15" t="s">
        <v>7429</v>
      </c>
      <c r="C141" s="15">
        <v>1988</v>
      </c>
      <c r="D141" s="15" t="s">
        <v>15</v>
      </c>
      <c r="E141" s="15" t="s">
        <v>1270</v>
      </c>
      <c r="F141" s="15">
        <v>7.3</v>
      </c>
      <c r="G141" s="15" t="s">
        <v>18</v>
      </c>
      <c r="H141" s="15" t="s">
        <v>7430</v>
      </c>
      <c r="I141" s="15" t="s">
        <v>7431</v>
      </c>
      <c r="J141" s="10" t="s">
        <v>7432</v>
      </c>
      <c r="K141" s="15">
        <v>1818</v>
      </c>
    </row>
    <row r="142" spans="1:11" ht="15" customHeight="1" x14ac:dyDescent="0.2">
      <c r="A142" s="13" t="s">
        <v>7433</v>
      </c>
      <c r="B142" s="13"/>
      <c r="C142" s="13"/>
      <c r="D142" s="13" t="s">
        <v>350</v>
      </c>
      <c r="E142" s="13" t="s">
        <v>1270</v>
      </c>
      <c r="F142" s="13"/>
      <c r="G142" s="13"/>
      <c r="H142" s="13"/>
      <c r="I142" s="13"/>
      <c r="J142" s="9"/>
      <c r="K142" s="13"/>
    </row>
    <row r="143" spans="1:11" ht="15" customHeight="1" x14ac:dyDescent="0.2">
      <c r="A143" s="13" t="s">
        <v>7434</v>
      </c>
      <c r="B143" s="13" t="s">
        <v>7435</v>
      </c>
      <c r="C143" s="13">
        <v>2018</v>
      </c>
      <c r="D143" s="13" t="s">
        <v>350</v>
      </c>
      <c r="E143" s="13" t="s">
        <v>1270</v>
      </c>
      <c r="F143" s="13">
        <v>5.875</v>
      </c>
      <c r="G143" s="13" t="s">
        <v>46</v>
      </c>
      <c r="H143" s="13" t="s">
        <v>7436</v>
      </c>
      <c r="I143" s="13" t="s">
        <v>7437</v>
      </c>
      <c r="J143" s="9" t="s">
        <v>7438</v>
      </c>
      <c r="K143" s="13">
        <v>24</v>
      </c>
    </row>
    <row r="144" spans="1:11" ht="15" customHeight="1" x14ac:dyDescent="0.2">
      <c r="A144" s="13" t="s">
        <v>7439</v>
      </c>
      <c r="B144" s="13" t="s">
        <v>6784</v>
      </c>
      <c r="C144" s="13">
        <v>2017</v>
      </c>
      <c r="D144" s="13" t="s">
        <v>15</v>
      </c>
      <c r="E144" s="13" t="s">
        <v>1270</v>
      </c>
      <c r="F144" s="13">
        <v>6.2</v>
      </c>
      <c r="G144" s="13" t="s">
        <v>46</v>
      </c>
      <c r="H144" s="13" t="s">
        <v>7440</v>
      </c>
      <c r="I144" s="13" t="s">
        <v>7441</v>
      </c>
      <c r="J144" s="9" t="s">
        <v>7442</v>
      </c>
      <c r="K144" s="13">
        <v>159</v>
      </c>
    </row>
    <row r="145" spans="1:11" ht="15" customHeight="1" x14ac:dyDescent="0.2">
      <c r="A145" s="13" t="s">
        <v>7443</v>
      </c>
      <c r="B145" s="13" t="s">
        <v>7443</v>
      </c>
      <c r="C145" s="13">
        <v>2022</v>
      </c>
      <c r="D145" s="13" t="s">
        <v>15</v>
      </c>
      <c r="E145" s="13" t="s">
        <v>1270</v>
      </c>
      <c r="F145" s="13">
        <v>7.2</v>
      </c>
      <c r="G145" s="13" t="s">
        <v>18</v>
      </c>
      <c r="H145" s="13" t="s">
        <v>7444</v>
      </c>
      <c r="I145" s="13" t="s">
        <v>7445</v>
      </c>
      <c r="J145" s="9" t="s">
        <v>7446</v>
      </c>
      <c r="K145" s="13">
        <v>1782</v>
      </c>
    </row>
    <row r="146" spans="1:11" ht="15" customHeight="1" x14ac:dyDescent="0.2">
      <c r="A146" s="13" t="s">
        <v>7447</v>
      </c>
      <c r="B146" s="13"/>
      <c r="C146" s="13"/>
      <c r="D146" s="13" t="s">
        <v>15</v>
      </c>
      <c r="E146" s="13" t="s">
        <v>1270</v>
      </c>
      <c r="F146" s="13"/>
      <c r="G146" s="13"/>
      <c r="H146" s="13"/>
      <c r="I146" s="13"/>
      <c r="J146" s="9"/>
      <c r="K146" s="13"/>
    </row>
    <row r="147" spans="1:11" ht="15" customHeight="1" x14ac:dyDescent="0.2">
      <c r="A147" s="13" t="s">
        <v>7448</v>
      </c>
      <c r="B147" s="13" t="s">
        <v>7449</v>
      </c>
      <c r="C147" s="13">
        <v>2019</v>
      </c>
      <c r="D147" s="13" t="s">
        <v>927</v>
      </c>
      <c r="E147" s="13" t="s">
        <v>1270</v>
      </c>
      <c r="F147" s="13">
        <v>5.2039999999999997</v>
      </c>
      <c r="G147" s="13" t="s">
        <v>28</v>
      </c>
      <c r="H147" s="13" t="s">
        <v>7450</v>
      </c>
      <c r="I147" s="13" t="s">
        <v>7451</v>
      </c>
      <c r="J147" s="9" t="s">
        <v>7452</v>
      </c>
      <c r="K147" s="13">
        <v>338</v>
      </c>
    </row>
    <row r="148" spans="1:11" ht="15" customHeight="1" x14ac:dyDescent="0.2">
      <c r="A148" s="13" t="s">
        <v>7453</v>
      </c>
      <c r="B148" s="13" t="s">
        <v>7449</v>
      </c>
      <c r="C148" s="13">
        <v>2019</v>
      </c>
      <c r="D148" s="13" t="s">
        <v>927</v>
      </c>
      <c r="E148" s="13" t="s">
        <v>1270</v>
      </c>
      <c r="F148" s="13">
        <v>5.2039999999999997</v>
      </c>
      <c r="G148" s="13" t="s">
        <v>28</v>
      </c>
      <c r="H148" s="13" t="s">
        <v>7450</v>
      </c>
      <c r="I148" s="13" t="s">
        <v>7451</v>
      </c>
      <c r="J148" s="9" t="s">
        <v>7452</v>
      </c>
      <c r="K148" s="13">
        <v>338</v>
      </c>
    </row>
    <row r="149" spans="1:11" ht="15" customHeight="1" x14ac:dyDescent="0.2">
      <c r="A149" s="13" t="s">
        <v>7454</v>
      </c>
      <c r="B149" s="13" t="s">
        <v>7455</v>
      </c>
      <c r="C149" s="13">
        <v>2018</v>
      </c>
      <c r="D149" s="13" t="s">
        <v>969</v>
      </c>
      <c r="E149" s="13" t="s">
        <v>1013</v>
      </c>
      <c r="F149" s="13">
        <v>6.4029999999999996</v>
      </c>
      <c r="G149" s="13" t="s">
        <v>46</v>
      </c>
      <c r="H149" s="13" t="s">
        <v>7456</v>
      </c>
      <c r="I149" s="13" t="s">
        <v>7457</v>
      </c>
      <c r="J149" s="9" t="s">
        <v>7458</v>
      </c>
      <c r="K149" s="13">
        <v>277</v>
      </c>
    </row>
    <row r="150" spans="1:11" ht="15" customHeight="1" x14ac:dyDescent="0.2">
      <c r="A150" s="13" t="s">
        <v>7459</v>
      </c>
      <c r="B150" s="13" t="s">
        <v>7460</v>
      </c>
      <c r="C150" s="13">
        <v>2025</v>
      </c>
      <c r="D150" s="13" t="s">
        <v>15</v>
      </c>
      <c r="E150" s="13" t="s">
        <v>1270</v>
      </c>
      <c r="F150" s="13">
        <v>5.8</v>
      </c>
      <c r="G150" s="13" t="s">
        <v>46</v>
      </c>
      <c r="H150" s="13" t="s">
        <v>7461</v>
      </c>
      <c r="I150" s="13" t="s">
        <v>7462</v>
      </c>
      <c r="J150" s="9" t="s">
        <v>7463</v>
      </c>
      <c r="K150" s="13">
        <v>407</v>
      </c>
    </row>
    <row r="151" spans="1:11" ht="15" customHeight="1" x14ac:dyDescent="0.2">
      <c r="A151" s="15" t="s">
        <v>7464</v>
      </c>
      <c r="B151" s="15" t="s">
        <v>7465</v>
      </c>
      <c r="C151" s="15">
        <v>2022</v>
      </c>
      <c r="D151" s="15" t="s">
        <v>15</v>
      </c>
      <c r="E151" s="15" t="s">
        <v>1270</v>
      </c>
      <c r="F151" s="15">
        <v>6.375</v>
      </c>
      <c r="G151" s="15" t="s">
        <v>46</v>
      </c>
      <c r="H151" s="15" t="s">
        <v>7466</v>
      </c>
      <c r="I151" s="15" t="s">
        <v>7467</v>
      </c>
      <c r="J151" s="10" t="s">
        <v>7468</v>
      </c>
      <c r="K151" s="15">
        <v>259</v>
      </c>
    </row>
    <row r="152" spans="1:11" ht="15" customHeight="1" x14ac:dyDescent="0.2">
      <c r="A152" s="13" t="s">
        <v>7469</v>
      </c>
      <c r="B152" s="13" t="s">
        <v>7470</v>
      </c>
      <c r="C152" s="13">
        <v>2022</v>
      </c>
      <c r="D152" s="13" t="s">
        <v>927</v>
      </c>
      <c r="E152" s="13" t="s">
        <v>1270</v>
      </c>
      <c r="F152" s="13">
        <v>7.069</v>
      </c>
      <c r="G152" s="13" t="s">
        <v>18</v>
      </c>
      <c r="H152" s="13" t="s">
        <v>7471</v>
      </c>
      <c r="I152" s="13" t="s">
        <v>7472</v>
      </c>
      <c r="J152" s="9" t="s">
        <v>7473</v>
      </c>
      <c r="K152" s="13">
        <v>189</v>
      </c>
    </row>
    <row r="153" spans="1:11" ht="15" customHeight="1" x14ac:dyDescent="0.2">
      <c r="A153" s="13" t="s">
        <v>7474</v>
      </c>
      <c r="B153" s="13" t="s">
        <v>7474</v>
      </c>
      <c r="C153" s="13">
        <v>2004</v>
      </c>
      <c r="D153" s="13" t="s">
        <v>15</v>
      </c>
      <c r="E153" s="13" t="s">
        <v>1270</v>
      </c>
      <c r="F153" s="13">
        <v>6.4740000000000002</v>
      </c>
      <c r="G153" s="13" t="s">
        <v>46</v>
      </c>
      <c r="H153" s="13" t="s">
        <v>7475</v>
      </c>
      <c r="I153" s="13" t="s">
        <v>7476</v>
      </c>
      <c r="J153" s="9" t="s">
        <v>7477</v>
      </c>
      <c r="K153" s="13">
        <v>116</v>
      </c>
    </row>
    <row r="154" spans="1:11" ht="15" customHeight="1" x14ac:dyDescent="0.2">
      <c r="A154" s="13" t="s">
        <v>7478</v>
      </c>
      <c r="B154" s="13" t="s">
        <v>7479</v>
      </c>
      <c r="C154" s="13">
        <v>2020</v>
      </c>
      <c r="D154" s="13" t="s">
        <v>15</v>
      </c>
      <c r="E154" s="13" t="s">
        <v>5530</v>
      </c>
      <c r="F154" s="13">
        <v>6.4390000000000001</v>
      </c>
      <c r="G154" s="13" t="s">
        <v>46</v>
      </c>
      <c r="H154" s="13" t="s">
        <v>7480</v>
      </c>
      <c r="I154" s="13" t="s">
        <v>7481</v>
      </c>
      <c r="J154" s="9" t="s">
        <v>7482</v>
      </c>
      <c r="K154" s="13">
        <v>1023</v>
      </c>
    </row>
    <row r="155" spans="1:11" ht="15" customHeight="1" x14ac:dyDescent="0.2">
      <c r="A155" s="13" t="s">
        <v>7483</v>
      </c>
      <c r="B155" s="13" t="s">
        <v>7484</v>
      </c>
      <c r="C155" s="13">
        <v>2025</v>
      </c>
      <c r="D155" s="13" t="s">
        <v>15</v>
      </c>
      <c r="E155" s="13" t="s">
        <v>1270</v>
      </c>
      <c r="F155" s="13">
        <v>5.5919999999999996</v>
      </c>
      <c r="G155" s="13" t="s">
        <v>46</v>
      </c>
      <c r="H155" s="13" t="s">
        <v>7485</v>
      </c>
      <c r="I155" s="13" t="s">
        <v>7486</v>
      </c>
      <c r="J155" s="9" t="s">
        <v>7487</v>
      </c>
      <c r="K155" s="13">
        <v>289</v>
      </c>
    </row>
    <row r="156" spans="1:11" ht="15" customHeight="1" x14ac:dyDescent="0.2">
      <c r="A156" s="13" t="s">
        <v>7488</v>
      </c>
      <c r="B156" s="13" t="s">
        <v>7488</v>
      </c>
      <c r="C156" s="13">
        <v>2020</v>
      </c>
      <c r="D156" s="13" t="s">
        <v>350</v>
      </c>
      <c r="E156" s="13" t="s">
        <v>1270</v>
      </c>
      <c r="F156" s="13">
        <v>6.9</v>
      </c>
      <c r="G156" s="13" t="s">
        <v>18</v>
      </c>
      <c r="H156" s="13" t="s">
        <v>7489</v>
      </c>
      <c r="I156" s="13" t="s">
        <v>7490</v>
      </c>
      <c r="J156" s="9" t="s">
        <v>7491</v>
      </c>
      <c r="K156" s="13">
        <v>942</v>
      </c>
    </row>
    <row r="157" spans="1:11" ht="15" customHeight="1" x14ac:dyDescent="0.2">
      <c r="A157" s="13" t="s">
        <v>7492</v>
      </c>
      <c r="B157" s="13" t="s">
        <v>7492</v>
      </c>
      <c r="C157" s="13">
        <v>2022</v>
      </c>
      <c r="D157" s="13" t="s">
        <v>15</v>
      </c>
      <c r="E157" s="13" t="s">
        <v>1270</v>
      </c>
      <c r="F157" s="13">
        <v>6.8</v>
      </c>
      <c r="G157" s="13" t="s">
        <v>18</v>
      </c>
      <c r="H157" s="13" t="s">
        <v>7493</v>
      </c>
      <c r="I157" s="13" t="s">
        <v>7494</v>
      </c>
      <c r="J157" s="9" t="s">
        <v>7495</v>
      </c>
      <c r="K157" s="13">
        <v>862</v>
      </c>
    </row>
    <row r="158" spans="1:11" ht="15" customHeight="1" x14ac:dyDescent="0.2">
      <c r="A158" s="13" t="s">
        <v>7496</v>
      </c>
      <c r="B158" s="13" t="s">
        <v>7497</v>
      </c>
      <c r="C158" s="13">
        <v>2022</v>
      </c>
      <c r="D158" s="13" t="s">
        <v>15</v>
      </c>
      <c r="E158" s="13" t="s">
        <v>1270</v>
      </c>
      <c r="F158" s="13">
        <v>7.3730000000000002</v>
      </c>
      <c r="G158" s="13" t="s">
        <v>18</v>
      </c>
      <c r="H158" s="13" t="s">
        <v>7498</v>
      </c>
      <c r="I158" s="13" t="s">
        <v>7499</v>
      </c>
      <c r="J158" s="9" t="s">
        <v>7500</v>
      </c>
      <c r="K158" s="13">
        <v>421</v>
      </c>
    </row>
    <row r="159" spans="1:11" ht="15" customHeight="1" x14ac:dyDescent="0.2">
      <c r="A159" s="13" t="s">
        <v>7501</v>
      </c>
      <c r="B159" s="13" t="s">
        <v>7502</v>
      </c>
      <c r="C159" s="13">
        <v>2006</v>
      </c>
      <c r="D159" s="13" t="s">
        <v>15</v>
      </c>
      <c r="E159" s="13" t="s">
        <v>7503</v>
      </c>
      <c r="F159" s="13">
        <v>6.9</v>
      </c>
      <c r="G159" s="13" t="s">
        <v>18</v>
      </c>
      <c r="H159" s="13" t="s">
        <v>7504</v>
      </c>
      <c r="I159" s="13" t="s">
        <v>7505</v>
      </c>
      <c r="J159" s="9" t="s">
        <v>7506</v>
      </c>
      <c r="K159" s="13">
        <v>120</v>
      </c>
    </row>
    <row r="160" spans="1:11" ht="15" customHeight="1" x14ac:dyDescent="0.2">
      <c r="A160" s="13" t="s">
        <v>7507</v>
      </c>
      <c r="B160" s="13" t="s">
        <v>7508</v>
      </c>
      <c r="C160" s="13">
        <v>2023</v>
      </c>
      <c r="D160" s="13" t="s">
        <v>15</v>
      </c>
      <c r="E160" s="13" t="s">
        <v>1270</v>
      </c>
      <c r="F160" s="13">
        <v>6.5</v>
      </c>
      <c r="G160" s="13" t="s">
        <v>46</v>
      </c>
      <c r="H160" s="13" t="s">
        <v>7509</v>
      </c>
      <c r="I160" s="13" t="s">
        <v>7510</v>
      </c>
      <c r="J160" s="9" t="s">
        <v>7511</v>
      </c>
      <c r="K160" s="13">
        <v>451</v>
      </c>
    </row>
    <row r="161" spans="1:11" ht="15" customHeight="1" x14ac:dyDescent="0.2">
      <c r="A161" s="15" t="s">
        <v>7512</v>
      </c>
      <c r="B161" s="15" t="s">
        <v>7512</v>
      </c>
      <c r="C161" s="15">
        <v>2021</v>
      </c>
      <c r="D161" s="15" t="s">
        <v>15</v>
      </c>
      <c r="E161" s="15" t="s">
        <v>324</v>
      </c>
      <c r="F161" s="15">
        <v>7.3</v>
      </c>
      <c r="G161" s="15" t="s">
        <v>18</v>
      </c>
      <c r="H161" s="15" t="s">
        <v>7513</v>
      </c>
      <c r="I161" s="15" t="s">
        <v>7514</v>
      </c>
      <c r="J161" s="10" t="s">
        <v>7515</v>
      </c>
      <c r="K161" s="15">
        <v>5989</v>
      </c>
    </row>
    <row r="162" spans="1:11" ht="15" customHeight="1" x14ac:dyDescent="0.2">
      <c r="A162" s="13" t="s">
        <v>7516</v>
      </c>
      <c r="B162" s="13" t="s">
        <v>7517</v>
      </c>
      <c r="C162" s="13">
        <v>1994</v>
      </c>
      <c r="D162" s="13" t="s">
        <v>15</v>
      </c>
      <c r="E162" s="13" t="s">
        <v>1270</v>
      </c>
      <c r="F162" s="13">
        <v>6.3860000000000001</v>
      </c>
      <c r="G162" s="13" t="s">
        <v>46</v>
      </c>
      <c r="H162" s="13" t="s">
        <v>7518</v>
      </c>
      <c r="I162" s="13" t="s">
        <v>7519</v>
      </c>
      <c r="J162" s="9" t="s">
        <v>7520</v>
      </c>
      <c r="K162" s="13">
        <v>1399</v>
      </c>
    </row>
    <row r="163" spans="1:11" ht="15" customHeight="1" x14ac:dyDescent="0.2">
      <c r="A163" s="13" t="s">
        <v>7521</v>
      </c>
      <c r="B163" s="13" t="s">
        <v>7522</v>
      </c>
      <c r="C163" s="13">
        <v>2015</v>
      </c>
      <c r="D163" s="13" t="s">
        <v>350</v>
      </c>
      <c r="E163" s="13" t="s">
        <v>1270</v>
      </c>
      <c r="F163" s="13"/>
      <c r="G163" s="13"/>
      <c r="H163" s="13" t="s">
        <v>7523</v>
      </c>
      <c r="I163" s="13" t="s">
        <v>7524</v>
      </c>
      <c r="J163" s="9" t="s">
        <v>7525</v>
      </c>
      <c r="K163" s="13"/>
    </row>
    <row r="164" spans="1:11" ht="15" customHeight="1" x14ac:dyDescent="0.2">
      <c r="A164" s="13" t="s">
        <v>7526</v>
      </c>
      <c r="B164" s="13" t="s">
        <v>7527</v>
      </c>
      <c r="C164" s="13">
        <v>2016</v>
      </c>
      <c r="D164" s="13" t="s">
        <v>15</v>
      </c>
      <c r="E164" s="13" t="s">
        <v>1270</v>
      </c>
      <c r="F164" s="13">
        <v>6.056</v>
      </c>
      <c r="G164" s="13" t="s">
        <v>46</v>
      </c>
      <c r="H164" s="13" t="s">
        <v>7528</v>
      </c>
      <c r="I164" s="13" t="s">
        <v>7529</v>
      </c>
      <c r="J164" s="9" t="s">
        <v>7530</v>
      </c>
      <c r="K164" s="13">
        <v>1102</v>
      </c>
    </row>
    <row r="165" spans="1:11" ht="15" customHeight="1" x14ac:dyDescent="0.2">
      <c r="A165" s="13" t="s">
        <v>2322</v>
      </c>
      <c r="B165" s="13" t="s">
        <v>2323</v>
      </c>
      <c r="C165" s="13">
        <v>2011</v>
      </c>
      <c r="D165" s="13" t="s">
        <v>15</v>
      </c>
      <c r="E165" s="13" t="s">
        <v>1961</v>
      </c>
      <c r="F165" s="13">
        <v>6.4</v>
      </c>
      <c r="G165" s="13" t="s">
        <v>46</v>
      </c>
      <c r="H165" s="13" t="s">
        <v>2324</v>
      </c>
      <c r="I165" s="13" t="s">
        <v>2325</v>
      </c>
      <c r="J165" s="9" t="s">
        <v>2326</v>
      </c>
      <c r="K165" s="13">
        <v>574</v>
      </c>
    </row>
    <row r="166" spans="1:11" ht="15" customHeight="1" x14ac:dyDescent="0.2">
      <c r="A166" s="13" t="s">
        <v>7531</v>
      </c>
      <c r="B166" s="13" t="s">
        <v>7531</v>
      </c>
      <c r="C166" s="13">
        <v>2007</v>
      </c>
      <c r="D166" s="13" t="s">
        <v>350</v>
      </c>
      <c r="E166" s="13" t="s">
        <v>1270</v>
      </c>
      <c r="F166" s="13">
        <v>6.1</v>
      </c>
      <c r="G166" s="13" t="s">
        <v>46</v>
      </c>
      <c r="H166" s="13" t="s">
        <v>7532</v>
      </c>
      <c r="I166" s="13" t="s">
        <v>7533</v>
      </c>
      <c r="J166" s="9" t="s">
        <v>7534</v>
      </c>
      <c r="K166" s="13">
        <v>393</v>
      </c>
    </row>
    <row r="167" spans="1:11" ht="15" customHeight="1" x14ac:dyDescent="0.2">
      <c r="A167" s="13" t="s">
        <v>7535</v>
      </c>
      <c r="B167" s="13" t="s">
        <v>7536</v>
      </c>
      <c r="C167" s="13">
        <v>1991</v>
      </c>
      <c r="D167" s="13" t="s">
        <v>15</v>
      </c>
      <c r="E167" s="13" t="s">
        <v>1096</v>
      </c>
      <c r="F167" s="13">
        <v>6.9</v>
      </c>
      <c r="G167" s="13" t="s">
        <v>18</v>
      </c>
      <c r="H167" s="13" t="s">
        <v>7537</v>
      </c>
      <c r="I167" s="13" t="s">
        <v>7538</v>
      </c>
      <c r="J167" s="9" t="s">
        <v>7539</v>
      </c>
      <c r="K167" s="13">
        <v>718</v>
      </c>
    </row>
    <row r="168" spans="1:11" ht="15" customHeight="1" x14ac:dyDescent="0.2">
      <c r="A168" s="13" t="s">
        <v>7540</v>
      </c>
      <c r="B168" s="13" t="s">
        <v>7540</v>
      </c>
      <c r="C168" s="13">
        <v>1990</v>
      </c>
      <c r="D168" s="13" t="s">
        <v>15</v>
      </c>
      <c r="E168" s="13" t="s">
        <v>1270</v>
      </c>
      <c r="F168" s="13">
        <v>6.1210000000000004</v>
      </c>
      <c r="G168" s="13" t="s">
        <v>46</v>
      </c>
      <c r="H168" s="13" t="s">
        <v>7541</v>
      </c>
      <c r="I168" s="13" t="s">
        <v>7542</v>
      </c>
      <c r="J168" s="9" t="s">
        <v>7543</v>
      </c>
      <c r="K168" s="13">
        <v>2682</v>
      </c>
    </row>
    <row r="169" spans="1:11" ht="15" customHeight="1" x14ac:dyDescent="0.2">
      <c r="A169" s="13" t="s">
        <v>7544</v>
      </c>
      <c r="B169" s="13" t="s">
        <v>7544</v>
      </c>
      <c r="C169" s="13">
        <v>1993</v>
      </c>
      <c r="D169" s="13" t="s">
        <v>7545</v>
      </c>
      <c r="E169" s="13" t="s">
        <v>1270</v>
      </c>
      <c r="F169" s="13">
        <v>5.96</v>
      </c>
      <c r="G169" s="13" t="s">
        <v>46</v>
      </c>
      <c r="H169" s="13" t="s">
        <v>7546</v>
      </c>
      <c r="I169" s="13" t="s">
        <v>7547</v>
      </c>
      <c r="J169" s="9" t="s">
        <v>7548</v>
      </c>
      <c r="K169" s="13">
        <v>25</v>
      </c>
    </row>
    <row r="170" spans="1:11" ht="15" customHeight="1" x14ac:dyDescent="0.2">
      <c r="A170" s="13" t="s">
        <v>7549</v>
      </c>
      <c r="B170" s="13" t="s">
        <v>7550</v>
      </c>
      <c r="C170" s="13">
        <v>1994</v>
      </c>
      <c r="D170" s="13" t="s">
        <v>15</v>
      </c>
      <c r="E170" s="13" t="s">
        <v>1270</v>
      </c>
      <c r="F170" s="13">
        <v>6.4669999999999996</v>
      </c>
      <c r="G170" s="13" t="s">
        <v>46</v>
      </c>
      <c r="H170" s="13" t="s">
        <v>7551</v>
      </c>
      <c r="I170" s="13" t="s">
        <v>7552</v>
      </c>
      <c r="J170" s="9" t="s">
        <v>7553</v>
      </c>
      <c r="K170" s="13">
        <v>456</v>
      </c>
    </row>
    <row r="171" spans="1:11" ht="15" customHeight="1" x14ac:dyDescent="0.2">
      <c r="A171" s="15" t="s">
        <v>7554</v>
      </c>
      <c r="B171" s="15" t="s">
        <v>7555</v>
      </c>
      <c r="C171" s="15">
        <v>2010</v>
      </c>
      <c r="D171" s="15" t="s">
        <v>15</v>
      </c>
      <c r="E171" s="15" t="s">
        <v>1270</v>
      </c>
      <c r="F171" s="15">
        <v>5.2</v>
      </c>
      <c r="G171" s="15" t="s">
        <v>28</v>
      </c>
      <c r="H171" s="15" t="s">
        <v>7556</v>
      </c>
      <c r="I171" s="15" t="s">
        <v>7557</v>
      </c>
      <c r="J171" s="10" t="s">
        <v>7558</v>
      </c>
      <c r="K171" s="15">
        <v>140</v>
      </c>
    </row>
    <row r="172" spans="1:11" ht="15" customHeight="1" x14ac:dyDescent="0.2">
      <c r="A172" s="13" t="s">
        <v>7559</v>
      </c>
      <c r="B172" s="13" t="s">
        <v>7560</v>
      </c>
      <c r="C172" s="13">
        <v>1997</v>
      </c>
      <c r="D172" s="13" t="s">
        <v>15</v>
      </c>
      <c r="E172" s="13" t="s">
        <v>1270</v>
      </c>
      <c r="F172" s="13">
        <v>5.0090000000000003</v>
      </c>
      <c r="G172" s="13" t="s">
        <v>28</v>
      </c>
      <c r="H172" s="13" t="s">
        <v>7561</v>
      </c>
      <c r="I172" s="13" t="s">
        <v>7562</v>
      </c>
      <c r="J172" s="9" t="s">
        <v>7563</v>
      </c>
      <c r="K172" s="13">
        <v>174</v>
      </c>
    </row>
    <row r="173" spans="1:11" ht="15" customHeight="1" x14ac:dyDescent="0.2">
      <c r="A173" s="13" t="s">
        <v>7564</v>
      </c>
      <c r="B173" s="13" t="s">
        <v>7564</v>
      </c>
      <c r="C173" s="13">
        <v>2017</v>
      </c>
      <c r="D173" s="13" t="s">
        <v>350</v>
      </c>
      <c r="E173" s="13" t="s">
        <v>1270</v>
      </c>
      <c r="F173" s="13">
        <v>5.9</v>
      </c>
      <c r="G173" s="13" t="s">
        <v>46</v>
      </c>
      <c r="H173" s="13" t="s">
        <v>7565</v>
      </c>
      <c r="I173" s="13" t="s">
        <v>7566</v>
      </c>
      <c r="J173" s="9" t="s">
        <v>7567</v>
      </c>
      <c r="K173" s="13">
        <v>55</v>
      </c>
    </row>
    <row r="174" spans="1:11" ht="15" customHeight="1" x14ac:dyDescent="0.2">
      <c r="A174" s="13" t="s">
        <v>7568</v>
      </c>
      <c r="B174" s="13" t="s">
        <v>7568</v>
      </c>
      <c r="C174" s="13">
        <v>2025</v>
      </c>
      <c r="D174" s="13" t="s">
        <v>350</v>
      </c>
      <c r="E174" s="13" t="s">
        <v>1270</v>
      </c>
      <c r="F174" s="13">
        <v>5</v>
      </c>
      <c r="G174" s="13" t="s">
        <v>28</v>
      </c>
      <c r="H174" s="13" t="s">
        <v>7569</v>
      </c>
      <c r="I174" s="13" t="s">
        <v>7570</v>
      </c>
      <c r="J174" s="9" t="s">
        <v>7571</v>
      </c>
      <c r="K174" s="13">
        <v>3</v>
      </c>
    </row>
    <row r="175" spans="1:11" ht="15" customHeight="1" x14ac:dyDescent="0.2">
      <c r="A175" s="13" t="s">
        <v>7572</v>
      </c>
      <c r="B175" s="13" t="s">
        <v>7573</v>
      </c>
      <c r="C175" s="13">
        <v>2021</v>
      </c>
      <c r="D175" s="13" t="s">
        <v>15</v>
      </c>
      <c r="E175" s="13" t="s">
        <v>1270</v>
      </c>
      <c r="F175" s="13">
        <v>7.2770000000000001</v>
      </c>
      <c r="G175" s="13" t="s">
        <v>18</v>
      </c>
      <c r="H175" s="13" t="s">
        <v>7574</v>
      </c>
      <c r="I175" s="13" t="s">
        <v>7575</v>
      </c>
      <c r="J175" s="9" t="s">
        <v>7576</v>
      </c>
      <c r="K175" s="13">
        <v>1152</v>
      </c>
    </row>
    <row r="176" spans="1:11" ht="15" customHeight="1" x14ac:dyDescent="0.2">
      <c r="A176" s="13" t="s">
        <v>7577</v>
      </c>
      <c r="B176" s="13" t="s">
        <v>7578</v>
      </c>
      <c r="C176" s="13">
        <v>2011</v>
      </c>
      <c r="D176" s="13" t="s">
        <v>15</v>
      </c>
      <c r="E176" s="13" t="s">
        <v>1270</v>
      </c>
      <c r="F176" s="13">
        <v>5.62</v>
      </c>
      <c r="G176" s="13" t="s">
        <v>46</v>
      </c>
      <c r="H176" s="13" t="s">
        <v>7579</v>
      </c>
      <c r="I176" s="13" t="s">
        <v>7580</v>
      </c>
      <c r="J176" s="9" t="s">
        <v>7581</v>
      </c>
      <c r="K176" s="13">
        <v>200</v>
      </c>
    </row>
    <row r="177" spans="1:11" ht="15" customHeight="1" x14ac:dyDescent="0.2">
      <c r="A177" s="13" t="s">
        <v>7582</v>
      </c>
      <c r="B177" s="13" t="s">
        <v>7583</v>
      </c>
      <c r="C177" s="13">
        <v>2023</v>
      </c>
      <c r="D177" s="13" t="s">
        <v>927</v>
      </c>
      <c r="E177" s="13" t="s">
        <v>7584</v>
      </c>
      <c r="F177" s="13">
        <v>6.5</v>
      </c>
      <c r="G177" s="13" t="s">
        <v>46</v>
      </c>
      <c r="H177" s="13" t="s">
        <v>7585</v>
      </c>
      <c r="I177" s="13" t="s">
        <v>7586</v>
      </c>
      <c r="J177" s="9"/>
      <c r="K177" s="13">
        <v>2</v>
      </c>
    </row>
    <row r="178" spans="1:11" ht="15" customHeight="1" x14ac:dyDescent="0.2">
      <c r="A178" s="13" t="s">
        <v>7587</v>
      </c>
      <c r="B178" s="13" t="s">
        <v>7588</v>
      </c>
      <c r="C178" s="13">
        <v>2020</v>
      </c>
      <c r="D178" s="13" t="s">
        <v>15</v>
      </c>
      <c r="E178" s="13" t="s">
        <v>1270</v>
      </c>
      <c r="F178" s="13">
        <v>6.2</v>
      </c>
      <c r="G178" s="13" t="s">
        <v>46</v>
      </c>
      <c r="H178" s="13">
        <v>526019</v>
      </c>
      <c r="I178" s="13" t="s">
        <v>7589</v>
      </c>
      <c r="J178" s="9" t="s">
        <v>7590</v>
      </c>
      <c r="K178" s="13">
        <v>656</v>
      </c>
    </row>
    <row r="179" spans="1:11" ht="15" customHeight="1" x14ac:dyDescent="0.2">
      <c r="A179" s="13" t="s">
        <v>7591</v>
      </c>
      <c r="B179" s="13" t="s">
        <v>7592</v>
      </c>
      <c r="C179" s="13">
        <v>1985</v>
      </c>
      <c r="D179" s="13" t="s">
        <v>15</v>
      </c>
      <c r="E179" s="13" t="s">
        <v>1270</v>
      </c>
      <c r="F179" s="13">
        <v>6.5629999999999997</v>
      </c>
      <c r="G179" s="13" t="s">
        <v>18</v>
      </c>
      <c r="H179" s="13" t="s">
        <v>7593</v>
      </c>
      <c r="I179" s="13" t="s">
        <v>7594</v>
      </c>
      <c r="J179" s="9" t="s">
        <v>7595</v>
      </c>
      <c r="K179" s="13">
        <v>532</v>
      </c>
    </row>
    <row r="180" spans="1:11" ht="15" customHeight="1" x14ac:dyDescent="0.2">
      <c r="A180" s="13" t="s">
        <v>7596</v>
      </c>
      <c r="B180" s="13" t="s">
        <v>7596</v>
      </c>
      <c r="C180" s="13">
        <v>1998</v>
      </c>
      <c r="D180" s="13" t="s">
        <v>350</v>
      </c>
      <c r="E180" s="13" t="s">
        <v>1270</v>
      </c>
      <c r="F180" s="13">
        <v>7.7</v>
      </c>
      <c r="G180" s="13" t="s">
        <v>77</v>
      </c>
      <c r="H180" s="13" t="s">
        <v>7597</v>
      </c>
      <c r="I180" s="13" t="s">
        <v>7598</v>
      </c>
      <c r="J180" s="9" t="s">
        <v>7599</v>
      </c>
      <c r="K180" s="13">
        <v>3</v>
      </c>
    </row>
    <row r="181" spans="1:11" ht="15" customHeight="1" x14ac:dyDescent="0.2">
      <c r="A181" s="15" t="s">
        <v>7600</v>
      </c>
      <c r="B181" s="15" t="s">
        <v>7600</v>
      </c>
      <c r="C181" s="15">
        <v>2006</v>
      </c>
      <c r="D181" s="15" t="s">
        <v>2047</v>
      </c>
      <c r="E181" s="15" t="s">
        <v>399</v>
      </c>
      <c r="F181" s="15">
        <v>5.2</v>
      </c>
      <c r="G181" s="15" t="s">
        <v>28</v>
      </c>
      <c r="H181" s="15" t="s">
        <v>7601</v>
      </c>
      <c r="I181" s="15" t="s">
        <v>7602</v>
      </c>
      <c r="J181" s="10" t="s">
        <v>7603</v>
      </c>
      <c r="K181" s="15">
        <v>3</v>
      </c>
    </row>
    <row r="182" spans="1:11" ht="15" customHeight="1" x14ac:dyDescent="0.2">
      <c r="A182" s="13" t="s">
        <v>7604</v>
      </c>
      <c r="B182" s="13" t="s">
        <v>7605</v>
      </c>
      <c r="C182" s="13">
        <v>2018</v>
      </c>
      <c r="D182" s="13" t="s">
        <v>7606</v>
      </c>
      <c r="E182" s="13" t="s">
        <v>1270</v>
      </c>
      <c r="F182" s="13">
        <v>6.5129999999999999</v>
      </c>
      <c r="G182" s="13" t="s">
        <v>18</v>
      </c>
      <c r="H182" s="13" t="s">
        <v>7607</v>
      </c>
      <c r="I182" s="13" t="s">
        <v>7608</v>
      </c>
      <c r="J182" s="9" t="s">
        <v>7609</v>
      </c>
      <c r="K182" s="13">
        <v>774</v>
      </c>
    </row>
    <row r="183" spans="1:11" ht="15" customHeight="1" x14ac:dyDescent="0.2">
      <c r="A183" s="13" t="s">
        <v>7610</v>
      </c>
      <c r="B183" s="13" t="s">
        <v>7611</v>
      </c>
      <c r="C183" s="13">
        <v>2020</v>
      </c>
      <c r="D183" s="13" t="s">
        <v>15</v>
      </c>
      <c r="E183" s="13" t="s">
        <v>1270</v>
      </c>
      <c r="F183" s="13">
        <v>6.4</v>
      </c>
      <c r="G183" s="13" t="s">
        <v>46</v>
      </c>
      <c r="H183" s="13" t="s">
        <v>7612</v>
      </c>
      <c r="I183" s="13" t="s">
        <v>7613</v>
      </c>
      <c r="J183" s="9" t="s">
        <v>7614</v>
      </c>
      <c r="K183" s="13">
        <v>35</v>
      </c>
    </row>
    <row r="184" spans="1:11" ht="15" customHeight="1" x14ac:dyDescent="0.2">
      <c r="A184" s="13" t="s">
        <v>7615</v>
      </c>
      <c r="B184" s="13" t="s">
        <v>7615</v>
      </c>
      <c r="C184" s="13">
        <v>2019</v>
      </c>
      <c r="D184" s="13" t="s">
        <v>15</v>
      </c>
      <c r="E184" s="13" t="s">
        <v>6516</v>
      </c>
      <c r="F184" s="13">
        <v>6.9</v>
      </c>
      <c r="G184" s="13" t="s">
        <v>18</v>
      </c>
      <c r="H184" s="13">
        <v>526050</v>
      </c>
      <c r="I184" s="13" t="s">
        <v>7616</v>
      </c>
      <c r="J184" s="9" t="s">
        <v>7617</v>
      </c>
      <c r="K184" s="13">
        <v>736</v>
      </c>
    </row>
    <row r="185" spans="1:11" ht="15" customHeight="1" x14ac:dyDescent="0.2">
      <c r="A185" s="13" t="s">
        <v>7618</v>
      </c>
      <c r="B185" s="13" t="s">
        <v>7619</v>
      </c>
      <c r="C185" s="13">
        <v>2021</v>
      </c>
      <c r="D185" s="13" t="s">
        <v>15</v>
      </c>
      <c r="E185" s="13" t="s">
        <v>1270</v>
      </c>
      <c r="F185" s="13">
        <v>7</v>
      </c>
      <c r="G185" s="13" t="s">
        <v>18</v>
      </c>
      <c r="H185" s="13" t="s">
        <v>7620</v>
      </c>
      <c r="I185" s="13" t="s">
        <v>7621</v>
      </c>
      <c r="J185" s="9" t="s">
        <v>7622</v>
      </c>
      <c r="K185" s="13">
        <v>66</v>
      </c>
    </row>
    <row r="186" spans="1:11" ht="15" customHeight="1" x14ac:dyDescent="0.2">
      <c r="A186" s="13" t="s">
        <v>7623</v>
      </c>
      <c r="B186" s="13" t="s">
        <v>7624</v>
      </c>
      <c r="C186" s="13">
        <v>2021</v>
      </c>
      <c r="D186" s="13" t="s">
        <v>15</v>
      </c>
      <c r="E186" s="13" t="s">
        <v>1270</v>
      </c>
      <c r="F186" s="13">
        <v>6.3</v>
      </c>
      <c r="G186" s="13" t="s">
        <v>46</v>
      </c>
      <c r="H186" s="13" t="s">
        <v>7625</v>
      </c>
      <c r="I186" s="13" t="s">
        <v>7626</v>
      </c>
      <c r="J186" s="9" t="s">
        <v>7627</v>
      </c>
      <c r="K186" s="13">
        <v>6</v>
      </c>
    </row>
    <row r="187" spans="1:11" ht="15" customHeight="1" x14ac:dyDescent="0.2">
      <c r="A187" s="13" t="s">
        <v>7628</v>
      </c>
      <c r="B187" s="13" t="s">
        <v>7629</v>
      </c>
      <c r="C187" s="13">
        <v>2019</v>
      </c>
      <c r="D187" s="13" t="s">
        <v>15</v>
      </c>
      <c r="E187" s="13" t="s">
        <v>1270</v>
      </c>
      <c r="F187" s="13">
        <v>6.49</v>
      </c>
      <c r="G187" s="13" t="s">
        <v>46</v>
      </c>
      <c r="H187" s="13" t="s">
        <v>7630</v>
      </c>
      <c r="I187" s="13" t="s">
        <v>7631</v>
      </c>
      <c r="J187" s="9" t="s">
        <v>7632</v>
      </c>
      <c r="K187" s="13">
        <v>50</v>
      </c>
    </row>
    <row r="188" spans="1:11" ht="15" customHeight="1" x14ac:dyDescent="0.2">
      <c r="A188" s="13" t="s">
        <v>7633</v>
      </c>
      <c r="B188" s="13" t="s">
        <v>7634</v>
      </c>
      <c r="C188" s="13">
        <v>2020</v>
      </c>
      <c r="D188" s="13" t="s">
        <v>15</v>
      </c>
      <c r="E188" s="13" t="s">
        <v>1096</v>
      </c>
      <c r="F188" s="13">
        <v>6</v>
      </c>
      <c r="G188" s="13" t="s">
        <v>46</v>
      </c>
      <c r="H188" s="13">
        <v>627103</v>
      </c>
      <c r="I188" s="13" t="s">
        <v>7635</v>
      </c>
      <c r="J188" s="9" t="s">
        <v>7636</v>
      </c>
      <c r="K188" s="13">
        <v>86</v>
      </c>
    </row>
    <row r="189" spans="1:11" ht="15" customHeight="1" x14ac:dyDescent="0.2">
      <c r="A189" s="13" t="s">
        <v>7637</v>
      </c>
      <c r="B189" s="13" t="s">
        <v>7638</v>
      </c>
      <c r="C189" s="13">
        <v>2014</v>
      </c>
      <c r="D189" s="13" t="s">
        <v>7639</v>
      </c>
      <c r="E189" s="13" t="s">
        <v>7640</v>
      </c>
      <c r="F189" s="13">
        <v>7.8129999999999997</v>
      </c>
      <c r="G189" s="13" t="s">
        <v>77</v>
      </c>
      <c r="H189" s="13" t="s">
        <v>7641</v>
      </c>
      <c r="I189" s="13" t="s">
        <v>7642</v>
      </c>
      <c r="J189" s="9" t="s">
        <v>7643</v>
      </c>
      <c r="K189" s="13">
        <v>6402</v>
      </c>
    </row>
    <row r="190" spans="1:11" ht="15" customHeight="1" x14ac:dyDescent="0.2">
      <c r="A190" s="13" t="s">
        <v>7644</v>
      </c>
      <c r="B190" s="13" t="s">
        <v>7644</v>
      </c>
      <c r="C190" s="13">
        <v>2022</v>
      </c>
      <c r="D190" s="13" t="s">
        <v>350</v>
      </c>
      <c r="E190" s="13" t="s">
        <v>1270</v>
      </c>
      <c r="F190" s="13">
        <v>5.6</v>
      </c>
      <c r="G190" s="13" t="s">
        <v>46</v>
      </c>
      <c r="H190" s="13" t="s">
        <v>7645</v>
      </c>
      <c r="I190" s="13" t="s">
        <v>7646</v>
      </c>
      <c r="J190" s="9" t="s">
        <v>7647</v>
      </c>
      <c r="K190" s="13">
        <v>5</v>
      </c>
    </row>
    <row r="191" spans="1:11" ht="15" customHeight="1" x14ac:dyDescent="0.2">
      <c r="A191" s="15" t="s">
        <v>7648</v>
      </c>
      <c r="B191" s="15" t="s">
        <v>7649</v>
      </c>
      <c r="C191" s="15">
        <v>2022</v>
      </c>
      <c r="D191" s="15" t="s">
        <v>15</v>
      </c>
      <c r="E191" s="15" t="s">
        <v>1270</v>
      </c>
      <c r="F191" s="15">
        <v>7</v>
      </c>
      <c r="G191" s="15" t="s">
        <v>18</v>
      </c>
      <c r="H191" s="15" t="s">
        <v>7650</v>
      </c>
      <c r="I191" s="15" t="s">
        <v>7651</v>
      </c>
      <c r="J191" s="10" t="s">
        <v>7652</v>
      </c>
      <c r="K191" s="15">
        <v>630</v>
      </c>
    </row>
    <row r="192" spans="1:11" ht="15" customHeight="1" x14ac:dyDescent="0.2">
      <c r="A192" s="13" t="s">
        <v>7653</v>
      </c>
      <c r="B192" s="13" t="s">
        <v>7654</v>
      </c>
      <c r="C192" s="13">
        <v>1994</v>
      </c>
      <c r="D192" s="13" t="s">
        <v>15</v>
      </c>
      <c r="E192" s="13" t="s">
        <v>1270</v>
      </c>
      <c r="F192" s="13">
        <v>5.9429999999999996</v>
      </c>
      <c r="G192" s="13" t="s">
        <v>46</v>
      </c>
      <c r="H192" s="13" t="s">
        <v>7655</v>
      </c>
      <c r="I192" s="13" t="s">
        <v>7656</v>
      </c>
      <c r="J192" s="9" t="s">
        <v>7657</v>
      </c>
      <c r="K192" s="13">
        <v>521</v>
      </c>
    </row>
    <row r="193" spans="1:11" ht="15" customHeight="1" x14ac:dyDescent="0.2">
      <c r="A193" s="13" t="s">
        <v>7658</v>
      </c>
      <c r="B193" s="13" t="s">
        <v>7659</v>
      </c>
      <c r="C193" s="13">
        <v>1991</v>
      </c>
      <c r="D193" s="13" t="s">
        <v>15</v>
      </c>
      <c r="E193" s="13" t="s">
        <v>1270</v>
      </c>
      <c r="F193" s="13">
        <v>6.0229999999999997</v>
      </c>
      <c r="G193" s="13" t="s">
        <v>46</v>
      </c>
      <c r="H193" s="13" t="s">
        <v>7660</v>
      </c>
      <c r="I193" s="13" t="s">
        <v>7661</v>
      </c>
      <c r="J193" s="9" t="s">
        <v>7662</v>
      </c>
      <c r="K193" s="13">
        <v>175</v>
      </c>
    </row>
    <row r="194" spans="1:11" ht="15" customHeight="1" x14ac:dyDescent="0.2">
      <c r="A194" s="13" t="s">
        <v>7663</v>
      </c>
      <c r="B194" s="13" t="s">
        <v>7664</v>
      </c>
      <c r="C194" s="13">
        <v>2018</v>
      </c>
      <c r="D194" s="13" t="s">
        <v>15</v>
      </c>
      <c r="E194" s="13" t="s">
        <v>1270</v>
      </c>
      <c r="F194" s="13">
        <v>6.327</v>
      </c>
      <c r="G194" s="13" t="s">
        <v>46</v>
      </c>
      <c r="H194" s="13" t="s">
        <v>7665</v>
      </c>
      <c r="I194" s="13" t="s">
        <v>7666</v>
      </c>
      <c r="J194" s="9" t="s">
        <v>7667</v>
      </c>
      <c r="K194" s="13">
        <v>1228</v>
      </c>
    </row>
    <row r="195" spans="1:11" ht="15" customHeight="1" x14ac:dyDescent="0.2">
      <c r="A195" s="13" t="s">
        <v>7668</v>
      </c>
      <c r="B195" s="13" t="s">
        <v>7669</v>
      </c>
      <c r="C195" s="13">
        <v>1984</v>
      </c>
      <c r="D195" s="13" t="s">
        <v>15</v>
      </c>
      <c r="E195" s="13" t="s">
        <v>1270</v>
      </c>
      <c r="F195" s="13">
        <v>10</v>
      </c>
      <c r="G195" s="13" t="s">
        <v>2037</v>
      </c>
      <c r="H195" s="13">
        <v>40201</v>
      </c>
      <c r="I195" s="13" t="s">
        <v>7670</v>
      </c>
      <c r="J195" s="9" t="s">
        <v>7671</v>
      </c>
      <c r="K195" s="13">
        <v>3</v>
      </c>
    </row>
    <row r="196" spans="1:11" ht="15" customHeight="1" x14ac:dyDescent="0.2">
      <c r="A196" s="13" t="s">
        <v>7672</v>
      </c>
      <c r="B196" s="13" t="s">
        <v>7673</v>
      </c>
      <c r="C196" s="13">
        <v>2022</v>
      </c>
      <c r="D196" s="13" t="s">
        <v>15</v>
      </c>
      <c r="E196" s="13" t="s">
        <v>1270</v>
      </c>
      <c r="F196" s="13">
        <v>6.6</v>
      </c>
      <c r="G196" s="13" t="s">
        <v>18</v>
      </c>
      <c r="H196" s="13" t="s">
        <v>7674</v>
      </c>
      <c r="I196" s="13" t="s">
        <v>7675</v>
      </c>
      <c r="J196" s="9" t="s">
        <v>7676</v>
      </c>
      <c r="K196" s="13">
        <v>1073</v>
      </c>
    </row>
    <row r="197" spans="1:11" ht="15" customHeight="1" x14ac:dyDescent="0.2">
      <c r="A197" s="13" t="s">
        <v>612</v>
      </c>
      <c r="B197" s="13" t="s">
        <v>613</v>
      </c>
      <c r="C197" s="13">
        <v>2022</v>
      </c>
      <c r="D197" s="13" t="s">
        <v>15</v>
      </c>
      <c r="E197" s="13" t="s">
        <v>1270</v>
      </c>
      <c r="F197" s="13">
        <v>6.7869999999999999</v>
      </c>
      <c r="G197" s="13" t="s">
        <v>18</v>
      </c>
      <c r="H197" s="13" t="s">
        <v>615</v>
      </c>
      <c r="I197" s="13" t="s">
        <v>7677</v>
      </c>
      <c r="J197" s="9" t="s">
        <v>617</v>
      </c>
      <c r="K197" s="13">
        <v>2314</v>
      </c>
    </row>
    <row r="198" spans="1:11" ht="15" customHeight="1" x14ac:dyDescent="0.2">
      <c r="A198" s="13" t="s">
        <v>7678</v>
      </c>
      <c r="B198" s="13" t="s">
        <v>7679</v>
      </c>
      <c r="C198" s="13">
        <v>2024</v>
      </c>
      <c r="D198" s="13" t="s">
        <v>15</v>
      </c>
      <c r="E198" s="13" t="s">
        <v>1270</v>
      </c>
      <c r="F198" s="13">
        <v>5.9269999999999996</v>
      </c>
      <c r="G198" s="13" t="s">
        <v>46</v>
      </c>
      <c r="H198" s="13" t="s">
        <v>7680</v>
      </c>
      <c r="I198" s="13" t="s">
        <v>7681</v>
      </c>
      <c r="J198" s="9" t="s">
        <v>7682</v>
      </c>
      <c r="K198" s="13">
        <v>672</v>
      </c>
    </row>
    <row r="199" spans="1:11" ht="15" customHeight="1" x14ac:dyDescent="0.2">
      <c r="A199" s="13" t="s">
        <v>7683</v>
      </c>
      <c r="B199" s="13" t="s">
        <v>7684</v>
      </c>
      <c r="C199" s="13">
        <v>2017</v>
      </c>
      <c r="D199" s="13" t="s">
        <v>7685</v>
      </c>
      <c r="E199" s="13" t="s">
        <v>7686</v>
      </c>
      <c r="F199" s="13">
        <v>6.6</v>
      </c>
      <c r="G199" s="13" t="s">
        <v>18</v>
      </c>
      <c r="H199" s="13">
        <v>340101</v>
      </c>
      <c r="I199" s="13" t="s">
        <v>7687</v>
      </c>
      <c r="J199" s="9" t="s">
        <v>7688</v>
      </c>
      <c r="K199" s="13">
        <v>428</v>
      </c>
    </row>
    <row r="200" spans="1:11" ht="15" customHeight="1" x14ac:dyDescent="0.2">
      <c r="A200" s="13" t="s">
        <v>7689</v>
      </c>
      <c r="B200" s="13" t="s">
        <v>7690</v>
      </c>
      <c r="C200" s="13">
        <v>2000</v>
      </c>
      <c r="D200" s="13" t="s">
        <v>15</v>
      </c>
      <c r="E200" s="13" t="s">
        <v>2303</v>
      </c>
      <c r="F200" s="13">
        <v>6.7110000000000003</v>
      </c>
      <c r="G200" s="13" t="s">
        <v>18</v>
      </c>
      <c r="H200" s="13" t="s">
        <v>7691</v>
      </c>
      <c r="I200" s="13" t="s">
        <v>7692</v>
      </c>
      <c r="J200" s="9" t="s">
        <v>7693</v>
      </c>
      <c r="K200" s="13">
        <v>284</v>
      </c>
    </row>
    <row r="201" spans="1:11" ht="15" customHeight="1" x14ac:dyDescent="0.2">
      <c r="A201" s="15" t="s">
        <v>7694</v>
      </c>
      <c r="B201" s="15" t="s">
        <v>7695</v>
      </c>
      <c r="C201" s="15">
        <v>1999</v>
      </c>
      <c r="D201" s="15" t="s">
        <v>15</v>
      </c>
      <c r="E201" s="15" t="s">
        <v>7696</v>
      </c>
      <c r="F201" s="15">
        <v>5.7</v>
      </c>
      <c r="G201" s="15" t="s">
        <v>46</v>
      </c>
      <c r="H201" s="15" t="s">
        <v>7697</v>
      </c>
      <c r="I201" s="15" t="s">
        <v>7698</v>
      </c>
      <c r="J201" s="10" t="s">
        <v>7699</v>
      </c>
      <c r="K201" s="15">
        <v>257</v>
      </c>
    </row>
    <row r="202" spans="1:11" ht="15" customHeight="1" x14ac:dyDescent="0.2">
      <c r="A202" s="13" t="s">
        <v>7700</v>
      </c>
      <c r="B202" s="13" t="s">
        <v>7701</v>
      </c>
      <c r="C202" s="13">
        <v>2002</v>
      </c>
      <c r="D202" s="13" t="s">
        <v>15</v>
      </c>
      <c r="E202" s="13" t="s">
        <v>7696</v>
      </c>
      <c r="F202" s="13">
        <v>5.9</v>
      </c>
      <c r="G202" s="13" t="s">
        <v>46</v>
      </c>
      <c r="H202" s="13" t="s">
        <v>7702</v>
      </c>
      <c r="I202" s="13" t="s">
        <v>7703</v>
      </c>
      <c r="J202" s="9" t="s">
        <v>7704</v>
      </c>
      <c r="K202" s="13">
        <v>201</v>
      </c>
    </row>
    <row r="203" spans="1:11" ht="15" customHeight="1" x14ac:dyDescent="0.2">
      <c r="A203" s="13" t="s">
        <v>7705</v>
      </c>
      <c r="B203" s="13" t="s">
        <v>7706</v>
      </c>
      <c r="C203" s="13">
        <v>2020</v>
      </c>
      <c r="D203" s="13" t="s">
        <v>15</v>
      </c>
      <c r="E203" s="13" t="s">
        <v>1270</v>
      </c>
      <c r="F203" s="13">
        <v>6.2</v>
      </c>
      <c r="G203" s="13" t="s">
        <v>46</v>
      </c>
      <c r="H203" s="13" t="s">
        <v>7707</v>
      </c>
      <c r="I203" s="13" t="s">
        <v>7708</v>
      </c>
      <c r="J203" s="9" t="s">
        <v>7709</v>
      </c>
      <c r="K203" s="13">
        <v>37</v>
      </c>
    </row>
    <row r="204" spans="1:11" ht="15" customHeight="1" x14ac:dyDescent="0.2">
      <c r="A204" s="13" t="s">
        <v>7710</v>
      </c>
      <c r="B204" s="13" t="s">
        <v>7711</v>
      </c>
      <c r="C204" s="13">
        <v>2020</v>
      </c>
      <c r="D204" s="13" t="s">
        <v>15</v>
      </c>
      <c r="E204" s="13" t="s">
        <v>1270</v>
      </c>
      <c r="F204" s="13">
        <v>6.6</v>
      </c>
      <c r="G204" s="13" t="s">
        <v>18</v>
      </c>
      <c r="H204" s="13" t="s">
        <v>7712</v>
      </c>
      <c r="I204" s="13" t="s">
        <v>7713</v>
      </c>
      <c r="J204" s="9" t="s">
        <v>7714</v>
      </c>
      <c r="K204" s="13">
        <v>32</v>
      </c>
    </row>
    <row r="205" spans="1:11" ht="15" customHeight="1" x14ac:dyDescent="0.2">
      <c r="A205" s="13" t="s">
        <v>7715</v>
      </c>
      <c r="B205" s="13" t="s">
        <v>7716</v>
      </c>
      <c r="C205" s="13">
        <v>2021</v>
      </c>
      <c r="D205" s="13" t="s">
        <v>3641</v>
      </c>
      <c r="E205" s="13" t="s">
        <v>1270</v>
      </c>
      <c r="F205" s="13">
        <v>6.1</v>
      </c>
      <c r="G205" s="13" t="s">
        <v>46</v>
      </c>
      <c r="H205" s="13" t="s">
        <v>7717</v>
      </c>
      <c r="I205" s="13" t="s">
        <v>7718</v>
      </c>
      <c r="J205" s="9" t="s">
        <v>7719</v>
      </c>
      <c r="K205" s="13">
        <v>584</v>
      </c>
    </row>
    <row r="206" spans="1:11" ht="15" customHeight="1" x14ac:dyDescent="0.2">
      <c r="A206" s="13" t="s">
        <v>7720</v>
      </c>
      <c r="B206" s="13" t="s">
        <v>7720</v>
      </c>
      <c r="C206" s="13">
        <v>2011</v>
      </c>
      <c r="D206" s="13" t="s">
        <v>15</v>
      </c>
      <c r="E206" s="13" t="s">
        <v>1270</v>
      </c>
      <c r="F206" s="13">
        <v>7.516</v>
      </c>
      <c r="G206" s="13" t="s">
        <v>77</v>
      </c>
      <c r="H206" s="13" t="s">
        <v>7721</v>
      </c>
      <c r="I206" s="13" t="s">
        <v>7722</v>
      </c>
      <c r="J206" s="9" t="s">
        <v>7723</v>
      </c>
      <c r="K206" s="13">
        <v>7572</v>
      </c>
    </row>
    <row r="207" spans="1:11" ht="15" customHeight="1" x14ac:dyDescent="0.2">
      <c r="A207" s="13" t="s">
        <v>7724</v>
      </c>
      <c r="B207" s="13" t="s">
        <v>7724</v>
      </c>
      <c r="C207" s="13">
        <v>2004</v>
      </c>
      <c r="D207" s="13" t="s">
        <v>15</v>
      </c>
      <c r="E207" s="13" t="s">
        <v>1270</v>
      </c>
      <c r="F207" s="13">
        <v>6.4050000000000002</v>
      </c>
      <c r="G207" s="13" t="s">
        <v>46</v>
      </c>
      <c r="H207" s="13" t="s">
        <v>7725</v>
      </c>
      <c r="I207" s="13" t="s">
        <v>7726</v>
      </c>
      <c r="J207" s="9" t="s">
        <v>7727</v>
      </c>
      <c r="K207" s="13">
        <v>400</v>
      </c>
    </row>
    <row r="208" spans="1:11" ht="15" customHeight="1" x14ac:dyDescent="0.2">
      <c r="A208" s="13" t="s">
        <v>7728</v>
      </c>
      <c r="B208" s="13" t="s">
        <v>7729</v>
      </c>
      <c r="C208" s="13">
        <v>2024</v>
      </c>
      <c r="D208" s="13" t="s">
        <v>350</v>
      </c>
      <c r="E208" s="13" t="s">
        <v>1270</v>
      </c>
      <c r="F208" s="13">
        <v>5.3179999999999996</v>
      </c>
      <c r="G208" s="13" t="s">
        <v>28</v>
      </c>
      <c r="H208" s="13" t="s">
        <v>7730</v>
      </c>
      <c r="I208" s="13" t="s">
        <v>7731</v>
      </c>
      <c r="J208" s="9" t="s">
        <v>7732</v>
      </c>
      <c r="K208" s="13">
        <v>11</v>
      </c>
    </row>
    <row r="209" spans="1:11" ht="15" customHeight="1" x14ac:dyDescent="0.2">
      <c r="A209" s="13" t="s">
        <v>7733</v>
      </c>
      <c r="B209" s="13" t="s">
        <v>7733</v>
      </c>
      <c r="C209" s="13">
        <v>2014</v>
      </c>
      <c r="D209" s="13" t="s">
        <v>15</v>
      </c>
      <c r="E209" s="13" t="s">
        <v>1270</v>
      </c>
      <c r="F209" s="13">
        <v>5.2</v>
      </c>
      <c r="G209" s="13" t="s">
        <v>28</v>
      </c>
      <c r="H209" s="13" t="s">
        <v>7734</v>
      </c>
      <c r="I209" s="13" t="s">
        <v>7735</v>
      </c>
      <c r="J209" s="9" t="s">
        <v>7736</v>
      </c>
      <c r="K209" s="13">
        <v>16</v>
      </c>
    </row>
    <row r="210" spans="1:11" ht="15" customHeight="1" x14ac:dyDescent="0.2">
      <c r="A210" s="13" t="s">
        <v>7737</v>
      </c>
      <c r="B210" s="13" t="s">
        <v>7738</v>
      </c>
      <c r="C210" s="13">
        <v>2021</v>
      </c>
      <c r="D210" s="13" t="s">
        <v>7739</v>
      </c>
      <c r="E210" s="13" t="s">
        <v>1270</v>
      </c>
      <c r="F210" s="13">
        <v>6.7</v>
      </c>
      <c r="G210" s="13" t="s">
        <v>18</v>
      </c>
      <c r="H210" s="13" t="s">
        <v>7740</v>
      </c>
      <c r="I210" s="13" t="s">
        <v>7741</v>
      </c>
      <c r="J210" s="9" t="s">
        <v>7742</v>
      </c>
      <c r="K210" s="13">
        <v>19</v>
      </c>
    </row>
    <row r="211" spans="1:11" ht="15" customHeight="1" x14ac:dyDescent="0.2">
      <c r="A211" s="15" t="s">
        <v>7743</v>
      </c>
      <c r="B211" s="15"/>
      <c r="C211" s="15"/>
      <c r="D211" s="15" t="s">
        <v>15</v>
      </c>
      <c r="E211" s="15" t="s">
        <v>1270</v>
      </c>
      <c r="F211" s="15"/>
      <c r="G211" s="15"/>
      <c r="H211" s="15"/>
      <c r="I211" s="15"/>
      <c r="J211" s="10"/>
      <c r="K211" s="15"/>
    </row>
    <row r="212" spans="1:11" ht="15" customHeight="1" x14ac:dyDescent="0.2">
      <c r="A212" s="13" t="s">
        <v>7744</v>
      </c>
      <c r="B212" s="13" t="s">
        <v>7745</v>
      </c>
      <c r="C212" s="13">
        <v>2021</v>
      </c>
      <c r="D212" s="13" t="s">
        <v>3641</v>
      </c>
      <c r="E212" s="13" t="s">
        <v>1270</v>
      </c>
      <c r="F212" s="13">
        <v>6.3</v>
      </c>
      <c r="G212" s="13" t="s">
        <v>46</v>
      </c>
      <c r="H212" s="13" t="s">
        <v>7746</v>
      </c>
      <c r="I212" s="13" t="s">
        <v>7747</v>
      </c>
      <c r="J212" s="9" t="s">
        <v>7748</v>
      </c>
      <c r="K212" s="13">
        <v>409</v>
      </c>
    </row>
    <row r="213" spans="1:11" ht="15" customHeight="1" x14ac:dyDescent="0.2">
      <c r="A213" s="13" t="s">
        <v>7749</v>
      </c>
      <c r="B213" s="13" t="s">
        <v>7750</v>
      </c>
      <c r="C213" s="13">
        <v>2014</v>
      </c>
      <c r="D213" s="13" t="s">
        <v>3641</v>
      </c>
      <c r="E213" s="13" t="s">
        <v>1270</v>
      </c>
      <c r="F213" s="13">
        <v>6.665</v>
      </c>
      <c r="G213" s="13" t="s">
        <v>18</v>
      </c>
      <c r="H213" s="13" t="s">
        <v>7751</v>
      </c>
      <c r="I213" s="13" t="s">
        <v>7747</v>
      </c>
      <c r="J213" s="9" t="s">
        <v>7752</v>
      </c>
      <c r="K213" s="13">
        <v>3470</v>
      </c>
    </row>
    <row r="214" spans="1:11" ht="15" customHeight="1" x14ac:dyDescent="0.2">
      <c r="A214" s="13" t="s">
        <v>7753</v>
      </c>
      <c r="B214" s="13" t="s">
        <v>7754</v>
      </c>
      <c r="C214" s="13">
        <v>2019</v>
      </c>
      <c r="D214" s="13" t="s">
        <v>3641</v>
      </c>
      <c r="E214" s="13" t="s">
        <v>1270</v>
      </c>
      <c r="F214" s="13">
        <v>5.9</v>
      </c>
      <c r="G214" s="13" t="s">
        <v>46</v>
      </c>
      <c r="H214" s="13" t="s">
        <v>7755</v>
      </c>
      <c r="I214" s="13" t="s">
        <v>7747</v>
      </c>
      <c r="J214" s="9" t="s">
        <v>7756</v>
      </c>
      <c r="K214" s="13">
        <v>1302</v>
      </c>
    </row>
    <row r="215" spans="1:11" ht="15" customHeight="1" x14ac:dyDescent="0.2">
      <c r="A215" s="13" t="s">
        <v>7757</v>
      </c>
      <c r="B215" s="13" t="s">
        <v>7758</v>
      </c>
      <c r="C215" s="13">
        <v>2016</v>
      </c>
      <c r="D215" s="13" t="s">
        <v>15</v>
      </c>
      <c r="E215" s="13" t="s">
        <v>1270</v>
      </c>
      <c r="F215" s="13">
        <v>5.9889999999999999</v>
      </c>
      <c r="G215" s="13" t="s">
        <v>46</v>
      </c>
      <c r="H215" s="13" t="s">
        <v>7759</v>
      </c>
      <c r="I215" s="13" t="s">
        <v>7760</v>
      </c>
      <c r="J215" s="9" t="s">
        <v>7761</v>
      </c>
      <c r="K215" s="13">
        <v>1299</v>
      </c>
    </row>
    <row r="216" spans="1:11" ht="15" customHeight="1" x14ac:dyDescent="0.2">
      <c r="A216" s="13" t="s">
        <v>7762</v>
      </c>
      <c r="B216" s="13" t="s">
        <v>7763</v>
      </c>
      <c r="C216" s="13">
        <v>2015</v>
      </c>
      <c r="D216" s="13" t="s">
        <v>15</v>
      </c>
      <c r="E216" s="13" t="s">
        <v>7764</v>
      </c>
      <c r="F216" s="13">
        <v>6.75</v>
      </c>
      <c r="G216" s="13" t="s">
        <v>18</v>
      </c>
      <c r="H216" s="13" t="s">
        <v>7765</v>
      </c>
      <c r="I216" s="13" t="s">
        <v>7766</v>
      </c>
      <c r="J216" s="9" t="s">
        <v>7767</v>
      </c>
      <c r="K216" s="13">
        <v>558</v>
      </c>
    </row>
    <row r="217" spans="1:11" ht="15" customHeight="1" x14ac:dyDescent="0.2">
      <c r="A217" s="13" t="s">
        <v>7768</v>
      </c>
      <c r="B217" s="13" t="s">
        <v>7768</v>
      </c>
      <c r="C217" s="13">
        <v>1983</v>
      </c>
      <c r="D217" s="13" t="s">
        <v>15</v>
      </c>
      <c r="E217" s="13" t="s">
        <v>1270</v>
      </c>
      <c r="F217" s="13">
        <v>6.5389999999999997</v>
      </c>
      <c r="G217" s="13" t="s">
        <v>18</v>
      </c>
      <c r="H217" s="13" t="s">
        <v>7769</v>
      </c>
      <c r="I217" s="13" t="s">
        <v>7770</v>
      </c>
      <c r="J217" s="9" t="s">
        <v>7771</v>
      </c>
      <c r="K217" s="13">
        <v>337</v>
      </c>
    </row>
    <row r="218" spans="1:11" ht="15" customHeight="1" x14ac:dyDescent="0.2">
      <c r="A218" s="13" t="s">
        <v>7772</v>
      </c>
      <c r="B218" s="13" t="s">
        <v>7773</v>
      </c>
      <c r="C218" s="13">
        <v>2023</v>
      </c>
      <c r="D218" s="13" t="s">
        <v>15</v>
      </c>
      <c r="E218" s="13" t="s">
        <v>1270</v>
      </c>
      <c r="F218" s="13">
        <v>6.9390000000000001</v>
      </c>
      <c r="G218" s="13" t="s">
        <v>18</v>
      </c>
      <c r="H218" s="13" t="s">
        <v>7774</v>
      </c>
      <c r="I218" s="13" t="s">
        <v>7775</v>
      </c>
      <c r="J218" s="9" t="s">
        <v>7776</v>
      </c>
      <c r="K218" s="13">
        <v>212</v>
      </c>
    </row>
    <row r="219" spans="1:11" ht="15" customHeight="1" x14ac:dyDescent="0.2">
      <c r="A219" s="13" t="s">
        <v>7777</v>
      </c>
      <c r="B219" s="13" t="s">
        <v>7778</v>
      </c>
      <c r="C219" s="13">
        <v>2018</v>
      </c>
      <c r="D219" s="13" t="s">
        <v>15</v>
      </c>
      <c r="E219" s="13" t="s">
        <v>1270</v>
      </c>
      <c r="F219" s="13">
        <v>4.7</v>
      </c>
      <c r="G219" s="13" t="s">
        <v>28</v>
      </c>
      <c r="H219" s="13">
        <v>490422</v>
      </c>
      <c r="I219" s="13" t="s">
        <v>7779</v>
      </c>
      <c r="J219" s="9" t="s">
        <v>7780</v>
      </c>
      <c r="K219" s="13">
        <v>93</v>
      </c>
    </row>
    <row r="220" spans="1:11" ht="15" customHeight="1" x14ac:dyDescent="0.2">
      <c r="A220" s="13" t="s">
        <v>7781</v>
      </c>
      <c r="B220" s="13" t="s">
        <v>7782</v>
      </c>
      <c r="C220" s="13">
        <v>2007</v>
      </c>
      <c r="D220" s="13" t="s">
        <v>15</v>
      </c>
      <c r="E220" s="13" t="s">
        <v>7783</v>
      </c>
      <c r="F220" s="13">
        <v>6.07</v>
      </c>
      <c r="G220" s="13" t="s">
        <v>46</v>
      </c>
      <c r="H220" s="13" t="s">
        <v>7784</v>
      </c>
      <c r="I220" s="13" t="s">
        <v>7785</v>
      </c>
      <c r="J220" s="9" t="s">
        <v>7786</v>
      </c>
      <c r="K220" s="13">
        <v>535</v>
      </c>
    </row>
    <row r="221" spans="1:11" ht="15" customHeight="1" x14ac:dyDescent="0.2">
      <c r="A221" s="15" t="s">
        <v>7787</v>
      </c>
      <c r="B221" s="15" t="s">
        <v>7788</v>
      </c>
      <c r="C221" s="15">
        <v>1999</v>
      </c>
      <c r="D221" s="15" t="s">
        <v>927</v>
      </c>
      <c r="E221" s="15" t="s">
        <v>1270</v>
      </c>
      <c r="F221" s="15">
        <v>0</v>
      </c>
      <c r="G221" s="15"/>
      <c r="H221" s="15" t="s">
        <v>7789</v>
      </c>
      <c r="I221" s="15" t="s">
        <v>7790</v>
      </c>
      <c r="J221" s="10" t="s">
        <v>4145</v>
      </c>
      <c r="K221" s="15">
        <v>0</v>
      </c>
    </row>
    <row r="222" spans="1:11" ht="15" customHeight="1" x14ac:dyDescent="0.2">
      <c r="A222" s="13" t="s">
        <v>1258</v>
      </c>
      <c r="B222" s="13" t="s">
        <v>1259</v>
      </c>
      <c r="C222" s="13">
        <v>1966</v>
      </c>
      <c r="D222" s="13" t="s">
        <v>15</v>
      </c>
      <c r="E222" s="13" t="s">
        <v>1270</v>
      </c>
      <c r="F222" s="13">
        <v>6.468</v>
      </c>
      <c r="G222" s="13" t="s">
        <v>46</v>
      </c>
      <c r="H222" s="13" t="s">
        <v>1260</v>
      </c>
      <c r="I222" s="13" t="s">
        <v>1261</v>
      </c>
      <c r="J222" s="9" t="s">
        <v>1262</v>
      </c>
      <c r="K222" s="13">
        <v>78</v>
      </c>
    </row>
    <row r="223" spans="1:11" ht="15" customHeight="1" x14ac:dyDescent="0.2">
      <c r="A223" s="13" t="s">
        <v>7791</v>
      </c>
      <c r="B223" s="13" t="s">
        <v>7792</v>
      </c>
      <c r="C223" s="13">
        <v>2006</v>
      </c>
      <c r="D223" s="13" t="s">
        <v>15</v>
      </c>
      <c r="E223" s="13" t="s">
        <v>1270</v>
      </c>
      <c r="F223" s="13">
        <v>7.3470000000000004</v>
      </c>
      <c r="G223" s="13" t="s">
        <v>18</v>
      </c>
      <c r="H223" s="13" t="s">
        <v>7793</v>
      </c>
      <c r="I223" s="13" t="s">
        <v>7794</v>
      </c>
      <c r="J223" s="9" t="s">
        <v>7795</v>
      </c>
      <c r="K223" s="13">
        <v>1075</v>
      </c>
    </row>
    <row r="224" spans="1:11" ht="15" customHeight="1" x14ac:dyDescent="0.2">
      <c r="A224" s="13" t="s">
        <v>7796</v>
      </c>
      <c r="B224" s="13" t="s">
        <v>7224</v>
      </c>
      <c r="C224" s="13">
        <v>1980</v>
      </c>
      <c r="D224" s="13" t="s">
        <v>15</v>
      </c>
      <c r="E224" s="13" t="s">
        <v>1270</v>
      </c>
      <c r="F224" s="13">
        <v>7.4539999999999997</v>
      </c>
      <c r="G224" s="13" t="s">
        <v>18</v>
      </c>
      <c r="H224" s="13" t="s">
        <v>7225</v>
      </c>
      <c r="I224" s="13" t="s">
        <v>7226</v>
      </c>
      <c r="J224" s="9" t="s">
        <v>7227</v>
      </c>
      <c r="K224" s="13">
        <v>668</v>
      </c>
    </row>
    <row r="225" spans="1:11" ht="15" customHeight="1" x14ac:dyDescent="0.2">
      <c r="A225" s="13" t="s">
        <v>7797</v>
      </c>
      <c r="B225" s="13" t="s">
        <v>7798</v>
      </c>
      <c r="C225" s="13">
        <v>1995</v>
      </c>
      <c r="D225" s="13" t="s">
        <v>15</v>
      </c>
      <c r="E225" s="13" t="s">
        <v>1270</v>
      </c>
      <c r="F225" s="13">
        <v>6.9</v>
      </c>
      <c r="G225" s="13" t="s">
        <v>18</v>
      </c>
      <c r="H225" s="13" t="s">
        <v>7799</v>
      </c>
      <c r="I225" s="13" t="s">
        <v>7800</v>
      </c>
      <c r="J225" s="9" t="s">
        <v>7801</v>
      </c>
      <c r="K225" s="13">
        <v>462</v>
      </c>
    </row>
    <row r="226" spans="1:11" ht="15" customHeight="1" x14ac:dyDescent="0.2">
      <c r="A226" s="13" t="s">
        <v>7802</v>
      </c>
      <c r="B226" s="13" t="s">
        <v>7803</v>
      </c>
      <c r="C226" s="13">
        <v>2014</v>
      </c>
      <c r="D226" s="13" t="s">
        <v>927</v>
      </c>
      <c r="E226" s="13" t="s">
        <v>1270</v>
      </c>
      <c r="F226" s="13">
        <v>5.3010000000000002</v>
      </c>
      <c r="G226" s="13" t="s">
        <v>28</v>
      </c>
      <c r="H226" s="13" t="s">
        <v>7804</v>
      </c>
      <c r="I226" s="13" t="s">
        <v>7805</v>
      </c>
      <c r="J226" s="9" t="s">
        <v>7806</v>
      </c>
      <c r="K226" s="13">
        <v>370</v>
      </c>
    </row>
    <row r="227" spans="1:11" ht="15" customHeight="1" x14ac:dyDescent="0.2">
      <c r="A227" s="13" t="s">
        <v>7807</v>
      </c>
      <c r="B227" s="13" t="s">
        <v>7808</v>
      </c>
      <c r="C227" s="13">
        <v>2024</v>
      </c>
      <c r="D227" s="13" t="s">
        <v>927</v>
      </c>
      <c r="E227" s="13" t="s">
        <v>1270</v>
      </c>
      <c r="F227" s="13">
        <v>5.5540000000000003</v>
      </c>
      <c r="G227" s="13" t="s">
        <v>46</v>
      </c>
      <c r="H227" s="13" t="s">
        <v>7809</v>
      </c>
      <c r="I227" s="13" t="s">
        <v>7810</v>
      </c>
      <c r="J227" s="9" t="s">
        <v>7811</v>
      </c>
      <c r="K227" s="13">
        <v>303</v>
      </c>
    </row>
    <row r="228" spans="1:11" ht="15" customHeight="1" x14ac:dyDescent="0.2">
      <c r="A228" s="13" t="s">
        <v>7812</v>
      </c>
      <c r="B228" s="13" t="s">
        <v>7813</v>
      </c>
      <c r="C228" s="13">
        <v>1980</v>
      </c>
      <c r="D228" s="13" t="s">
        <v>15</v>
      </c>
      <c r="E228" s="13" t="s">
        <v>1270</v>
      </c>
      <c r="F228" s="13">
        <v>4.7</v>
      </c>
      <c r="G228" s="13" t="s">
        <v>28</v>
      </c>
      <c r="H228" s="13" t="s">
        <v>7814</v>
      </c>
      <c r="I228" s="13" t="s">
        <v>7815</v>
      </c>
      <c r="J228" s="9" t="s">
        <v>7816</v>
      </c>
      <c r="K228" s="13">
        <v>36</v>
      </c>
    </row>
    <row r="229" spans="1:11" ht="15" customHeight="1" x14ac:dyDescent="0.2">
      <c r="A229" s="13" t="s">
        <v>7817</v>
      </c>
      <c r="B229" s="13" t="s">
        <v>7818</v>
      </c>
      <c r="C229" s="13">
        <v>2009</v>
      </c>
      <c r="D229" s="13" t="s">
        <v>15</v>
      </c>
      <c r="E229" s="13" t="s">
        <v>1270</v>
      </c>
      <c r="F229" s="13">
        <v>5.5</v>
      </c>
      <c r="G229" s="13" t="s">
        <v>46</v>
      </c>
      <c r="H229" s="13" t="s">
        <v>7819</v>
      </c>
      <c r="I229" s="13" t="s">
        <v>7820</v>
      </c>
      <c r="J229" s="9" t="s">
        <v>7821</v>
      </c>
      <c r="K229" s="13">
        <v>765</v>
      </c>
    </row>
    <row r="230" spans="1:11" ht="15" customHeight="1" x14ac:dyDescent="0.2">
      <c r="A230" s="13" t="s">
        <v>7822</v>
      </c>
      <c r="B230" s="13" t="s">
        <v>7823</v>
      </c>
      <c r="C230" s="13">
        <v>2003</v>
      </c>
      <c r="D230" s="13" t="s">
        <v>15</v>
      </c>
      <c r="E230" s="13" t="s">
        <v>1270</v>
      </c>
      <c r="F230" s="13">
        <v>6.6079999999999997</v>
      </c>
      <c r="G230" s="13" t="s">
        <v>18</v>
      </c>
      <c r="H230" s="13" t="s">
        <v>7824</v>
      </c>
      <c r="I230" s="13" t="s">
        <v>7825</v>
      </c>
      <c r="J230" s="9" t="s">
        <v>7826</v>
      </c>
      <c r="K230" s="13">
        <v>2007</v>
      </c>
    </row>
    <row r="231" spans="1:11" ht="15" customHeight="1" x14ac:dyDescent="0.2">
      <c r="A231" s="15" t="s">
        <v>7827</v>
      </c>
      <c r="B231" s="15" t="s">
        <v>7828</v>
      </c>
      <c r="C231" s="15">
        <v>2022</v>
      </c>
      <c r="D231" s="15" t="s">
        <v>15</v>
      </c>
      <c r="E231" s="15" t="s">
        <v>1270</v>
      </c>
      <c r="F231" s="15">
        <v>6.1</v>
      </c>
      <c r="G231" s="15" t="s">
        <v>46</v>
      </c>
      <c r="H231" s="15" t="s">
        <v>7829</v>
      </c>
      <c r="I231" s="15" t="s">
        <v>7830</v>
      </c>
      <c r="J231" s="10" t="s">
        <v>7831</v>
      </c>
      <c r="K231" s="15">
        <v>551</v>
      </c>
    </row>
    <row r="232" spans="1:11" ht="15" customHeight="1" x14ac:dyDescent="0.2">
      <c r="A232" s="13" t="s">
        <v>7832</v>
      </c>
      <c r="B232" s="13" t="s">
        <v>7833</v>
      </c>
      <c r="C232" s="13">
        <v>2023</v>
      </c>
      <c r="D232" s="13" t="s">
        <v>15</v>
      </c>
      <c r="E232" s="13" t="s">
        <v>1270</v>
      </c>
      <c r="F232" s="13">
        <v>6.47</v>
      </c>
      <c r="G232" s="13" t="s">
        <v>46</v>
      </c>
      <c r="H232" s="13" t="s">
        <v>7834</v>
      </c>
      <c r="I232" s="13" t="s">
        <v>7835</v>
      </c>
      <c r="J232" s="9" t="s">
        <v>7836</v>
      </c>
      <c r="K232" s="13">
        <v>1783</v>
      </c>
    </row>
    <row r="233" spans="1:11" ht="15" customHeight="1" x14ac:dyDescent="0.2">
      <c r="A233" s="13" t="s">
        <v>7837</v>
      </c>
      <c r="B233" s="13" t="s">
        <v>7837</v>
      </c>
      <c r="C233" s="13">
        <v>2024</v>
      </c>
      <c r="D233" s="13" t="s">
        <v>15</v>
      </c>
      <c r="E233" s="13" t="s">
        <v>1270</v>
      </c>
      <c r="F233" s="13">
        <v>6.2649999999999997</v>
      </c>
      <c r="G233" s="13" t="s">
        <v>46</v>
      </c>
      <c r="H233" s="13" t="s">
        <v>7838</v>
      </c>
      <c r="I233" s="13" t="s">
        <v>7839</v>
      </c>
      <c r="J233" s="9" t="s">
        <v>7840</v>
      </c>
      <c r="K233" s="13">
        <v>544</v>
      </c>
    </row>
    <row r="234" spans="1:11" ht="15" customHeight="1" x14ac:dyDescent="0.2">
      <c r="A234" s="13" t="s">
        <v>7841</v>
      </c>
      <c r="B234" s="13" t="s">
        <v>7842</v>
      </c>
      <c r="C234" s="13">
        <v>1998</v>
      </c>
      <c r="D234" s="13" t="s">
        <v>15</v>
      </c>
      <c r="E234" s="13" t="s">
        <v>1270</v>
      </c>
      <c r="F234" s="13">
        <v>6.9130000000000003</v>
      </c>
      <c r="G234" s="13" t="s">
        <v>18</v>
      </c>
      <c r="H234" s="13" t="s">
        <v>7843</v>
      </c>
      <c r="I234" s="13" t="s">
        <v>7844</v>
      </c>
      <c r="J234" s="9" t="s">
        <v>7845</v>
      </c>
      <c r="K234" s="13">
        <v>506</v>
      </c>
    </row>
    <row r="235" spans="1:11" ht="15" customHeight="1" x14ac:dyDescent="0.2">
      <c r="A235" s="13" t="s">
        <v>7846</v>
      </c>
      <c r="B235" s="13" t="s">
        <v>7842</v>
      </c>
      <c r="C235" s="13">
        <v>1998</v>
      </c>
      <c r="D235" s="13" t="s">
        <v>15</v>
      </c>
      <c r="E235" s="13" t="s">
        <v>1270</v>
      </c>
      <c r="F235" s="13">
        <v>6.9130000000000003</v>
      </c>
      <c r="G235" s="13" t="s">
        <v>18</v>
      </c>
      <c r="H235" s="13" t="s">
        <v>7843</v>
      </c>
      <c r="I235" s="13" t="s">
        <v>7844</v>
      </c>
      <c r="J235" s="9" t="s">
        <v>7845</v>
      </c>
      <c r="K235" s="13">
        <v>506</v>
      </c>
    </row>
    <row r="236" spans="1:11" ht="15" customHeight="1" x14ac:dyDescent="0.2">
      <c r="A236" s="13" t="s">
        <v>7847</v>
      </c>
      <c r="B236" s="13" t="s">
        <v>7848</v>
      </c>
      <c r="C236" s="13">
        <v>2010</v>
      </c>
      <c r="D236" s="13" t="s">
        <v>15</v>
      </c>
      <c r="E236" s="13" t="s">
        <v>1270</v>
      </c>
      <c r="F236" s="13">
        <v>6.1379999999999999</v>
      </c>
      <c r="G236" s="13" t="s">
        <v>46</v>
      </c>
      <c r="H236" s="13" t="s">
        <v>7849</v>
      </c>
      <c r="I236" s="13" t="s">
        <v>7850</v>
      </c>
      <c r="J236" s="9" t="s">
        <v>7851</v>
      </c>
      <c r="K236" s="13">
        <v>1453</v>
      </c>
    </row>
    <row r="237" spans="1:11" ht="15" customHeight="1" x14ac:dyDescent="0.2">
      <c r="A237" s="13" t="s">
        <v>7852</v>
      </c>
      <c r="B237" s="13" t="s">
        <v>7853</v>
      </c>
      <c r="C237" s="13">
        <v>2018</v>
      </c>
      <c r="D237" s="13" t="s">
        <v>15</v>
      </c>
      <c r="E237" s="13" t="s">
        <v>1270</v>
      </c>
      <c r="F237" s="13">
        <v>7.5049999999999999</v>
      </c>
      <c r="G237" s="13" t="s">
        <v>77</v>
      </c>
      <c r="H237" s="13" t="s">
        <v>7854</v>
      </c>
      <c r="I237" s="13" t="s">
        <v>7855</v>
      </c>
      <c r="J237" s="9" t="s">
        <v>7856</v>
      </c>
      <c r="K237" s="13">
        <v>3137</v>
      </c>
    </row>
    <row r="238" spans="1:11" ht="15" customHeight="1" x14ac:dyDescent="0.2">
      <c r="A238" s="13" t="s">
        <v>7857</v>
      </c>
      <c r="B238" s="13" t="s">
        <v>7857</v>
      </c>
      <c r="C238" s="13">
        <v>2002</v>
      </c>
      <c r="D238" s="13" t="s">
        <v>15</v>
      </c>
      <c r="E238" s="13" t="s">
        <v>1270</v>
      </c>
      <c r="F238" s="13">
        <v>10</v>
      </c>
      <c r="G238" s="13" t="s">
        <v>2037</v>
      </c>
      <c r="H238" s="13" t="s">
        <v>7858</v>
      </c>
      <c r="I238" s="13" t="s">
        <v>7859</v>
      </c>
      <c r="J238" s="9" t="s">
        <v>7860</v>
      </c>
      <c r="K238" s="13">
        <v>1</v>
      </c>
    </row>
    <row r="239" spans="1:11" ht="15" customHeight="1" x14ac:dyDescent="0.2">
      <c r="A239" s="13" t="s">
        <v>7861</v>
      </c>
      <c r="B239" s="13" t="s">
        <v>7862</v>
      </c>
      <c r="C239" s="13">
        <v>2004</v>
      </c>
      <c r="D239" s="13" t="s">
        <v>15</v>
      </c>
      <c r="E239" s="13" t="s">
        <v>1270</v>
      </c>
      <c r="F239" s="13">
        <v>6.7</v>
      </c>
      <c r="G239" s="13" t="s">
        <v>18</v>
      </c>
      <c r="H239" s="13" t="s">
        <v>7863</v>
      </c>
      <c r="I239" s="13" t="s">
        <v>7864</v>
      </c>
      <c r="J239" s="9" t="s">
        <v>7865</v>
      </c>
      <c r="K239" s="13">
        <v>3351</v>
      </c>
    </row>
    <row r="240" spans="1:11" ht="15" customHeight="1" x14ac:dyDescent="0.2">
      <c r="A240" s="13" t="s">
        <v>7866</v>
      </c>
      <c r="B240" s="13" t="s">
        <v>7867</v>
      </c>
      <c r="C240" s="13">
        <v>2023</v>
      </c>
      <c r="D240" s="13" t="s">
        <v>15</v>
      </c>
      <c r="E240" s="13" t="s">
        <v>1270</v>
      </c>
      <c r="F240" s="13">
        <v>6.9859999999999998</v>
      </c>
      <c r="G240" s="13" t="s">
        <v>18</v>
      </c>
      <c r="H240" s="13" t="s">
        <v>7868</v>
      </c>
      <c r="I240" s="13" t="s">
        <v>7869</v>
      </c>
      <c r="J240" s="9" t="s">
        <v>7870</v>
      </c>
      <c r="K240" s="13">
        <v>330</v>
      </c>
    </row>
    <row r="241" spans="1:11" ht="15" customHeight="1" x14ac:dyDescent="0.2">
      <c r="A241" s="15" t="s">
        <v>7871</v>
      </c>
      <c r="B241" s="15" t="s">
        <v>7872</v>
      </c>
      <c r="C241" s="15">
        <v>2021</v>
      </c>
      <c r="D241" s="15" t="s">
        <v>15</v>
      </c>
      <c r="E241" s="15" t="s">
        <v>1270</v>
      </c>
      <c r="F241" s="15">
        <v>6</v>
      </c>
      <c r="G241" s="15" t="s">
        <v>46</v>
      </c>
      <c r="H241" s="15" t="s">
        <v>7873</v>
      </c>
      <c r="I241" s="15" t="s">
        <v>7874</v>
      </c>
      <c r="J241" s="10" t="s">
        <v>7875</v>
      </c>
      <c r="K241" s="15">
        <v>62</v>
      </c>
    </row>
    <row r="242" spans="1:11" ht="15" customHeight="1" x14ac:dyDescent="0.2">
      <c r="A242" s="13" t="s">
        <v>7876</v>
      </c>
      <c r="B242" s="13" t="s">
        <v>7877</v>
      </c>
      <c r="C242" s="13">
        <v>2021</v>
      </c>
      <c r="D242" s="13" t="s">
        <v>15</v>
      </c>
      <c r="E242" s="13" t="s">
        <v>1270</v>
      </c>
      <c r="F242" s="13">
        <v>6.532</v>
      </c>
      <c r="G242" s="13" t="s">
        <v>18</v>
      </c>
      <c r="H242" s="13" t="s">
        <v>7878</v>
      </c>
      <c r="I242" s="13" t="s">
        <v>7879</v>
      </c>
      <c r="J242" s="9" t="s">
        <v>7880</v>
      </c>
      <c r="K242" s="13">
        <v>473</v>
      </c>
    </row>
    <row r="243" spans="1:11" ht="15" customHeight="1" x14ac:dyDescent="0.2">
      <c r="A243" s="13" t="s">
        <v>7881</v>
      </c>
      <c r="B243" s="13" t="s">
        <v>7881</v>
      </c>
      <c r="C243" s="13">
        <v>2023</v>
      </c>
      <c r="D243" s="13" t="s">
        <v>350</v>
      </c>
      <c r="E243" s="13" t="s">
        <v>1270</v>
      </c>
      <c r="F243" s="13">
        <v>6.617</v>
      </c>
      <c r="G243" s="13" t="s">
        <v>18</v>
      </c>
      <c r="H243" s="13" t="s">
        <v>7882</v>
      </c>
      <c r="I243" s="13" t="s">
        <v>7883</v>
      </c>
      <c r="J243" s="9" t="s">
        <v>7884</v>
      </c>
      <c r="K243" s="13">
        <v>47</v>
      </c>
    </row>
    <row r="244" spans="1:11" ht="15" customHeight="1" x14ac:dyDescent="0.2">
      <c r="A244" s="13" t="s">
        <v>7885</v>
      </c>
      <c r="B244" s="13" t="s">
        <v>7886</v>
      </c>
      <c r="C244" s="13">
        <v>2024</v>
      </c>
      <c r="D244" s="13" t="s">
        <v>191</v>
      </c>
      <c r="E244" s="13" t="s">
        <v>1270</v>
      </c>
      <c r="F244" s="13">
        <v>5.6</v>
      </c>
      <c r="G244" s="13" t="s">
        <v>46</v>
      </c>
      <c r="H244" s="13" t="s">
        <v>7887</v>
      </c>
      <c r="I244" s="13" t="s">
        <v>7888</v>
      </c>
      <c r="J244" s="9" t="s">
        <v>7889</v>
      </c>
      <c r="K244" s="13">
        <v>95</v>
      </c>
    </row>
    <row r="245" spans="1:11" ht="15" customHeight="1" x14ac:dyDescent="0.2">
      <c r="A245" s="13" t="s">
        <v>7890</v>
      </c>
      <c r="B245" s="13" t="s">
        <v>7891</v>
      </c>
      <c r="C245" s="13">
        <v>2022</v>
      </c>
      <c r="D245" s="13" t="s">
        <v>15</v>
      </c>
      <c r="E245" s="13" t="s">
        <v>566</v>
      </c>
      <c r="F245" s="13">
        <v>7.4809999999999999</v>
      </c>
      <c r="G245" s="13" t="s">
        <v>18</v>
      </c>
      <c r="H245" s="13" t="s">
        <v>7892</v>
      </c>
      <c r="I245" s="13" t="s">
        <v>7893</v>
      </c>
      <c r="J245" s="9" t="s">
        <v>7894</v>
      </c>
      <c r="K245" s="13">
        <v>346</v>
      </c>
    </row>
    <row r="246" spans="1:11" ht="15" customHeight="1" x14ac:dyDescent="0.2">
      <c r="A246" s="13" t="s">
        <v>7895</v>
      </c>
      <c r="B246" s="13" t="s">
        <v>7896</v>
      </c>
      <c r="C246" s="13">
        <v>2013</v>
      </c>
      <c r="D246" s="13" t="s">
        <v>350</v>
      </c>
      <c r="E246" s="13" t="s">
        <v>1270</v>
      </c>
      <c r="F246" s="13"/>
      <c r="G246" s="13"/>
      <c r="H246" s="13" t="s">
        <v>7897</v>
      </c>
      <c r="I246" s="13" t="s">
        <v>7898</v>
      </c>
      <c r="J246" s="9" t="s">
        <v>7899</v>
      </c>
      <c r="K246" s="13"/>
    </row>
    <row r="247" spans="1:11" ht="15" customHeight="1" x14ac:dyDescent="0.2">
      <c r="A247" s="13" t="s">
        <v>7900</v>
      </c>
      <c r="B247" s="13" t="s">
        <v>7900</v>
      </c>
      <c r="C247" s="13">
        <v>2018</v>
      </c>
      <c r="D247" s="13" t="s">
        <v>7901</v>
      </c>
      <c r="E247" s="13" t="s">
        <v>566</v>
      </c>
      <c r="F247" s="13">
        <v>6</v>
      </c>
      <c r="G247" s="13" t="s">
        <v>46</v>
      </c>
      <c r="H247" s="13" t="s">
        <v>7902</v>
      </c>
      <c r="I247" s="13" t="s">
        <v>7903</v>
      </c>
      <c r="J247" s="9"/>
      <c r="K247" s="13">
        <v>1</v>
      </c>
    </row>
    <row r="248" spans="1:11" ht="15" customHeight="1" x14ac:dyDescent="0.2">
      <c r="A248" s="13" t="s">
        <v>7904</v>
      </c>
      <c r="B248" s="13" t="s">
        <v>7905</v>
      </c>
      <c r="C248" s="13">
        <v>2014</v>
      </c>
      <c r="D248" s="13" t="s">
        <v>15</v>
      </c>
      <c r="E248" s="13" t="s">
        <v>566</v>
      </c>
      <c r="F248" s="13">
        <v>5.9939999999999998</v>
      </c>
      <c r="G248" s="13" t="s">
        <v>46</v>
      </c>
      <c r="H248" s="13" t="s">
        <v>7906</v>
      </c>
      <c r="I248" s="13" t="s">
        <v>7907</v>
      </c>
      <c r="J248" s="9" t="s">
        <v>7908</v>
      </c>
      <c r="K248" s="13">
        <v>320</v>
      </c>
    </row>
    <row r="249" spans="1:11" ht="15" customHeight="1" x14ac:dyDescent="0.2">
      <c r="A249" s="13" t="s">
        <v>7909</v>
      </c>
      <c r="B249" s="13" t="s">
        <v>7909</v>
      </c>
      <c r="C249" s="13">
        <v>2005</v>
      </c>
      <c r="D249" s="13" t="s">
        <v>350</v>
      </c>
      <c r="E249" s="13" t="s">
        <v>1270</v>
      </c>
      <c r="F249" s="13">
        <v>5.5</v>
      </c>
      <c r="G249" s="13" t="s">
        <v>46</v>
      </c>
      <c r="H249" s="13" t="s">
        <v>7910</v>
      </c>
      <c r="I249" s="13" t="s">
        <v>7911</v>
      </c>
      <c r="J249" s="9" t="s">
        <v>7912</v>
      </c>
      <c r="K249" s="13">
        <v>1</v>
      </c>
    </row>
    <row r="250" spans="1:11" ht="15" customHeight="1" x14ac:dyDescent="0.2">
      <c r="A250" s="13" t="s">
        <v>7913</v>
      </c>
      <c r="B250" s="13" t="s">
        <v>7913</v>
      </c>
      <c r="C250" s="13">
        <v>2012</v>
      </c>
      <c r="D250" s="13" t="s">
        <v>350</v>
      </c>
      <c r="E250" s="13" t="s">
        <v>1270</v>
      </c>
      <c r="F250" s="13">
        <v>0</v>
      </c>
      <c r="G250" s="13"/>
      <c r="H250" s="13" t="s">
        <v>7914</v>
      </c>
      <c r="I250" s="13" t="s">
        <v>7915</v>
      </c>
      <c r="J250" s="9" t="s">
        <v>7916</v>
      </c>
      <c r="K250" s="13">
        <v>0</v>
      </c>
    </row>
    <row r="251" spans="1:11" ht="15" customHeight="1" x14ac:dyDescent="0.2">
      <c r="A251" s="15" t="s">
        <v>7917</v>
      </c>
      <c r="B251" s="15" t="s">
        <v>7917</v>
      </c>
      <c r="C251" s="15">
        <v>2004</v>
      </c>
      <c r="D251" s="15" t="s">
        <v>350</v>
      </c>
      <c r="E251" s="15" t="s">
        <v>1270</v>
      </c>
      <c r="F251" s="15">
        <v>4.6669999999999998</v>
      </c>
      <c r="G251" s="15" t="s">
        <v>28</v>
      </c>
      <c r="H251" s="15" t="s">
        <v>7918</v>
      </c>
      <c r="I251" s="15" t="s">
        <v>7919</v>
      </c>
      <c r="J251" s="10" t="s">
        <v>7920</v>
      </c>
      <c r="K251" s="15">
        <v>3</v>
      </c>
    </row>
    <row r="252" spans="1:11" ht="15" customHeight="1" x14ac:dyDescent="0.2">
      <c r="A252" s="13" t="s">
        <v>7921</v>
      </c>
      <c r="B252" s="13" t="s">
        <v>7922</v>
      </c>
      <c r="C252" s="13">
        <v>1997</v>
      </c>
      <c r="D252" s="13" t="s">
        <v>15</v>
      </c>
      <c r="E252" s="13" t="s">
        <v>1013</v>
      </c>
      <c r="F252" s="13">
        <v>6.4589999999999996</v>
      </c>
      <c r="G252" s="13" t="s">
        <v>46</v>
      </c>
      <c r="H252" s="13" t="s">
        <v>7923</v>
      </c>
      <c r="I252" s="13" t="s">
        <v>7924</v>
      </c>
      <c r="J252" s="9" t="s">
        <v>7925</v>
      </c>
      <c r="K252" s="13">
        <v>97</v>
      </c>
    </row>
    <row r="253" spans="1:11" ht="15" customHeight="1" x14ac:dyDescent="0.2">
      <c r="A253" s="13" t="s">
        <v>7926</v>
      </c>
      <c r="B253" s="13" t="s">
        <v>7927</v>
      </c>
      <c r="C253" s="13">
        <v>2022</v>
      </c>
      <c r="D253" s="13" t="s">
        <v>15</v>
      </c>
      <c r="E253" s="13" t="s">
        <v>1270</v>
      </c>
      <c r="F253" s="13">
        <v>6.2610000000000001</v>
      </c>
      <c r="G253" s="13" t="s">
        <v>46</v>
      </c>
      <c r="H253" s="13" t="s">
        <v>7928</v>
      </c>
      <c r="I253" s="13" t="s">
        <v>7929</v>
      </c>
      <c r="J253" s="9" t="s">
        <v>7930</v>
      </c>
      <c r="K253" s="13">
        <v>1255</v>
      </c>
    </row>
    <row r="254" spans="1:11" ht="15" customHeight="1" x14ac:dyDescent="0.2">
      <c r="A254" s="13" t="s">
        <v>7931</v>
      </c>
      <c r="B254" s="13" t="s">
        <v>7932</v>
      </c>
      <c r="C254" s="13">
        <v>2007</v>
      </c>
      <c r="D254" s="13" t="s">
        <v>15</v>
      </c>
      <c r="E254" s="13" t="s">
        <v>1270</v>
      </c>
      <c r="F254" s="13">
        <v>5.8</v>
      </c>
      <c r="G254" s="13" t="s">
        <v>46</v>
      </c>
      <c r="H254" s="13" t="s">
        <v>7933</v>
      </c>
      <c r="I254" s="13" t="s">
        <v>7934</v>
      </c>
      <c r="J254" s="9" t="s">
        <v>7935</v>
      </c>
      <c r="K254" s="13">
        <v>662</v>
      </c>
    </row>
    <row r="255" spans="1:11" ht="15" customHeight="1" x14ac:dyDescent="0.2">
      <c r="A255" s="13" t="s">
        <v>7936</v>
      </c>
      <c r="B255" s="13" t="s">
        <v>7937</v>
      </c>
      <c r="C255" s="13"/>
      <c r="D255" s="13" t="s">
        <v>15</v>
      </c>
      <c r="E255" s="13" t="s">
        <v>7938</v>
      </c>
      <c r="F255" s="13">
        <v>6.3659999999999997</v>
      </c>
      <c r="G255" s="13" t="s">
        <v>46</v>
      </c>
      <c r="H255" s="13">
        <v>6279</v>
      </c>
      <c r="I255" s="13" t="s">
        <v>7939</v>
      </c>
      <c r="J255" s="9" t="s">
        <v>7940</v>
      </c>
      <c r="K255" s="13">
        <v>1887</v>
      </c>
    </row>
    <row r="256" spans="1:11" ht="15" customHeight="1" x14ac:dyDescent="0.2">
      <c r="A256" s="13" t="s">
        <v>7941</v>
      </c>
      <c r="B256" s="13" t="s">
        <v>7942</v>
      </c>
      <c r="C256" s="13">
        <v>1986</v>
      </c>
      <c r="D256" s="13" t="s">
        <v>15</v>
      </c>
      <c r="E256" s="13" t="s">
        <v>1961</v>
      </c>
      <c r="F256" s="13">
        <v>6</v>
      </c>
      <c r="G256" s="13" t="s">
        <v>46</v>
      </c>
      <c r="H256" s="13">
        <v>13818</v>
      </c>
      <c r="I256" s="13" t="s">
        <v>7943</v>
      </c>
      <c r="J256" s="9" t="s">
        <v>7944</v>
      </c>
      <c r="K256" s="13">
        <v>205</v>
      </c>
    </row>
    <row r="257" spans="1:11" ht="15" customHeight="1" x14ac:dyDescent="0.2">
      <c r="A257" s="13" t="s">
        <v>7945</v>
      </c>
      <c r="B257" s="13" t="s">
        <v>7946</v>
      </c>
      <c r="C257" s="13">
        <v>2022</v>
      </c>
      <c r="D257" s="13" t="s">
        <v>15</v>
      </c>
      <c r="E257" s="13" t="s">
        <v>1270</v>
      </c>
      <c r="F257" s="13">
        <v>7.0030000000000001</v>
      </c>
      <c r="G257" s="13" t="s">
        <v>18</v>
      </c>
      <c r="H257" s="13" t="s">
        <v>7947</v>
      </c>
      <c r="I257" s="13" t="s">
        <v>7948</v>
      </c>
      <c r="J257" s="9" t="s">
        <v>7949</v>
      </c>
      <c r="K257" s="13">
        <v>162</v>
      </c>
    </row>
    <row r="258" spans="1:11" ht="15" customHeight="1" x14ac:dyDescent="0.2">
      <c r="A258" s="13" t="s">
        <v>7950</v>
      </c>
      <c r="B258" s="13" t="s">
        <v>7950</v>
      </c>
      <c r="C258" s="13">
        <v>1987</v>
      </c>
      <c r="D258" s="13" t="s">
        <v>15</v>
      </c>
      <c r="E258" s="13" t="s">
        <v>1270</v>
      </c>
      <c r="F258" s="13">
        <v>6.3529999999999998</v>
      </c>
      <c r="G258" s="13" t="s">
        <v>46</v>
      </c>
      <c r="H258" s="13" t="s">
        <v>7951</v>
      </c>
      <c r="I258" s="13" t="s">
        <v>7952</v>
      </c>
      <c r="J258" s="9" t="s">
        <v>7953</v>
      </c>
      <c r="K258" s="13">
        <v>268</v>
      </c>
    </row>
    <row r="259" spans="1:11" ht="15" customHeight="1" x14ac:dyDescent="0.2">
      <c r="A259" s="13" t="s">
        <v>7954</v>
      </c>
      <c r="B259" s="13" t="s">
        <v>7954</v>
      </c>
      <c r="C259" s="13">
        <v>2015</v>
      </c>
      <c r="D259" s="13" t="s">
        <v>350</v>
      </c>
      <c r="E259" s="13" t="s">
        <v>1270</v>
      </c>
      <c r="F259" s="13">
        <v>5.4</v>
      </c>
      <c r="G259" s="13" t="s">
        <v>28</v>
      </c>
      <c r="H259" s="13" t="s">
        <v>7955</v>
      </c>
      <c r="I259" s="13" t="s">
        <v>7956</v>
      </c>
      <c r="J259" s="9" t="s">
        <v>7957</v>
      </c>
      <c r="K259" s="13">
        <v>8</v>
      </c>
    </row>
    <row r="260" spans="1:11" ht="15" customHeight="1" x14ac:dyDescent="0.2">
      <c r="A260" s="13" t="s">
        <v>7958</v>
      </c>
      <c r="B260" s="13" t="s">
        <v>7959</v>
      </c>
      <c r="C260" s="13">
        <v>2007</v>
      </c>
      <c r="D260" s="13" t="s">
        <v>15</v>
      </c>
      <c r="E260" s="13" t="s">
        <v>1270</v>
      </c>
      <c r="F260" s="13">
        <v>6.48</v>
      </c>
      <c r="G260" s="13" t="s">
        <v>46</v>
      </c>
      <c r="H260" s="13" t="s">
        <v>7960</v>
      </c>
      <c r="I260" s="13" t="s">
        <v>7961</v>
      </c>
      <c r="J260" s="9" t="s">
        <v>7962</v>
      </c>
      <c r="K260" s="13">
        <v>1081</v>
      </c>
    </row>
    <row r="261" spans="1:11" ht="15" customHeight="1" x14ac:dyDescent="0.2">
      <c r="A261" s="15" t="s">
        <v>7963</v>
      </c>
      <c r="B261" s="15" t="s">
        <v>7964</v>
      </c>
      <c r="C261" s="15">
        <v>1989</v>
      </c>
      <c r="D261" s="15" t="s">
        <v>15</v>
      </c>
      <c r="E261" s="15" t="s">
        <v>1270</v>
      </c>
      <c r="F261" s="15">
        <v>6.4720000000000004</v>
      </c>
      <c r="G261" s="15" t="s">
        <v>46</v>
      </c>
      <c r="H261" s="15" t="s">
        <v>7965</v>
      </c>
      <c r="I261" s="15" t="s">
        <v>7966</v>
      </c>
      <c r="J261" s="10" t="s">
        <v>7967</v>
      </c>
      <c r="K261" s="15">
        <v>2051</v>
      </c>
    </row>
    <row r="262" spans="1:11" ht="15" customHeight="1" x14ac:dyDescent="0.2">
      <c r="A262" s="13" t="s">
        <v>7968</v>
      </c>
      <c r="B262" s="13" t="s">
        <v>7969</v>
      </c>
      <c r="C262" s="13">
        <v>2018</v>
      </c>
      <c r="D262" s="13" t="s">
        <v>15</v>
      </c>
      <c r="E262" s="13" t="s">
        <v>1196</v>
      </c>
      <c r="F262" s="13">
        <v>6.8</v>
      </c>
      <c r="G262" s="13" t="s">
        <v>18</v>
      </c>
      <c r="H262" s="13">
        <v>513648</v>
      </c>
      <c r="I262" s="13" t="s">
        <v>7970</v>
      </c>
      <c r="J262" s="9" t="s">
        <v>7971</v>
      </c>
      <c r="K262" s="13">
        <v>57</v>
      </c>
    </row>
    <row r="263" spans="1:11" ht="15" customHeight="1" x14ac:dyDescent="0.2">
      <c r="A263" s="13" t="s">
        <v>7972</v>
      </c>
      <c r="B263" s="13" t="s">
        <v>7972</v>
      </c>
      <c r="C263" s="13">
        <v>1985</v>
      </c>
      <c r="D263" s="13" t="s">
        <v>15</v>
      </c>
      <c r="E263" s="13" t="s">
        <v>1270</v>
      </c>
      <c r="F263" s="13">
        <v>7.7270000000000003</v>
      </c>
      <c r="G263" s="13" t="s">
        <v>77</v>
      </c>
      <c r="H263" s="13" t="s">
        <v>7973</v>
      </c>
      <c r="I263" s="13" t="s">
        <v>7974</v>
      </c>
      <c r="J263" s="9" t="s">
        <v>7975</v>
      </c>
      <c r="K263" s="13">
        <v>8332</v>
      </c>
    </row>
    <row r="264" spans="1:11" ht="15" customHeight="1" x14ac:dyDescent="0.2">
      <c r="A264" s="13" t="s">
        <v>7976</v>
      </c>
      <c r="B264" s="13" t="s">
        <v>7976</v>
      </c>
      <c r="C264" s="13">
        <v>2023</v>
      </c>
      <c r="D264" s="13" t="s">
        <v>15</v>
      </c>
      <c r="E264" s="13" t="s">
        <v>1270</v>
      </c>
      <c r="F264" s="13">
        <v>7.2439999999999998</v>
      </c>
      <c r="G264" s="13" t="s">
        <v>18</v>
      </c>
      <c r="H264" s="13" t="s">
        <v>7977</v>
      </c>
      <c r="I264" s="13" t="s">
        <v>7978</v>
      </c>
      <c r="J264" s="9" t="s">
        <v>7979</v>
      </c>
      <c r="K264" s="13">
        <v>1724</v>
      </c>
    </row>
    <row r="265" spans="1:11" ht="15" customHeight="1" x14ac:dyDescent="0.2">
      <c r="A265" s="13" t="s">
        <v>7980</v>
      </c>
      <c r="B265" s="13" t="s">
        <v>7980</v>
      </c>
      <c r="C265" s="13">
        <v>2021</v>
      </c>
      <c r="D265" s="13" t="s">
        <v>15</v>
      </c>
      <c r="E265" s="13" t="s">
        <v>1270</v>
      </c>
      <c r="F265" s="13">
        <v>7</v>
      </c>
      <c r="G265" s="13" t="s">
        <v>18</v>
      </c>
      <c r="H265" s="13" t="s">
        <v>7981</v>
      </c>
      <c r="I265" s="13" t="s">
        <v>7982</v>
      </c>
      <c r="J265" s="9" t="s">
        <v>7983</v>
      </c>
      <c r="K265" s="13">
        <v>2829</v>
      </c>
    </row>
    <row r="266" spans="1:11" ht="15" customHeight="1" x14ac:dyDescent="0.2">
      <c r="A266" s="13" t="s">
        <v>7984</v>
      </c>
      <c r="B266" s="13" t="s">
        <v>7985</v>
      </c>
      <c r="C266" s="13">
        <v>2017</v>
      </c>
      <c r="D266" s="13" t="s">
        <v>7986</v>
      </c>
      <c r="E266" s="13" t="s">
        <v>1270</v>
      </c>
      <c r="F266" s="13">
        <v>6.8929999999999998</v>
      </c>
      <c r="G266" s="13" t="s">
        <v>18</v>
      </c>
      <c r="H266" s="13" t="s">
        <v>7987</v>
      </c>
      <c r="I266" s="13" t="s">
        <v>7988</v>
      </c>
      <c r="J266" s="9" t="s">
        <v>7989</v>
      </c>
      <c r="K266" s="13">
        <v>6482</v>
      </c>
    </row>
    <row r="267" spans="1:11" ht="15" customHeight="1" x14ac:dyDescent="0.2">
      <c r="A267" s="13" t="s">
        <v>7990</v>
      </c>
      <c r="B267" s="13" t="s">
        <v>7990</v>
      </c>
      <c r="C267" s="13">
        <v>2023</v>
      </c>
      <c r="D267" s="13" t="s">
        <v>15</v>
      </c>
      <c r="E267" s="13" t="s">
        <v>1270</v>
      </c>
      <c r="F267" s="13">
        <v>7.6589999999999998</v>
      </c>
      <c r="G267" s="13" t="s">
        <v>77</v>
      </c>
      <c r="H267" s="13" t="s">
        <v>7991</v>
      </c>
      <c r="I267" s="13" t="s">
        <v>7992</v>
      </c>
      <c r="J267" s="9" t="s">
        <v>7993</v>
      </c>
      <c r="K267" s="13">
        <v>2246</v>
      </c>
    </row>
    <row r="268" spans="1:11" ht="15" customHeight="1" x14ac:dyDescent="0.2">
      <c r="A268" s="13" t="s">
        <v>7994</v>
      </c>
      <c r="B268" s="13" t="s">
        <v>7994</v>
      </c>
      <c r="C268" s="13">
        <v>2024</v>
      </c>
      <c r="D268" s="13" t="s">
        <v>15</v>
      </c>
      <c r="E268" s="13" t="s">
        <v>1270</v>
      </c>
      <c r="F268" s="13">
        <v>6.1879999999999997</v>
      </c>
      <c r="G268" s="13" t="s">
        <v>46</v>
      </c>
      <c r="H268" s="13" t="s">
        <v>7995</v>
      </c>
      <c r="I268" s="13" t="s">
        <v>7996</v>
      </c>
      <c r="J268" s="9" t="s">
        <v>7997</v>
      </c>
      <c r="K268" s="13">
        <v>544</v>
      </c>
    </row>
    <row r="269" spans="1:11" ht="15" customHeight="1" x14ac:dyDescent="0.2">
      <c r="A269" s="13" t="s">
        <v>7998</v>
      </c>
      <c r="B269" s="13" t="s">
        <v>7998</v>
      </c>
      <c r="C269" s="13">
        <v>2020</v>
      </c>
      <c r="D269" s="13" t="s">
        <v>15</v>
      </c>
      <c r="E269" s="13" t="s">
        <v>7999</v>
      </c>
      <c r="F269" s="13">
        <v>6.6219999999999999</v>
      </c>
      <c r="G269" s="13" t="s">
        <v>18</v>
      </c>
      <c r="H269" s="13" t="s">
        <v>8000</v>
      </c>
      <c r="I269" s="13" t="s">
        <v>8001</v>
      </c>
      <c r="J269" s="9" t="s">
        <v>8002</v>
      </c>
      <c r="K269" s="13">
        <v>451</v>
      </c>
    </row>
    <row r="270" spans="1:11" ht="15" customHeight="1" x14ac:dyDescent="0.2">
      <c r="A270" s="13" t="s">
        <v>8003</v>
      </c>
      <c r="B270" s="13" t="s">
        <v>8004</v>
      </c>
      <c r="C270" s="13">
        <v>2021</v>
      </c>
      <c r="D270" s="13" t="s">
        <v>15</v>
      </c>
      <c r="E270" s="13" t="s">
        <v>1270</v>
      </c>
      <c r="F270" s="13">
        <v>6.7</v>
      </c>
      <c r="G270" s="13" t="s">
        <v>18</v>
      </c>
      <c r="H270" s="13" t="s">
        <v>8005</v>
      </c>
      <c r="I270" s="13" t="s">
        <v>8006</v>
      </c>
      <c r="J270" s="9" t="s">
        <v>8007</v>
      </c>
      <c r="K270" s="13">
        <v>4878</v>
      </c>
    </row>
    <row r="271" spans="1:11" ht="15" customHeight="1" x14ac:dyDescent="0.2">
      <c r="A271" s="15" t="s">
        <v>8008</v>
      </c>
      <c r="B271" s="15" t="s">
        <v>8009</v>
      </c>
      <c r="C271" s="15">
        <v>2019</v>
      </c>
      <c r="D271" s="15" t="s">
        <v>15</v>
      </c>
      <c r="E271" s="15" t="s">
        <v>8010</v>
      </c>
      <c r="F271" s="15">
        <v>6.1</v>
      </c>
      <c r="G271" s="15" t="s">
        <v>46</v>
      </c>
      <c r="H271" s="15">
        <v>487680</v>
      </c>
      <c r="I271" s="15" t="s">
        <v>8011</v>
      </c>
      <c r="J271" s="10" t="s">
        <v>8012</v>
      </c>
      <c r="K271" s="15">
        <v>712</v>
      </c>
    </row>
    <row r="272" spans="1:11" ht="15" customHeight="1" x14ac:dyDescent="0.2">
      <c r="A272" s="13" t="s">
        <v>8013</v>
      </c>
      <c r="B272" s="13" t="s">
        <v>8013</v>
      </c>
      <c r="C272" s="13">
        <v>2023</v>
      </c>
      <c r="D272" s="13" t="s">
        <v>15</v>
      </c>
      <c r="E272" s="13" t="s">
        <v>1270</v>
      </c>
      <c r="F272" s="13">
        <v>5.9930000000000003</v>
      </c>
      <c r="G272" s="13" t="s">
        <v>46</v>
      </c>
      <c r="H272" s="13" t="s">
        <v>8014</v>
      </c>
      <c r="I272" s="13" t="s">
        <v>8015</v>
      </c>
      <c r="J272" s="9" t="s">
        <v>8016</v>
      </c>
      <c r="K272" s="13">
        <v>765</v>
      </c>
    </row>
    <row r="273" spans="1:11" ht="15" customHeight="1" x14ac:dyDescent="0.2">
      <c r="A273" s="13" t="s">
        <v>8017</v>
      </c>
      <c r="B273" s="13" t="s">
        <v>8017</v>
      </c>
      <c r="C273" s="13">
        <v>2020</v>
      </c>
      <c r="D273" s="13" t="s">
        <v>15</v>
      </c>
      <c r="E273" s="13" t="s">
        <v>1270</v>
      </c>
      <c r="F273" s="13">
        <v>6.8</v>
      </c>
      <c r="G273" s="13" t="s">
        <v>18</v>
      </c>
      <c r="H273" s="13" t="s">
        <v>8018</v>
      </c>
      <c r="I273" s="13" t="s">
        <v>8019</v>
      </c>
      <c r="J273" s="9" t="s">
        <v>8020</v>
      </c>
      <c r="K273" s="13">
        <v>117</v>
      </c>
    </row>
    <row r="274" spans="1:11" ht="15" customHeight="1" x14ac:dyDescent="0.2">
      <c r="A274" s="13" t="s">
        <v>8021</v>
      </c>
      <c r="B274" s="13" t="s">
        <v>8022</v>
      </c>
      <c r="C274" s="13">
        <v>2020</v>
      </c>
      <c r="D274" s="13" t="s">
        <v>15</v>
      </c>
      <c r="E274" s="13" t="s">
        <v>1270</v>
      </c>
      <c r="F274" s="13">
        <v>4.9189999999999996</v>
      </c>
      <c r="G274" s="13" t="s">
        <v>28</v>
      </c>
      <c r="H274" s="13" t="s">
        <v>8023</v>
      </c>
      <c r="I274" s="13" t="s">
        <v>8024</v>
      </c>
      <c r="J274" s="9" t="s">
        <v>8025</v>
      </c>
      <c r="K274" s="13">
        <v>43</v>
      </c>
    </row>
    <row r="275" spans="1:11" ht="15" customHeight="1" x14ac:dyDescent="0.2">
      <c r="A275" s="13" t="s">
        <v>8026</v>
      </c>
      <c r="B275" s="13"/>
      <c r="C275" s="13"/>
      <c r="D275" s="13" t="s">
        <v>15</v>
      </c>
      <c r="E275" s="13" t="s">
        <v>1270</v>
      </c>
      <c r="F275" s="13"/>
      <c r="G275" s="13"/>
      <c r="H275" s="13"/>
      <c r="I275" s="13"/>
      <c r="J275" s="9"/>
      <c r="K275" s="13"/>
    </row>
    <row r="276" spans="1:11" ht="15" customHeight="1" x14ac:dyDescent="0.2">
      <c r="A276" s="13" t="s">
        <v>8027</v>
      </c>
      <c r="B276" s="13" t="s">
        <v>8027</v>
      </c>
      <c r="C276" s="13">
        <v>2021</v>
      </c>
      <c r="D276" s="13" t="s">
        <v>15</v>
      </c>
      <c r="E276" s="13" t="s">
        <v>1270</v>
      </c>
      <c r="F276" s="13">
        <v>3.7</v>
      </c>
      <c r="G276" s="13" t="s">
        <v>86</v>
      </c>
      <c r="H276" s="13" t="s">
        <v>8028</v>
      </c>
      <c r="I276" s="13" t="s">
        <v>8029</v>
      </c>
      <c r="J276" s="9"/>
      <c r="K276" s="13">
        <v>3</v>
      </c>
    </row>
    <row r="277" spans="1:11" ht="15" customHeight="1" x14ac:dyDescent="0.2">
      <c r="A277" s="13" t="s">
        <v>8030</v>
      </c>
      <c r="B277" s="13" t="s">
        <v>8031</v>
      </c>
      <c r="C277" s="13">
        <v>1995</v>
      </c>
      <c r="D277" s="13" t="s">
        <v>15</v>
      </c>
      <c r="E277" s="13" t="s">
        <v>1270</v>
      </c>
      <c r="F277" s="13">
        <v>7.3680000000000003</v>
      </c>
      <c r="G277" s="13" t="s">
        <v>18</v>
      </c>
      <c r="H277" s="13" t="s">
        <v>8032</v>
      </c>
      <c r="I277" s="13" t="s">
        <v>8033</v>
      </c>
      <c r="J277" s="9" t="s">
        <v>8034</v>
      </c>
      <c r="K277" s="13">
        <v>729</v>
      </c>
    </row>
    <row r="278" spans="1:11" ht="15" customHeight="1" x14ac:dyDescent="0.2">
      <c r="A278" s="13" t="s">
        <v>8035</v>
      </c>
      <c r="B278" s="13" t="s">
        <v>8035</v>
      </c>
      <c r="C278" s="13">
        <v>2017</v>
      </c>
      <c r="D278" s="13" t="s">
        <v>209</v>
      </c>
      <c r="E278" s="13" t="s">
        <v>1270</v>
      </c>
      <c r="F278" s="13">
        <v>7.1050000000000004</v>
      </c>
      <c r="G278" s="13" t="s">
        <v>18</v>
      </c>
      <c r="H278" s="13" t="s">
        <v>8036</v>
      </c>
      <c r="I278" s="13" t="s">
        <v>8037</v>
      </c>
      <c r="J278" s="9" t="s">
        <v>8038</v>
      </c>
      <c r="K278" s="13">
        <v>1246</v>
      </c>
    </row>
    <row r="279" spans="1:11" ht="15" customHeight="1" x14ac:dyDescent="0.2">
      <c r="A279" s="13" t="s">
        <v>8039</v>
      </c>
      <c r="B279" s="13" t="s">
        <v>8040</v>
      </c>
      <c r="C279" s="13">
        <v>2023</v>
      </c>
      <c r="D279" s="13" t="s">
        <v>15</v>
      </c>
      <c r="E279" s="13" t="s">
        <v>1270</v>
      </c>
      <c r="F279" s="13">
        <v>6.8070000000000004</v>
      </c>
      <c r="G279" s="13" t="s">
        <v>18</v>
      </c>
      <c r="H279" s="13" t="s">
        <v>8041</v>
      </c>
      <c r="I279" s="13" t="s">
        <v>8042</v>
      </c>
      <c r="J279" s="9" t="s">
        <v>8043</v>
      </c>
      <c r="K279" s="13">
        <v>1028</v>
      </c>
    </row>
    <row r="280" spans="1:11" ht="15" customHeight="1" x14ac:dyDescent="0.2">
      <c r="A280" s="13" t="s">
        <v>8044</v>
      </c>
      <c r="B280" s="13" t="s">
        <v>8044</v>
      </c>
      <c r="C280" s="13">
        <v>2022</v>
      </c>
      <c r="D280" s="13" t="s">
        <v>15</v>
      </c>
      <c r="E280" s="13" t="s">
        <v>1270</v>
      </c>
      <c r="F280" s="13">
        <v>7.0229999999999997</v>
      </c>
      <c r="G280" s="13" t="s">
        <v>18</v>
      </c>
      <c r="H280" s="13" t="s">
        <v>8045</v>
      </c>
      <c r="I280" s="13" t="s">
        <v>8046</v>
      </c>
      <c r="J280" s="9" t="s">
        <v>8047</v>
      </c>
      <c r="K280" s="13">
        <v>2653</v>
      </c>
    </row>
    <row r="281" spans="1:11" ht="15" customHeight="1" x14ac:dyDescent="0.2">
      <c r="A281" s="15" t="s">
        <v>8048</v>
      </c>
      <c r="B281" s="15" t="s">
        <v>8048</v>
      </c>
      <c r="C281" s="15">
        <v>1918</v>
      </c>
      <c r="D281" s="15" t="s">
        <v>15</v>
      </c>
      <c r="E281" s="15" t="s">
        <v>1270</v>
      </c>
      <c r="F281" s="15">
        <v>4.8</v>
      </c>
      <c r="G281" s="15" t="s">
        <v>28</v>
      </c>
      <c r="H281" s="15" t="s">
        <v>8049</v>
      </c>
      <c r="I281" s="15" t="s">
        <v>8050</v>
      </c>
      <c r="J281" s="10" t="s">
        <v>8051</v>
      </c>
      <c r="K281" s="15">
        <v>45</v>
      </c>
    </row>
    <row r="282" spans="1:11" ht="15" customHeight="1" x14ac:dyDescent="0.2">
      <c r="A282" s="13" t="s">
        <v>8052</v>
      </c>
      <c r="B282" s="13" t="s">
        <v>8052</v>
      </c>
      <c r="C282" s="13">
        <v>2023</v>
      </c>
      <c r="D282" s="13" t="s">
        <v>15</v>
      </c>
      <c r="E282" s="13" t="s">
        <v>1270</v>
      </c>
      <c r="F282" s="13">
        <v>10</v>
      </c>
      <c r="G282" s="13" t="s">
        <v>18</v>
      </c>
      <c r="H282" s="13" t="s">
        <v>8053</v>
      </c>
      <c r="I282" s="13" t="s">
        <v>8054</v>
      </c>
      <c r="J282" s="9" t="s">
        <v>8055</v>
      </c>
      <c r="K282" s="13">
        <v>1</v>
      </c>
    </row>
    <row r="283" spans="1:11" ht="15" customHeight="1" x14ac:dyDescent="0.2">
      <c r="A283" s="13" t="s">
        <v>8056</v>
      </c>
      <c r="B283" s="13" t="s">
        <v>8057</v>
      </c>
      <c r="C283" s="13">
        <v>2023</v>
      </c>
      <c r="D283" s="13" t="s">
        <v>15</v>
      </c>
      <c r="E283" s="13" t="s">
        <v>1270</v>
      </c>
      <c r="F283" s="13">
        <v>6.1</v>
      </c>
      <c r="G283" s="13" t="s">
        <v>46</v>
      </c>
      <c r="H283" s="13" t="s">
        <v>8058</v>
      </c>
      <c r="I283" s="13" t="s">
        <v>8059</v>
      </c>
      <c r="J283" s="9" t="s">
        <v>8060</v>
      </c>
      <c r="K283" s="13">
        <v>382</v>
      </c>
    </row>
    <row r="284" spans="1:11" ht="15" customHeight="1" x14ac:dyDescent="0.2">
      <c r="A284" s="13" t="s">
        <v>8061</v>
      </c>
      <c r="B284" s="13" t="s">
        <v>1436</v>
      </c>
      <c r="C284" s="13">
        <v>1993</v>
      </c>
      <c r="D284" s="13" t="s">
        <v>15</v>
      </c>
      <c r="E284" s="13" t="s">
        <v>1270</v>
      </c>
      <c r="F284" s="13">
        <v>6.0540000000000003</v>
      </c>
      <c r="G284" s="13" t="s">
        <v>46</v>
      </c>
      <c r="H284" s="13" t="s">
        <v>1437</v>
      </c>
      <c r="I284" s="13" t="s">
        <v>1438</v>
      </c>
      <c r="J284" s="9" t="s">
        <v>1439</v>
      </c>
      <c r="K284" s="13">
        <v>166</v>
      </c>
    </row>
    <row r="285" spans="1:11" ht="15" customHeight="1" x14ac:dyDescent="0.2">
      <c r="A285" s="13" t="s">
        <v>8062</v>
      </c>
      <c r="B285" s="13" t="s">
        <v>8062</v>
      </c>
      <c r="C285" s="13">
        <v>2017</v>
      </c>
      <c r="D285" s="13" t="s">
        <v>3111</v>
      </c>
      <c r="E285" s="13" t="s">
        <v>1270</v>
      </c>
      <c r="F285" s="13">
        <v>5.6219999999999999</v>
      </c>
      <c r="G285" s="13" t="s">
        <v>46</v>
      </c>
      <c r="H285" s="13" t="s">
        <v>8063</v>
      </c>
      <c r="I285" s="13" t="s">
        <v>8064</v>
      </c>
      <c r="J285" s="9" t="s">
        <v>8065</v>
      </c>
      <c r="K285" s="13">
        <v>74</v>
      </c>
    </row>
    <row r="286" spans="1:11" ht="15" customHeight="1" x14ac:dyDescent="0.2">
      <c r="A286" s="13" t="s">
        <v>8066</v>
      </c>
      <c r="B286" s="13" t="s">
        <v>8067</v>
      </c>
      <c r="C286" s="13">
        <v>2016</v>
      </c>
      <c r="D286" s="13" t="s">
        <v>3641</v>
      </c>
      <c r="E286" s="13" t="s">
        <v>1270</v>
      </c>
      <c r="F286" s="13">
        <v>6.7389999999999999</v>
      </c>
      <c r="G286" s="13" t="s">
        <v>18</v>
      </c>
      <c r="H286" s="13" t="s">
        <v>8068</v>
      </c>
      <c r="I286" s="13" t="s">
        <v>8069</v>
      </c>
      <c r="J286" s="9" t="s">
        <v>8070</v>
      </c>
      <c r="K286" s="13">
        <v>345</v>
      </c>
    </row>
    <row r="287" spans="1:11" ht="15" customHeight="1" x14ac:dyDescent="0.2">
      <c r="A287" s="13" t="s">
        <v>8071</v>
      </c>
      <c r="B287" s="13" t="s">
        <v>8072</v>
      </c>
      <c r="C287" s="13">
        <v>2014</v>
      </c>
      <c r="D287" s="13" t="s">
        <v>15</v>
      </c>
      <c r="E287" s="13" t="s">
        <v>1270</v>
      </c>
      <c r="F287" s="13">
        <v>6.8929999999999998</v>
      </c>
      <c r="G287" s="13" t="s">
        <v>18</v>
      </c>
      <c r="H287" s="13" t="s">
        <v>8073</v>
      </c>
      <c r="I287" s="13" t="s">
        <v>8074</v>
      </c>
      <c r="J287" s="9" t="s">
        <v>8075</v>
      </c>
      <c r="K287" s="13">
        <v>3708</v>
      </c>
    </row>
    <row r="288" spans="1:11" ht="15" customHeight="1" x14ac:dyDescent="0.2">
      <c r="A288" s="13" t="s">
        <v>8076</v>
      </c>
      <c r="B288" s="13" t="s">
        <v>8077</v>
      </c>
      <c r="C288" s="13"/>
      <c r="D288" s="13" t="s">
        <v>15</v>
      </c>
      <c r="E288" s="13" t="s">
        <v>1270</v>
      </c>
      <c r="F288" s="13">
        <v>5</v>
      </c>
      <c r="G288" s="13" t="s">
        <v>28</v>
      </c>
      <c r="H288" s="13">
        <v>23706</v>
      </c>
      <c r="I288" s="13" t="s">
        <v>8078</v>
      </c>
      <c r="J288" s="9" t="s">
        <v>8079</v>
      </c>
      <c r="K288" s="13">
        <v>1029</v>
      </c>
    </row>
    <row r="289" spans="1:11" ht="15" customHeight="1" x14ac:dyDescent="0.2">
      <c r="A289" s="13" t="s">
        <v>8080</v>
      </c>
      <c r="B289" s="13" t="s">
        <v>8081</v>
      </c>
      <c r="C289" s="13"/>
      <c r="D289" s="13" t="s">
        <v>15</v>
      </c>
      <c r="E289" s="13" t="s">
        <v>1270</v>
      </c>
      <c r="F289" s="13">
        <v>6.0540000000000003</v>
      </c>
      <c r="G289" s="13" t="s">
        <v>46</v>
      </c>
      <c r="H289" s="13">
        <v>9279</v>
      </c>
      <c r="I289" s="13" t="s">
        <v>8082</v>
      </c>
      <c r="J289" s="9" t="s">
        <v>8083</v>
      </c>
      <c r="K289" s="13">
        <v>2828</v>
      </c>
    </row>
    <row r="290" spans="1:11" ht="15" customHeight="1" x14ac:dyDescent="0.2">
      <c r="A290" s="13" t="s">
        <v>8084</v>
      </c>
      <c r="B290" s="13" t="s">
        <v>7638</v>
      </c>
      <c r="C290" s="13">
        <v>2014</v>
      </c>
      <c r="D290" s="13" t="s">
        <v>15</v>
      </c>
      <c r="E290" s="13" t="s">
        <v>1270</v>
      </c>
      <c r="F290" s="13">
        <v>7.8129999999999997</v>
      </c>
      <c r="G290" s="13" t="s">
        <v>77</v>
      </c>
      <c r="H290" s="13" t="s">
        <v>7641</v>
      </c>
      <c r="I290" s="13" t="s">
        <v>7642</v>
      </c>
      <c r="J290" s="9" t="s">
        <v>7643</v>
      </c>
      <c r="K290" s="13">
        <v>6402</v>
      </c>
    </row>
    <row r="291" spans="1:11" ht="15" customHeight="1" x14ac:dyDescent="0.2">
      <c r="A291" s="15" t="s">
        <v>8085</v>
      </c>
      <c r="B291" s="15" t="s">
        <v>8086</v>
      </c>
      <c r="C291" s="15">
        <v>2011</v>
      </c>
      <c r="D291" s="15" t="s">
        <v>15</v>
      </c>
      <c r="E291" s="15" t="s">
        <v>1270</v>
      </c>
      <c r="F291" s="15"/>
      <c r="G291" s="15"/>
      <c r="H291" s="15" t="s">
        <v>8087</v>
      </c>
      <c r="I291" s="15" t="s">
        <v>8088</v>
      </c>
      <c r="J291" s="10" t="s">
        <v>8089</v>
      </c>
      <c r="K291" s="15"/>
    </row>
    <row r="292" spans="1:11" ht="15" customHeight="1" x14ac:dyDescent="0.2">
      <c r="A292" s="13" t="s">
        <v>8090</v>
      </c>
      <c r="B292" s="13" t="s">
        <v>8090</v>
      </c>
      <c r="C292" s="13">
        <v>2009</v>
      </c>
      <c r="D292" s="13" t="s">
        <v>350</v>
      </c>
      <c r="E292" s="13" t="s">
        <v>1270</v>
      </c>
      <c r="F292" s="13">
        <v>4.5</v>
      </c>
      <c r="G292" s="13" t="s">
        <v>86</v>
      </c>
      <c r="H292" s="13" t="s">
        <v>8091</v>
      </c>
      <c r="I292" s="13" t="s">
        <v>8092</v>
      </c>
      <c r="J292" s="9" t="s">
        <v>8093</v>
      </c>
      <c r="K292" s="13">
        <v>2</v>
      </c>
    </row>
    <row r="293" spans="1:11" ht="15" customHeight="1" x14ac:dyDescent="0.2">
      <c r="A293" s="13" t="s">
        <v>8094</v>
      </c>
      <c r="B293" s="13" t="s">
        <v>8095</v>
      </c>
      <c r="C293" s="13">
        <v>2024</v>
      </c>
      <c r="D293" s="13" t="s">
        <v>927</v>
      </c>
      <c r="E293" s="13" t="s">
        <v>1270</v>
      </c>
      <c r="F293" s="13">
        <v>7.1260000000000003</v>
      </c>
      <c r="G293" s="13" t="s">
        <v>18</v>
      </c>
      <c r="H293" s="13" t="s">
        <v>8096</v>
      </c>
      <c r="I293" s="13" t="s">
        <v>8097</v>
      </c>
      <c r="J293" s="9" t="s">
        <v>8098</v>
      </c>
      <c r="K293" s="13">
        <v>790</v>
      </c>
    </row>
    <row r="294" spans="1:11" ht="15" customHeight="1" x14ac:dyDescent="0.2">
      <c r="A294" s="13" t="s">
        <v>8099</v>
      </c>
      <c r="B294" s="13" t="s">
        <v>8100</v>
      </c>
      <c r="C294" s="13">
        <v>2021</v>
      </c>
      <c r="D294" s="13" t="s">
        <v>15</v>
      </c>
      <c r="E294" s="13" t="s">
        <v>1270</v>
      </c>
      <c r="F294" s="13">
        <v>6.431</v>
      </c>
      <c r="G294" s="13" t="s">
        <v>46</v>
      </c>
      <c r="H294" s="13" t="s">
        <v>8101</v>
      </c>
      <c r="I294" s="13" t="s">
        <v>8102</v>
      </c>
      <c r="J294" s="9" t="s">
        <v>8103</v>
      </c>
      <c r="K294" s="13">
        <v>461</v>
      </c>
    </row>
    <row r="295" spans="1:11" ht="15" customHeight="1" x14ac:dyDescent="0.2">
      <c r="A295" s="13" t="s">
        <v>8104</v>
      </c>
      <c r="B295" s="13" t="s">
        <v>8104</v>
      </c>
      <c r="C295" s="13">
        <v>2013</v>
      </c>
      <c r="D295" s="13" t="s">
        <v>15</v>
      </c>
      <c r="E295" s="13" t="s">
        <v>1270</v>
      </c>
      <c r="F295" s="13">
        <v>5</v>
      </c>
      <c r="G295" s="13" t="s">
        <v>28</v>
      </c>
      <c r="H295" s="13" t="s">
        <v>8105</v>
      </c>
      <c r="I295" s="13" t="s">
        <v>8106</v>
      </c>
      <c r="J295" s="9" t="s">
        <v>8107</v>
      </c>
      <c r="K295" s="13">
        <v>442</v>
      </c>
    </row>
    <row r="296" spans="1:11" ht="15" customHeight="1" x14ac:dyDescent="0.2">
      <c r="A296" s="13" t="s">
        <v>8108</v>
      </c>
      <c r="B296" s="13" t="s">
        <v>8109</v>
      </c>
      <c r="C296" s="13">
        <v>2009</v>
      </c>
      <c r="D296" s="13" t="s">
        <v>15</v>
      </c>
      <c r="E296" s="13" t="s">
        <v>1270</v>
      </c>
      <c r="F296" s="13">
        <v>6.5010000000000003</v>
      </c>
      <c r="G296" s="13" t="s">
        <v>18</v>
      </c>
      <c r="H296" s="13" t="s">
        <v>8110</v>
      </c>
      <c r="I296" s="13" t="s">
        <v>8111</v>
      </c>
      <c r="J296" s="9" t="s">
        <v>8112</v>
      </c>
      <c r="K296" s="13">
        <v>1469</v>
      </c>
    </row>
    <row r="297" spans="1:11" ht="15" customHeight="1" x14ac:dyDescent="0.2">
      <c r="A297" s="13" t="s">
        <v>8113</v>
      </c>
      <c r="B297" s="13" t="s">
        <v>8114</v>
      </c>
      <c r="C297" s="13">
        <v>2017</v>
      </c>
      <c r="D297" s="13" t="s">
        <v>15</v>
      </c>
      <c r="E297" s="13" t="s">
        <v>1270</v>
      </c>
      <c r="F297" s="13">
        <v>5.8179999999999996</v>
      </c>
      <c r="G297" s="13" t="s">
        <v>46</v>
      </c>
      <c r="H297" s="13" t="s">
        <v>8115</v>
      </c>
      <c r="I297" s="13" t="s">
        <v>8116</v>
      </c>
      <c r="J297" s="9" t="s">
        <v>8117</v>
      </c>
      <c r="K297" s="13">
        <v>658</v>
      </c>
    </row>
    <row r="298" spans="1:11" ht="15" customHeight="1" x14ac:dyDescent="0.2">
      <c r="A298" s="13" t="s">
        <v>8118</v>
      </c>
      <c r="B298" s="13" t="s">
        <v>8119</v>
      </c>
      <c r="C298" s="13">
        <v>2002</v>
      </c>
      <c r="D298" s="13" t="s">
        <v>15</v>
      </c>
      <c r="E298" s="13" t="s">
        <v>1270</v>
      </c>
      <c r="F298" s="13">
        <v>5.8680000000000003</v>
      </c>
      <c r="G298" s="13" t="s">
        <v>46</v>
      </c>
      <c r="H298" s="13" t="s">
        <v>8120</v>
      </c>
      <c r="I298" s="13" t="s">
        <v>8121</v>
      </c>
      <c r="J298" s="9" t="s">
        <v>8122</v>
      </c>
      <c r="K298" s="13">
        <v>59</v>
      </c>
    </row>
    <row r="299" spans="1:11" ht="15" customHeight="1" x14ac:dyDescent="0.2">
      <c r="A299" s="13" t="s">
        <v>8123</v>
      </c>
      <c r="B299" s="13" t="s">
        <v>8124</v>
      </c>
      <c r="C299" s="13">
        <v>2007</v>
      </c>
      <c r="D299" s="13" t="s">
        <v>15</v>
      </c>
      <c r="E299" s="13" t="s">
        <v>1270</v>
      </c>
      <c r="F299" s="13">
        <v>6.3019999999999996</v>
      </c>
      <c r="G299" s="13" t="s">
        <v>46</v>
      </c>
      <c r="H299" s="13" t="s">
        <v>8125</v>
      </c>
      <c r="I299" s="13" t="s">
        <v>8126</v>
      </c>
      <c r="J299" s="9" t="s">
        <v>8127</v>
      </c>
      <c r="K299" s="13">
        <v>4140</v>
      </c>
    </row>
    <row r="300" spans="1:11" ht="15" customHeight="1" x14ac:dyDescent="0.2">
      <c r="A300" s="13" t="s">
        <v>8128</v>
      </c>
      <c r="B300" s="13" t="s">
        <v>8129</v>
      </c>
      <c r="C300" s="13">
        <v>2004</v>
      </c>
      <c r="D300" s="13" t="s">
        <v>15</v>
      </c>
      <c r="E300" s="13" t="s">
        <v>2042</v>
      </c>
      <c r="F300" s="13">
        <v>7.8920000000000003</v>
      </c>
      <c r="G300" s="13" t="s">
        <v>77</v>
      </c>
      <c r="H300" s="13" t="s">
        <v>8130</v>
      </c>
      <c r="I300" s="13" t="s">
        <v>8131</v>
      </c>
      <c r="J300" s="9" t="s">
        <v>8132</v>
      </c>
      <c r="K300" s="13">
        <v>12198</v>
      </c>
    </row>
    <row r="301" spans="1:11" ht="15" customHeight="1" x14ac:dyDescent="0.2">
      <c r="A301" s="15" t="s">
        <v>8133</v>
      </c>
      <c r="B301" s="15" t="s">
        <v>8134</v>
      </c>
      <c r="C301" s="15">
        <v>2010</v>
      </c>
      <c r="D301" s="15" t="s">
        <v>15</v>
      </c>
      <c r="E301" s="15" t="s">
        <v>1270</v>
      </c>
      <c r="F301" s="15">
        <v>6.4359999999999999</v>
      </c>
      <c r="G301" s="15" t="s">
        <v>46</v>
      </c>
      <c r="H301" s="15" t="s">
        <v>8135</v>
      </c>
      <c r="I301" s="15" t="s">
        <v>8136</v>
      </c>
      <c r="J301" s="10" t="s">
        <v>8137</v>
      </c>
      <c r="K301" s="15">
        <v>759</v>
      </c>
    </row>
    <row r="302" spans="1:11" ht="15" customHeight="1" x14ac:dyDescent="0.2">
      <c r="A302" s="13" t="s">
        <v>8138</v>
      </c>
      <c r="B302" s="13" t="s">
        <v>8139</v>
      </c>
      <c r="C302" s="13">
        <v>2018</v>
      </c>
      <c r="D302" s="13" t="s">
        <v>15</v>
      </c>
      <c r="E302" s="13" t="s">
        <v>1270</v>
      </c>
      <c r="F302" s="13">
        <v>6.5049999999999999</v>
      </c>
      <c r="G302" s="13" t="s">
        <v>18</v>
      </c>
      <c r="H302" s="13" t="s">
        <v>8140</v>
      </c>
      <c r="I302" s="13" t="s">
        <v>8141</v>
      </c>
      <c r="J302" s="9" t="s">
        <v>8142</v>
      </c>
      <c r="K302" s="13">
        <v>1182</v>
      </c>
    </row>
    <row r="303" spans="1:11" ht="15" customHeight="1" x14ac:dyDescent="0.2">
      <c r="A303" s="13" t="s">
        <v>8143</v>
      </c>
      <c r="B303" s="13" t="s">
        <v>8144</v>
      </c>
      <c r="C303" s="13">
        <v>2005</v>
      </c>
      <c r="D303" s="13" t="s">
        <v>15</v>
      </c>
      <c r="E303" s="13" t="s">
        <v>1270</v>
      </c>
      <c r="F303" s="13">
        <v>6.4550000000000001</v>
      </c>
      <c r="G303" s="13" t="s">
        <v>46</v>
      </c>
      <c r="H303" s="13" t="s">
        <v>8145</v>
      </c>
      <c r="I303" s="13" t="s">
        <v>8146</v>
      </c>
      <c r="J303" s="9" t="s">
        <v>8147</v>
      </c>
      <c r="K303" s="13">
        <v>243</v>
      </c>
    </row>
    <row r="304" spans="1:11" ht="15" customHeight="1" x14ac:dyDescent="0.2">
      <c r="A304" s="13" t="s">
        <v>8148</v>
      </c>
      <c r="B304" s="13" t="s">
        <v>8149</v>
      </c>
      <c r="C304" s="13">
        <v>1963</v>
      </c>
      <c r="D304" s="13" t="s">
        <v>15</v>
      </c>
      <c r="E304" s="13" t="s">
        <v>648</v>
      </c>
      <c r="F304" s="13">
        <v>7.0730000000000004</v>
      </c>
      <c r="G304" s="13" t="s">
        <v>18</v>
      </c>
      <c r="H304" s="13" t="s">
        <v>8150</v>
      </c>
      <c r="I304" s="13" t="s">
        <v>8151</v>
      </c>
      <c r="J304" s="9" t="s">
        <v>8152</v>
      </c>
      <c r="K304" s="13">
        <v>3211</v>
      </c>
    </row>
    <row r="305" spans="1:11" ht="15" customHeight="1" x14ac:dyDescent="0.2">
      <c r="A305" s="13" t="s">
        <v>8153</v>
      </c>
      <c r="B305" s="13" t="s">
        <v>8154</v>
      </c>
      <c r="C305" s="13">
        <v>2023</v>
      </c>
      <c r="D305" s="13" t="s">
        <v>15</v>
      </c>
      <c r="E305" s="13" t="s">
        <v>1270</v>
      </c>
      <c r="F305" s="13">
        <v>6.8330000000000002</v>
      </c>
      <c r="G305" s="13" t="s">
        <v>18</v>
      </c>
      <c r="H305" s="13" t="s">
        <v>8155</v>
      </c>
      <c r="I305" s="13" t="s">
        <v>8156</v>
      </c>
      <c r="J305" s="9" t="s">
        <v>8157</v>
      </c>
      <c r="K305" s="13">
        <v>2819</v>
      </c>
    </row>
    <row r="306" spans="1:11" ht="15" customHeight="1" x14ac:dyDescent="0.2">
      <c r="A306" s="13" t="s">
        <v>8158</v>
      </c>
      <c r="B306" s="13" t="s">
        <v>8158</v>
      </c>
      <c r="C306" s="13">
        <v>2023</v>
      </c>
      <c r="D306" s="13" t="s">
        <v>350</v>
      </c>
      <c r="E306" s="13" t="s">
        <v>1270</v>
      </c>
      <c r="F306" s="13">
        <v>7.1</v>
      </c>
      <c r="G306" s="13" t="s">
        <v>18</v>
      </c>
      <c r="H306" s="13" t="s">
        <v>8159</v>
      </c>
      <c r="I306" s="13" t="s">
        <v>8160</v>
      </c>
      <c r="J306" s="9" t="s">
        <v>8161</v>
      </c>
      <c r="K306" s="13">
        <v>105</v>
      </c>
    </row>
    <row r="307" spans="1:11" ht="15" customHeight="1" x14ac:dyDescent="0.2">
      <c r="A307" s="13" t="s">
        <v>8162</v>
      </c>
      <c r="B307" s="13" t="s">
        <v>8163</v>
      </c>
      <c r="C307" s="13">
        <v>2010</v>
      </c>
      <c r="D307" s="13" t="s">
        <v>15</v>
      </c>
      <c r="E307" s="13" t="s">
        <v>1961</v>
      </c>
      <c r="F307" s="13">
        <v>5.3239999999999998</v>
      </c>
      <c r="G307" s="13" t="s">
        <v>28</v>
      </c>
      <c r="H307" s="13" t="s">
        <v>8164</v>
      </c>
      <c r="I307" s="13" t="s">
        <v>8165</v>
      </c>
      <c r="J307" s="9" t="s">
        <v>8166</v>
      </c>
      <c r="K307" s="13">
        <v>1027</v>
      </c>
    </row>
    <row r="308" spans="1:11" ht="15" customHeight="1" x14ac:dyDescent="0.2">
      <c r="A308" s="13" t="s">
        <v>8167</v>
      </c>
      <c r="B308" s="13" t="s">
        <v>8167</v>
      </c>
      <c r="C308" s="13">
        <v>2020</v>
      </c>
      <c r="D308" s="13" t="s">
        <v>15</v>
      </c>
      <c r="E308" s="13" t="s">
        <v>8168</v>
      </c>
      <c r="F308" s="13">
        <v>6.4</v>
      </c>
      <c r="G308" s="13" t="s">
        <v>46</v>
      </c>
      <c r="H308" s="13" t="s">
        <v>8169</v>
      </c>
      <c r="I308" s="13" t="s">
        <v>8170</v>
      </c>
      <c r="J308" s="9" t="s">
        <v>8171</v>
      </c>
      <c r="K308" s="13">
        <v>8855</v>
      </c>
    </row>
    <row r="309" spans="1:11" ht="15" customHeight="1" x14ac:dyDescent="0.2">
      <c r="A309" s="13" t="s">
        <v>8172</v>
      </c>
      <c r="B309" s="13" t="s">
        <v>8172</v>
      </c>
      <c r="C309" s="13">
        <v>2011</v>
      </c>
      <c r="D309" s="13" t="s">
        <v>15</v>
      </c>
      <c r="E309" s="13" t="s">
        <v>1270</v>
      </c>
      <c r="F309" s="13">
        <v>5.8140000000000001</v>
      </c>
      <c r="G309" s="13" t="s">
        <v>46</v>
      </c>
      <c r="H309" s="13" t="s">
        <v>8173</v>
      </c>
      <c r="I309" s="13" t="s">
        <v>8174</v>
      </c>
      <c r="J309" s="9" t="s">
        <v>8175</v>
      </c>
      <c r="K309" s="13">
        <v>1319</v>
      </c>
    </row>
    <row r="310" spans="1:11" ht="15" customHeight="1" x14ac:dyDescent="0.2">
      <c r="A310" s="13" t="s">
        <v>6838</v>
      </c>
      <c r="B310" s="13" t="s">
        <v>6839</v>
      </c>
      <c r="C310" s="13">
        <v>2023</v>
      </c>
      <c r="D310" s="13" t="s">
        <v>350</v>
      </c>
      <c r="E310" s="13" t="s">
        <v>1270</v>
      </c>
      <c r="F310" s="13">
        <v>5.2969999999999997</v>
      </c>
      <c r="G310" s="13" t="s">
        <v>28</v>
      </c>
      <c r="H310" s="13" t="s">
        <v>6840</v>
      </c>
      <c r="I310" s="13" t="s">
        <v>6841</v>
      </c>
      <c r="J310" s="9" t="s">
        <v>6842</v>
      </c>
      <c r="K310" s="13">
        <v>123</v>
      </c>
    </row>
    <row r="311" spans="1:11" ht="15" customHeight="1" x14ac:dyDescent="0.2">
      <c r="A311" s="15" t="s">
        <v>8176</v>
      </c>
      <c r="B311" s="15" t="s">
        <v>8177</v>
      </c>
      <c r="C311" s="15">
        <v>2020</v>
      </c>
      <c r="D311" s="15" t="s">
        <v>350</v>
      </c>
      <c r="E311" s="15" t="s">
        <v>1270</v>
      </c>
      <c r="F311" s="15">
        <v>6</v>
      </c>
      <c r="G311" s="15" t="s">
        <v>46</v>
      </c>
      <c r="H311" s="15" t="s">
        <v>8178</v>
      </c>
      <c r="I311" s="15" t="s">
        <v>8179</v>
      </c>
      <c r="J311" s="10" t="s">
        <v>8180</v>
      </c>
      <c r="K311" s="15">
        <v>313</v>
      </c>
    </row>
    <row r="312" spans="1:11" ht="15" customHeight="1" x14ac:dyDescent="0.2">
      <c r="A312" s="13" t="s">
        <v>8181</v>
      </c>
      <c r="B312" s="13" t="s">
        <v>8182</v>
      </c>
      <c r="C312" s="13">
        <v>2012</v>
      </c>
      <c r="D312" s="13" t="s">
        <v>927</v>
      </c>
      <c r="E312" s="13" t="s">
        <v>1270</v>
      </c>
      <c r="F312" s="13">
        <v>5.7060000000000004</v>
      </c>
      <c r="G312" s="13" t="s">
        <v>46</v>
      </c>
      <c r="H312" s="13" t="s">
        <v>8183</v>
      </c>
      <c r="I312" s="13" t="s">
        <v>8184</v>
      </c>
      <c r="J312" s="9" t="s">
        <v>8185</v>
      </c>
      <c r="K312" s="13">
        <v>189</v>
      </c>
    </row>
    <row r="313" spans="1:11" ht="15" customHeight="1" x14ac:dyDescent="0.2">
      <c r="A313" s="13" t="s">
        <v>8186</v>
      </c>
      <c r="B313" s="13" t="s">
        <v>8187</v>
      </c>
      <c r="C313" s="13">
        <v>1997</v>
      </c>
      <c r="D313" s="13" t="s">
        <v>15</v>
      </c>
      <c r="E313" s="13" t="s">
        <v>1270</v>
      </c>
      <c r="F313" s="13">
        <v>5.9939999999999998</v>
      </c>
      <c r="G313" s="13" t="s">
        <v>46</v>
      </c>
      <c r="H313" s="13" t="s">
        <v>8188</v>
      </c>
      <c r="I313" s="13" t="s">
        <v>8189</v>
      </c>
      <c r="J313" s="9" t="s">
        <v>8190</v>
      </c>
      <c r="K313" s="13">
        <v>243</v>
      </c>
    </row>
    <row r="314" spans="1:11" ht="15" customHeight="1" x14ac:dyDescent="0.2">
      <c r="A314" s="13" t="s">
        <v>8191</v>
      </c>
      <c r="B314" s="13" t="s">
        <v>8192</v>
      </c>
      <c r="C314" s="13">
        <v>1994</v>
      </c>
      <c r="D314" s="13" t="s">
        <v>15</v>
      </c>
      <c r="E314" s="13" t="s">
        <v>1270</v>
      </c>
      <c r="F314" s="13">
        <v>6</v>
      </c>
      <c r="G314" s="13" t="s">
        <v>46</v>
      </c>
      <c r="H314" s="13" t="s">
        <v>8193</v>
      </c>
      <c r="I314" s="13" t="s">
        <v>8194</v>
      </c>
      <c r="J314" s="9" t="s">
        <v>8195</v>
      </c>
      <c r="K314" s="13">
        <v>131</v>
      </c>
    </row>
    <row r="315" spans="1:11" ht="15" customHeight="1" x14ac:dyDescent="0.2">
      <c r="A315" s="13" t="s">
        <v>8196</v>
      </c>
      <c r="B315" s="13" t="s">
        <v>8197</v>
      </c>
      <c r="C315" s="13">
        <v>1982</v>
      </c>
      <c r="D315" s="13" t="s">
        <v>15</v>
      </c>
      <c r="E315" s="13" t="s">
        <v>1270</v>
      </c>
      <c r="F315" s="13">
        <v>5.1230000000000002</v>
      </c>
      <c r="G315" s="13" t="s">
        <v>28</v>
      </c>
      <c r="H315" s="13" t="s">
        <v>8198</v>
      </c>
      <c r="I315" s="13" t="s">
        <v>8199</v>
      </c>
      <c r="J315" s="9" t="s">
        <v>8200</v>
      </c>
      <c r="K315" s="13">
        <v>53</v>
      </c>
    </row>
    <row r="316" spans="1:11" ht="15" customHeight="1" x14ac:dyDescent="0.2">
      <c r="A316" s="13" t="s">
        <v>8201</v>
      </c>
      <c r="B316" s="13" t="s">
        <v>8202</v>
      </c>
      <c r="C316" s="13">
        <v>1988</v>
      </c>
      <c r="D316" s="13" t="s">
        <v>15</v>
      </c>
      <c r="E316" s="13" t="s">
        <v>1270</v>
      </c>
      <c r="F316" s="13">
        <v>6.3330000000000002</v>
      </c>
      <c r="G316" s="13" t="s">
        <v>46</v>
      </c>
      <c r="H316" s="13" t="s">
        <v>8203</v>
      </c>
      <c r="I316" s="13" t="s">
        <v>8204</v>
      </c>
      <c r="J316" s="9" t="s">
        <v>8205</v>
      </c>
      <c r="K316" s="13">
        <v>288</v>
      </c>
    </row>
  </sheetData>
  <dataValidations count="1">
    <dataValidation type="list" allowBlank="1" showDropDown="1" showInputMessage="1" showErrorMessage="1" sqref="D2:D8 D10:D19 D21:D29 D31:D38 D40:D48 D50:D54 I2:I8 I10:I19 I21:I29 I31:I38 I40:I48 I50:I54" xr:uid="{00000000-0002-0000-0900-000000000000}">
      <formula1>#REF!</formula1>
      <formula2>0</formula2>
    </dataValidation>
  </dataValidations>
  <pageMargins left="0.74791666666666701" right="0.74791666666666701" top="0.98402777777777795" bottom="0.98402777777777795"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Tabelle11">
    <outlinePr summaryBelow="0"/>
  </sheetPr>
  <dimension ref="A1:K70"/>
  <sheetViews>
    <sheetView zoomScaleNormal="100" workbookViewId="0">
      <pane ySplit="1" topLeftCell="A2" activePane="bottomLeft" state="frozen"/>
      <selection pane="bottomLeft" activeCell="A19" sqref="A19"/>
    </sheetView>
  </sheetViews>
  <sheetFormatPr baseColWidth="10" defaultColWidth="12.5703125" defaultRowHeight="15" customHeight="1" x14ac:dyDescent="0.2"/>
  <cols>
    <col min="1" max="1" width="47.42578125" style="2" customWidth="1"/>
    <col min="2" max="2" width="11.7109375" style="2" customWidth="1"/>
    <col min="3" max="3" width="6" style="2" bestFit="1" customWidth="1"/>
    <col min="4" max="4" width="7" style="2" customWidth="1"/>
    <col min="5" max="5" width="11.42578125" style="3" customWidth="1"/>
    <col min="6" max="6" width="6.42578125" style="2" customWidth="1"/>
    <col min="7" max="7" width="11.42578125" style="2" customWidth="1"/>
    <col min="8" max="8" width="14.5703125" style="2" customWidth="1"/>
    <col min="9" max="9" width="44.7109375" style="2" customWidth="1"/>
    <col min="10" max="10" width="43" style="2" customWidth="1"/>
    <col min="11" max="11" width="8.85546875" style="2" customWidth="1"/>
    <col min="12" max="12" width="18.5703125" style="2" customWidth="1"/>
    <col min="13" max="160" width="11.42578125" style="2" customWidth="1"/>
    <col min="161" max="192" width="12.5703125" style="2" customWidth="1"/>
    <col min="193" max="16384" width="12.5703125" style="2"/>
  </cols>
  <sheetData>
    <row r="1" spans="1:11" ht="16.5" customHeight="1" x14ac:dyDescent="0.2">
      <c r="A1" s="11" t="s">
        <v>0</v>
      </c>
      <c r="B1" s="11" t="s">
        <v>1</v>
      </c>
      <c r="C1" s="11" t="s">
        <v>2</v>
      </c>
      <c r="D1" s="11" t="s">
        <v>3</v>
      </c>
      <c r="E1" s="11" t="s">
        <v>4</v>
      </c>
      <c r="F1" s="11" t="s">
        <v>5</v>
      </c>
      <c r="G1" s="11" t="s">
        <v>6</v>
      </c>
      <c r="H1" s="11" t="s">
        <v>7</v>
      </c>
      <c r="I1" s="11" t="s">
        <v>8</v>
      </c>
      <c r="J1" s="11" t="s">
        <v>9</v>
      </c>
      <c r="K1" s="11" t="s">
        <v>10</v>
      </c>
    </row>
    <row r="2" spans="1:11" ht="15" customHeight="1" x14ac:dyDescent="0.2">
      <c r="A2" s="13" t="s">
        <v>8206</v>
      </c>
      <c r="B2" s="13" t="s">
        <v>8207</v>
      </c>
      <c r="C2" s="13">
        <v>2022</v>
      </c>
      <c r="D2" s="13" t="s">
        <v>619</v>
      </c>
      <c r="E2" s="13" t="s">
        <v>1096</v>
      </c>
      <c r="F2" s="13">
        <v>4.5</v>
      </c>
      <c r="G2" s="13" t="s">
        <v>86</v>
      </c>
      <c r="H2" s="13" t="s">
        <v>8208</v>
      </c>
      <c r="I2" s="13" t="s">
        <v>8209</v>
      </c>
      <c r="J2" s="9" t="s">
        <v>8210</v>
      </c>
      <c r="K2" s="13">
        <v>11</v>
      </c>
    </row>
    <row r="3" spans="1:11" ht="15" customHeight="1" x14ac:dyDescent="0.2">
      <c r="A3" s="13" t="s">
        <v>8211</v>
      </c>
      <c r="B3" s="13" t="s">
        <v>8212</v>
      </c>
      <c r="C3" s="13">
        <v>2024</v>
      </c>
      <c r="D3" s="13" t="s">
        <v>413</v>
      </c>
      <c r="E3" s="13" t="s">
        <v>7640</v>
      </c>
      <c r="F3" s="13">
        <v>7.335</v>
      </c>
      <c r="G3" s="13" t="s">
        <v>18</v>
      </c>
      <c r="H3" s="13" t="s">
        <v>8213</v>
      </c>
      <c r="I3" s="13" t="s">
        <v>8214</v>
      </c>
      <c r="J3" s="9" t="s">
        <v>8215</v>
      </c>
      <c r="K3" s="13">
        <v>1822</v>
      </c>
    </row>
    <row r="4" spans="1:11" ht="15" customHeight="1" x14ac:dyDescent="0.2">
      <c r="A4" s="13" t="s">
        <v>8216</v>
      </c>
      <c r="B4" s="13" t="s">
        <v>8217</v>
      </c>
      <c r="C4" s="13">
        <v>2005</v>
      </c>
      <c r="D4" s="13" t="s">
        <v>8218</v>
      </c>
      <c r="E4" s="13" t="s">
        <v>1013</v>
      </c>
      <c r="F4" s="13">
        <v>6.2709999999999999</v>
      </c>
      <c r="G4" s="13" t="s">
        <v>46</v>
      </c>
      <c r="H4" s="13" t="s">
        <v>8219</v>
      </c>
      <c r="I4" s="13" t="s">
        <v>8220</v>
      </c>
      <c r="J4" s="9" t="s">
        <v>8221</v>
      </c>
      <c r="K4" s="13">
        <v>280</v>
      </c>
    </row>
    <row r="5" spans="1:11" ht="15" customHeight="1" x14ac:dyDescent="0.2">
      <c r="A5" s="13" t="s">
        <v>8222</v>
      </c>
      <c r="B5" s="13" t="s">
        <v>8223</v>
      </c>
      <c r="C5" s="13">
        <v>1957</v>
      </c>
      <c r="D5" s="13" t="s">
        <v>413</v>
      </c>
      <c r="E5" s="13" t="s">
        <v>1052</v>
      </c>
      <c r="F5" s="13">
        <v>7</v>
      </c>
      <c r="G5" s="13" t="s">
        <v>18</v>
      </c>
      <c r="H5" s="13" t="s">
        <v>8224</v>
      </c>
      <c r="I5" s="13" t="s">
        <v>8225</v>
      </c>
      <c r="J5" s="9" t="s">
        <v>8226</v>
      </c>
      <c r="K5" s="13">
        <v>326</v>
      </c>
    </row>
    <row r="6" spans="1:11" ht="15" customHeight="1" x14ac:dyDescent="0.2">
      <c r="A6" s="13" t="s">
        <v>8227</v>
      </c>
      <c r="B6" s="13" t="s">
        <v>8227</v>
      </c>
      <c r="C6" s="13">
        <v>2022</v>
      </c>
      <c r="D6" s="13" t="s">
        <v>8228</v>
      </c>
      <c r="E6" s="13" t="s">
        <v>2265</v>
      </c>
      <c r="F6" s="13">
        <v>5.5880000000000001</v>
      </c>
      <c r="G6" s="13" t="s">
        <v>46</v>
      </c>
      <c r="H6" s="13" t="s">
        <v>8229</v>
      </c>
      <c r="I6" s="13" t="s">
        <v>8230</v>
      </c>
      <c r="J6" s="9" t="s">
        <v>8231</v>
      </c>
      <c r="K6" s="13">
        <v>131</v>
      </c>
    </row>
    <row r="7" spans="1:11" ht="15" customHeight="1" x14ac:dyDescent="0.2">
      <c r="A7" s="13" t="s">
        <v>8232</v>
      </c>
      <c r="B7" s="13" t="s">
        <v>8233</v>
      </c>
      <c r="C7" s="13">
        <v>2013</v>
      </c>
      <c r="D7" s="13" t="s">
        <v>1018</v>
      </c>
      <c r="E7" s="13" t="s">
        <v>1052</v>
      </c>
      <c r="F7" s="13">
        <v>5.5190000000000001</v>
      </c>
      <c r="G7" s="13" t="s">
        <v>46</v>
      </c>
      <c r="H7" s="13" t="s">
        <v>8234</v>
      </c>
      <c r="I7" s="13" t="s">
        <v>8235</v>
      </c>
      <c r="J7" s="9" t="s">
        <v>8236</v>
      </c>
      <c r="K7" s="13">
        <v>780</v>
      </c>
    </row>
    <row r="8" spans="1:11" ht="15" customHeight="1" x14ac:dyDescent="0.2">
      <c r="A8" s="13" t="s">
        <v>8237</v>
      </c>
      <c r="B8" s="13" t="s">
        <v>8238</v>
      </c>
      <c r="C8" s="13">
        <v>1996</v>
      </c>
      <c r="D8" s="13" t="s">
        <v>413</v>
      </c>
      <c r="E8" s="13" t="s">
        <v>1024</v>
      </c>
      <c r="F8" s="13">
        <v>5.8470000000000004</v>
      </c>
      <c r="G8" s="13" t="s">
        <v>46</v>
      </c>
      <c r="H8" s="13" t="s">
        <v>8239</v>
      </c>
      <c r="I8" s="13" t="s">
        <v>8240</v>
      </c>
      <c r="J8" s="9" t="s">
        <v>8241</v>
      </c>
      <c r="K8" s="13">
        <v>121</v>
      </c>
    </row>
    <row r="9" spans="1:11" ht="15" customHeight="1" x14ac:dyDescent="0.2">
      <c r="A9" s="13" t="s">
        <v>8242</v>
      </c>
      <c r="B9" s="13" t="s">
        <v>8243</v>
      </c>
      <c r="C9" s="13">
        <v>2021</v>
      </c>
      <c r="D9" s="13" t="s">
        <v>8244</v>
      </c>
      <c r="E9" s="13" t="s">
        <v>6418</v>
      </c>
      <c r="F9" s="13">
        <v>7.4390000000000001</v>
      </c>
      <c r="G9" s="13" t="s">
        <v>18</v>
      </c>
      <c r="H9" s="13" t="s">
        <v>8245</v>
      </c>
      <c r="I9" s="13" t="s">
        <v>8246</v>
      </c>
      <c r="J9" s="9" t="s">
        <v>8247</v>
      </c>
      <c r="K9" s="13">
        <v>1665</v>
      </c>
    </row>
    <row r="10" spans="1:11" ht="15" customHeight="1" x14ac:dyDescent="0.2">
      <c r="A10" s="13" t="s">
        <v>8248</v>
      </c>
      <c r="B10" s="13" t="s">
        <v>8248</v>
      </c>
      <c r="C10" s="13">
        <v>2018</v>
      </c>
      <c r="D10" s="13" t="s">
        <v>8249</v>
      </c>
      <c r="E10" s="13" t="s">
        <v>1046</v>
      </c>
      <c r="F10" s="13">
        <v>5.7859999999999996</v>
      </c>
      <c r="G10" s="13" t="s">
        <v>46</v>
      </c>
      <c r="H10" s="13" t="s">
        <v>8250</v>
      </c>
      <c r="I10" s="13" t="s">
        <v>8251</v>
      </c>
      <c r="J10" s="9" t="s">
        <v>8252</v>
      </c>
      <c r="K10" s="13">
        <v>794</v>
      </c>
    </row>
    <row r="11" spans="1:11" ht="15" customHeight="1" x14ac:dyDescent="0.2">
      <c r="A11" s="15" t="s">
        <v>8253</v>
      </c>
      <c r="B11" s="15" t="s">
        <v>8254</v>
      </c>
      <c r="C11" s="15">
        <v>2016</v>
      </c>
      <c r="D11" s="15" t="s">
        <v>413</v>
      </c>
      <c r="E11" s="15" t="s">
        <v>1024</v>
      </c>
      <c r="F11" s="15">
        <v>7.9240000000000004</v>
      </c>
      <c r="G11" s="15" t="s">
        <v>77</v>
      </c>
      <c r="H11" s="15" t="s">
        <v>8255</v>
      </c>
      <c r="I11" s="15" t="s">
        <v>8256</v>
      </c>
      <c r="J11" s="10" t="s">
        <v>8257</v>
      </c>
      <c r="K11" s="15">
        <v>12914</v>
      </c>
    </row>
    <row r="12" spans="1:11" ht="15" customHeight="1" x14ac:dyDescent="0.2">
      <c r="A12" s="13" t="s">
        <v>8258</v>
      </c>
      <c r="B12" s="13" t="s">
        <v>8259</v>
      </c>
      <c r="C12" s="13">
        <v>2025</v>
      </c>
      <c r="D12" s="13" t="s">
        <v>560</v>
      </c>
      <c r="E12" s="13" t="s">
        <v>8260</v>
      </c>
      <c r="F12" s="13">
        <v>7.2</v>
      </c>
      <c r="G12" s="13" t="s">
        <v>18</v>
      </c>
      <c r="H12" s="13" t="s">
        <v>8261</v>
      </c>
      <c r="I12" s="13" t="s">
        <v>8262</v>
      </c>
      <c r="J12" s="9" t="s">
        <v>8263</v>
      </c>
      <c r="K12" s="13">
        <v>3</v>
      </c>
    </row>
    <row r="13" spans="1:11" ht="15" customHeight="1" x14ac:dyDescent="0.2">
      <c r="A13" s="13" t="s">
        <v>8264</v>
      </c>
      <c r="B13" s="13" t="s">
        <v>8264</v>
      </c>
      <c r="C13" s="13">
        <v>2023</v>
      </c>
      <c r="D13" s="13" t="s">
        <v>8265</v>
      </c>
      <c r="E13" s="13" t="s">
        <v>1678</v>
      </c>
      <c r="F13" s="13">
        <v>6.6470000000000002</v>
      </c>
      <c r="G13" s="13" t="s">
        <v>18</v>
      </c>
      <c r="H13" s="13" t="s">
        <v>8266</v>
      </c>
      <c r="I13" s="13" t="s">
        <v>8267</v>
      </c>
      <c r="J13" s="9" t="s">
        <v>8268</v>
      </c>
      <c r="K13" s="13">
        <v>17</v>
      </c>
    </row>
    <row r="14" spans="1:11" ht="15" customHeight="1" x14ac:dyDescent="0.2">
      <c r="A14" s="13" t="s">
        <v>8269</v>
      </c>
      <c r="B14" s="13" t="s">
        <v>8269</v>
      </c>
      <c r="C14" s="13">
        <v>2024</v>
      </c>
      <c r="D14" s="13" t="s">
        <v>413</v>
      </c>
      <c r="E14" s="13" t="s">
        <v>8270</v>
      </c>
      <c r="F14" s="13">
        <v>6.6</v>
      </c>
      <c r="G14" s="13" t="s">
        <v>18</v>
      </c>
      <c r="H14" s="13" t="s">
        <v>8271</v>
      </c>
      <c r="I14" s="13" t="s">
        <v>8272</v>
      </c>
      <c r="J14" s="9" t="s">
        <v>8273</v>
      </c>
      <c r="K14" s="13">
        <v>159</v>
      </c>
    </row>
    <row r="15" spans="1:11" ht="15" customHeight="1" x14ac:dyDescent="0.2">
      <c r="A15" s="13" t="s">
        <v>8274</v>
      </c>
      <c r="B15" s="13" t="s">
        <v>8275</v>
      </c>
      <c r="C15" s="13">
        <v>1984</v>
      </c>
      <c r="D15" s="13" t="s">
        <v>413</v>
      </c>
      <c r="E15" s="13" t="s">
        <v>1024</v>
      </c>
      <c r="F15" s="13">
        <v>6</v>
      </c>
      <c r="G15" s="13" t="s">
        <v>46</v>
      </c>
      <c r="H15" s="13" t="s">
        <v>8276</v>
      </c>
      <c r="I15" s="13" t="s">
        <v>8277</v>
      </c>
      <c r="J15" s="9" t="s">
        <v>8278</v>
      </c>
      <c r="K15" s="13">
        <v>55</v>
      </c>
    </row>
    <row r="16" spans="1:11" ht="15" customHeight="1" x14ac:dyDescent="0.2">
      <c r="A16" s="13" t="s">
        <v>8279</v>
      </c>
      <c r="B16" s="13" t="s">
        <v>8280</v>
      </c>
      <c r="C16" s="13">
        <v>1997</v>
      </c>
      <c r="D16" s="13" t="s">
        <v>413</v>
      </c>
      <c r="E16" s="13" t="s">
        <v>1961</v>
      </c>
      <c r="F16" s="13">
        <v>6.4649999999999999</v>
      </c>
      <c r="G16" s="13" t="s">
        <v>46</v>
      </c>
      <c r="H16" s="13" t="s">
        <v>8281</v>
      </c>
      <c r="I16" s="13" t="s">
        <v>8282</v>
      </c>
      <c r="J16" s="9" t="s">
        <v>8283</v>
      </c>
      <c r="K16" s="13">
        <v>586</v>
      </c>
    </row>
    <row r="17" spans="1:11" ht="15" customHeight="1" x14ac:dyDescent="0.2">
      <c r="A17" s="13" t="s">
        <v>8284</v>
      </c>
      <c r="B17" s="13" t="s">
        <v>8285</v>
      </c>
      <c r="C17" s="13">
        <v>2022</v>
      </c>
      <c r="D17" s="13" t="s">
        <v>8286</v>
      </c>
      <c r="E17" s="13" t="s">
        <v>8287</v>
      </c>
      <c r="F17" s="13">
        <v>6.9</v>
      </c>
      <c r="G17" s="13" t="s">
        <v>18</v>
      </c>
      <c r="H17" s="13" t="s">
        <v>8288</v>
      </c>
      <c r="I17" s="13" t="s">
        <v>8289</v>
      </c>
      <c r="J17" s="9" t="s">
        <v>8290</v>
      </c>
      <c r="K17" s="13">
        <v>17</v>
      </c>
    </row>
    <row r="18" spans="1:11" ht="15" customHeight="1" x14ac:dyDescent="0.2">
      <c r="A18" s="13" t="s">
        <v>8291</v>
      </c>
      <c r="B18" s="13" t="s">
        <v>8291</v>
      </c>
      <c r="C18" s="13">
        <v>1992</v>
      </c>
      <c r="D18" s="13" t="s">
        <v>413</v>
      </c>
      <c r="E18" s="13" t="s">
        <v>8292</v>
      </c>
      <c r="F18" s="13">
        <v>6.4950000000000001</v>
      </c>
      <c r="G18" s="13" t="s">
        <v>46</v>
      </c>
      <c r="H18" s="13" t="s">
        <v>8293</v>
      </c>
      <c r="I18" s="13" t="s">
        <v>8294</v>
      </c>
      <c r="J18" s="9" t="s">
        <v>8295</v>
      </c>
      <c r="K18" s="13">
        <v>938</v>
      </c>
    </row>
    <row r="19" spans="1:11" ht="15" customHeight="1" x14ac:dyDescent="0.2">
      <c r="A19" s="13" t="s">
        <v>4532</v>
      </c>
      <c r="B19" s="13" t="s">
        <v>8296</v>
      </c>
      <c r="C19" s="13">
        <v>2024</v>
      </c>
      <c r="D19" s="13" t="s">
        <v>530</v>
      </c>
      <c r="E19" s="13" t="s">
        <v>2287</v>
      </c>
      <c r="F19" s="13">
        <v>7.9390000000000001</v>
      </c>
      <c r="G19" s="13" t="s">
        <v>77</v>
      </c>
      <c r="H19" s="13" t="s">
        <v>8297</v>
      </c>
      <c r="I19" s="13" t="s">
        <v>8298</v>
      </c>
      <c r="J19" s="9" t="s">
        <v>8299</v>
      </c>
      <c r="K19" s="13">
        <v>894</v>
      </c>
    </row>
    <row r="20" spans="1:11" ht="15" customHeight="1" x14ac:dyDescent="0.2">
      <c r="A20" s="13" t="s">
        <v>8300</v>
      </c>
      <c r="B20" s="13" t="s">
        <v>8301</v>
      </c>
      <c r="C20" s="13">
        <v>2009</v>
      </c>
      <c r="D20" s="13" t="s">
        <v>413</v>
      </c>
      <c r="E20" s="13" t="s">
        <v>1024</v>
      </c>
      <c r="F20" s="13">
        <v>6.6</v>
      </c>
      <c r="G20" s="13" t="s">
        <v>18</v>
      </c>
      <c r="H20" s="13" t="s">
        <v>8302</v>
      </c>
      <c r="I20" s="13" t="s">
        <v>8303</v>
      </c>
      <c r="J20" s="9" t="s">
        <v>8304</v>
      </c>
      <c r="K20" s="13">
        <v>40</v>
      </c>
    </row>
    <row r="21" spans="1:11" ht="15" customHeight="1" x14ac:dyDescent="0.2">
      <c r="A21" s="15" t="s">
        <v>8305</v>
      </c>
      <c r="B21" s="15" t="s">
        <v>8306</v>
      </c>
      <c r="C21" s="15">
        <v>2004</v>
      </c>
      <c r="D21" s="15" t="s">
        <v>413</v>
      </c>
      <c r="E21" s="15" t="s">
        <v>8307</v>
      </c>
      <c r="F21" s="15">
        <v>7.08</v>
      </c>
      <c r="G21" s="15" t="s">
        <v>18</v>
      </c>
      <c r="H21" s="15" t="s">
        <v>8308</v>
      </c>
      <c r="I21" s="15" t="s">
        <v>8309</v>
      </c>
      <c r="J21" s="10" t="s">
        <v>8310</v>
      </c>
      <c r="K21" s="15">
        <v>1971</v>
      </c>
    </row>
    <row r="22" spans="1:11" ht="15" customHeight="1" x14ac:dyDescent="0.2">
      <c r="A22" s="13" t="s">
        <v>2295</v>
      </c>
      <c r="B22" s="13" t="s">
        <v>2296</v>
      </c>
      <c r="C22" s="13">
        <v>2009</v>
      </c>
      <c r="D22" s="13" t="s">
        <v>8311</v>
      </c>
      <c r="E22" s="13" t="s">
        <v>566</v>
      </c>
      <c r="F22" s="13">
        <v>6</v>
      </c>
      <c r="G22" s="13" t="s">
        <v>46</v>
      </c>
      <c r="H22" s="13" t="s">
        <v>2298</v>
      </c>
      <c r="I22" s="13" t="s">
        <v>2299</v>
      </c>
      <c r="J22" s="9" t="s">
        <v>2300</v>
      </c>
      <c r="K22" s="13">
        <v>132</v>
      </c>
    </row>
    <row r="23" spans="1:11" ht="15" customHeight="1" x14ac:dyDescent="0.2">
      <c r="A23" s="13" t="s">
        <v>8312</v>
      </c>
      <c r="B23" s="13" t="s">
        <v>8312</v>
      </c>
      <c r="C23" s="13">
        <v>2006</v>
      </c>
      <c r="D23" s="13" t="s">
        <v>413</v>
      </c>
      <c r="E23" s="13" t="s">
        <v>1961</v>
      </c>
      <c r="F23" s="13">
        <v>7.1</v>
      </c>
      <c r="G23" s="13" t="s">
        <v>18</v>
      </c>
      <c r="H23" s="13" t="s">
        <v>8313</v>
      </c>
      <c r="I23" s="13" t="s">
        <v>8314</v>
      </c>
      <c r="J23" s="9" t="s">
        <v>8315</v>
      </c>
      <c r="K23" s="13">
        <v>176</v>
      </c>
    </row>
    <row r="24" spans="1:11" ht="15" customHeight="1" x14ac:dyDescent="0.2">
      <c r="A24" s="13" t="s">
        <v>8316</v>
      </c>
      <c r="B24" s="13" t="s">
        <v>8316</v>
      </c>
      <c r="C24" s="13">
        <v>2006</v>
      </c>
      <c r="D24" s="13" t="s">
        <v>413</v>
      </c>
      <c r="E24" s="13" t="s">
        <v>566</v>
      </c>
      <c r="F24" s="13">
        <v>5.5</v>
      </c>
      <c r="G24" s="13" t="s">
        <v>46</v>
      </c>
      <c r="H24" s="13" t="s">
        <v>8317</v>
      </c>
      <c r="I24" s="13" t="s">
        <v>8318</v>
      </c>
      <c r="J24" s="9" t="s">
        <v>8319</v>
      </c>
      <c r="K24" s="13">
        <v>15</v>
      </c>
    </row>
    <row r="25" spans="1:11" ht="15" customHeight="1" x14ac:dyDescent="0.2">
      <c r="A25" s="13" t="s">
        <v>8320</v>
      </c>
      <c r="B25" s="13" t="s">
        <v>8321</v>
      </c>
      <c r="C25" s="13">
        <v>2007</v>
      </c>
      <c r="D25" s="13" t="s">
        <v>413</v>
      </c>
      <c r="E25" s="13" t="s">
        <v>1961</v>
      </c>
      <c r="F25" s="13">
        <v>5.8</v>
      </c>
      <c r="G25" s="13" t="s">
        <v>46</v>
      </c>
      <c r="H25" s="13" t="s">
        <v>8322</v>
      </c>
      <c r="I25" s="13" t="s">
        <v>8323</v>
      </c>
      <c r="J25" s="9" t="s">
        <v>8324</v>
      </c>
      <c r="K25" s="13">
        <v>438</v>
      </c>
    </row>
    <row r="26" spans="1:11" ht="15" customHeight="1" x14ac:dyDescent="0.2">
      <c r="A26" s="13" t="s">
        <v>8325</v>
      </c>
      <c r="B26" s="13" t="s">
        <v>8326</v>
      </c>
      <c r="C26" s="13">
        <v>2022</v>
      </c>
      <c r="D26" s="13" t="s">
        <v>413</v>
      </c>
      <c r="E26" s="13" t="s">
        <v>8327</v>
      </c>
      <c r="F26" s="13">
        <v>6.6</v>
      </c>
      <c r="G26" s="13" t="s">
        <v>18</v>
      </c>
      <c r="H26" s="13" t="s">
        <v>8328</v>
      </c>
      <c r="I26" s="13" t="s">
        <v>8329</v>
      </c>
      <c r="J26" s="9" t="s">
        <v>8330</v>
      </c>
      <c r="K26" s="13">
        <v>35</v>
      </c>
    </row>
    <row r="27" spans="1:11" ht="15" customHeight="1" x14ac:dyDescent="0.2">
      <c r="A27" s="13" t="s">
        <v>8331</v>
      </c>
      <c r="B27" s="13" t="s">
        <v>8332</v>
      </c>
      <c r="C27" s="13">
        <v>2005</v>
      </c>
      <c r="D27" s="13" t="s">
        <v>880</v>
      </c>
      <c r="E27" s="13" t="s">
        <v>8333</v>
      </c>
      <c r="F27" s="13">
        <v>6.8959999999999999</v>
      </c>
      <c r="G27" s="13" t="s">
        <v>18</v>
      </c>
      <c r="H27" s="13" t="s">
        <v>8334</v>
      </c>
      <c r="I27" s="13" t="s">
        <v>8335</v>
      </c>
      <c r="J27" s="9" t="s">
        <v>8336</v>
      </c>
      <c r="K27" s="13">
        <v>479</v>
      </c>
    </row>
    <row r="28" spans="1:11" ht="15" customHeight="1" x14ac:dyDescent="0.2">
      <c r="A28" s="13" t="s">
        <v>8337</v>
      </c>
      <c r="B28" s="13" t="s">
        <v>8301</v>
      </c>
      <c r="C28" s="13">
        <v>2009</v>
      </c>
      <c r="D28" s="13" t="s">
        <v>413</v>
      </c>
      <c r="E28" s="13" t="s">
        <v>1024</v>
      </c>
      <c r="F28" s="13">
        <v>6.6</v>
      </c>
      <c r="G28" s="13" t="s">
        <v>18</v>
      </c>
      <c r="H28" s="13" t="s">
        <v>8302</v>
      </c>
      <c r="I28" s="13" t="s">
        <v>8303</v>
      </c>
      <c r="J28" s="9" t="s">
        <v>8304</v>
      </c>
      <c r="K28" s="13">
        <v>40</v>
      </c>
    </row>
    <row r="29" spans="1:11" ht="15" customHeight="1" x14ac:dyDescent="0.2">
      <c r="A29" s="13" t="s">
        <v>8338</v>
      </c>
      <c r="B29" s="13" t="s">
        <v>8338</v>
      </c>
      <c r="C29" s="13">
        <v>2018</v>
      </c>
      <c r="D29" s="13" t="s">
        <v>478</v>
      </c>
      <c r="E29" s="13" t="s">
        <v>1961</v>
      </c>
      <c r="F29" s="13">
        <v>6.2969999999999997</v>
      </c>
      <c r="G29" s="13" t="s">
        <v>46</v>
      </c>
      <c r="H29" s="13" t="s">
        <v>8339</v>
      </c>
      <c r="I29" s="13" t="s">
        <v>8340</v>
      </c>
      <c r="J29" s="9" t="s">
        <v>8341</v>
      </c>
      <c r="K29" s="13">
        <v>516</v>
      </c>
    </row>
    <row r="30" spans="1:11" ht="15" customHeight="1" x14ac:dyDescent="0.2">
      <c r="A30" s="13" t="s">
        <v>8342</v>
      </c>
      <c r="B30" s="13" t="s">
        <v>8342</v>
      </c>
      <c r="C30" s="13">
        <v>2008</v>
      </c>
      <c r="D30" s="13" t="s">
        <v>530</v>
      </c>
      <c r="E30" s="13" t="s">
        <v>8343</v>
      </c>
      <c r="F30" s="13">
        <v>4.3</v>
      </c>
      <c r="G30" s="13" t="s">
        <v>86</v>
      </c>
      <c r="H30" s="13" t="s">
        <v>8344</v>
      </c>
      <c r="I30" s="13" t="s">
        <v>8345</v>
      </c>
      <c r="J30" s="9" t="s">
        <v>8346</v>
      </c>
      <c r="K30" s="13">
        <v>5</v>
      </c>
    </row>
    <row r="31" spans="1:11" ht="15" customHeight="1" x14ac:dyDescent="0.2">
      <c r="A31" s="15" t="s">
        <v>8347</v>
      </c>
      <c r="B31" s="15" t="s">
        <v>8347</v>
      </c>
      <c r="C31" s="15">
        <v>2021</v>
      </c>
      <c r="D31" s="15" t="s">
        <v>560</v>
      </c>
      <c r="E31" s="15" t="s">
        <v>1775</v>
      </c>
      <c r="F31" s="15">
        <v>6.9560000000000004</v>
      </c>
      <c r="G31" s="15" t="s">
        <v>18</v>
      </c>
      <c r="H31" s="15" t="s">
        <v>8348</v>
      </c>
      <c r="I31" s="15" t="s">
        <v>8349</v>
      </c>
      <c r="J31" s="10" t="s">
        <v>8350</v>
      </c>
      <c r="K31" s="15">
        <v>2513</v>
      </c>
    </row>
    <row r="32" spans="1:11" ht="15" customHeight="1" x14ac:dyDescent="0.2">
      <c r="A32" s="13" t="s">
        <v>8351</v>
      </c>
      <c r="B32" s="13" t="s">
        <v>8352</v>
      </c>
      <c r="C32" s="13">
        <v>2006</v>
      </c>
      <c r="D32" s="13" t="s">
        <v>413</v>
      </c>
      <c r="E32" s="13" t="s">
        <v>1052</v>
      </c>
      <c r="F32" s="13">
        <v>7.0910000000000002</v>
      </c>
      <c r="G32" s="13" t="s">
        <v>18</v>
      </c>
      <c r="H32" s="13" t="s">
        <v>8353</v>
      </c>
      <c r="I32" s="13" t="s">
        <v>8354</v>
      </c>
      <c r="J32" s="9" t="s">
        <v>8355</v>
      </c>
      <c r="K32" s="13">
        <v>5435</v>
      </c>
    </row>
    <row r="33" spans="1:11" ht="15" customHeight="1" x14ac:dyDescent="0.2">
      <c r="A33" s="13" t="s">
        <v>8356</v>
      </c>
      <c r="B33" s="13" t="s">
        <v>8357</v>
      </c>
      <c r="C33" s="13">
        <v>2006</v>
      </c>
      <c r="D33" s="13" t="s">
        <v>413</v>
      </c>
      <c r="E33" s="13" t="s">
        <v>8358</v>
      </c>
      <c r="F33" s="13">
        <v>7.0650000000000004</v>
      </c>
      <c r="G33" s="13" t="s">
        <v>46</v>
      </c>
      <c r="H33" s="13" t="s">
        <v>8359</v>
      </c>
      <c r="I33" s="13" t="s">
        <v>8360</v>
      </c>
      <c r="J33" s="9" t="s">
        <v>8361</v>
      </c>
      <c r="K33" s="13">
        <v>1091</v>
      </c>
    </row>
    <row r="34" spans="1:11" ht="15" customHeight="1" x14ac:dyDescent="0.2">
      <c r="A34" s="13" t="s">
        <v>8362</v>
      </c>
      <c r="B34" s="13" t="s">
        <v>8363</v>
      </c>
      <c r="C34" s="13">
        <v>2020</v>
      </c>
      <c r="D34" s="13" t="s">
        <v>8364</v>
      </c>
      <c r="E34" s="13" t="s">
        <v>1678</v>
      </c>
      <c r="F34" s="13">
        <v>6.0579999999999998</v>
      </c>
      <c r="G34" s="13" t="s">
        <v>46</v>
      </c>
      <c r="H34" s="13" t="s">
        <v>8365</v>
      </c>
      <c r="I34" s="13" t="s">
        <v>8366</v>
      </c>
      <c r="J34" s="9" t="s">
        <v>8367</v>
      </c>
      <c r="K34" s="13">
        <v>258</v>
      </c>
    </row>
    <row r="35" spans="1:11" ht="15" customHeight="1" x14ac:dyDescent="0.2">
      <c r="A35" s="13" t="s">
        <v>8368</v>
      </c>
      <c r="B35" s="13" t="s">
        <v>8368</v>
      </c>
      <c r="C35" s="13">
        <v>2023</v>
      </c>
      <c r="D35" s="13" t="s">
        <v>413</v>
      </c>
      <c r="E35" s="13" t="s">
        <v>7640</v>
      </c>
      <c r="F35" s="13">
        <v>6.7</v>
      </c>
      <c r="G35" s="13" t="s">
        <v>18</v>
      </c>
      <c r="H35" s="13" t="s">
        <v>8369</v>
      </c>
      <c r="I35" s="13" t="s">
        <v>8370</v>
      </c>
      <c r="J35" s="9" t="s">
        <v>8371</v>
      </c>
      <c r="K35" s="13">
        <v>446</v>
      </c>
    </row>
    <row r="36" spans="1:11" ht="15" customHeight="1" x14ac:dyDescent="0.2">
      <c r="A36" s="13" t="s">
        <v>8372</v>
      </c>
      <c r="B36" s="13" t="s">
        <v>8373</v>
      </c>
      <c r="C36" s="13">
        <v>2002</v>
      </c>
      <c r="D36" s="13" t="s">
        <v>530</v>
      </c>
      <c r="E36" s="13" t="s">
        <v>1134</v>
      </c>
      <c r="F36" s="13">
        <v>4.2</v>
      </c>
      <c r="G36" s="13" t="s">
        <v>86</v>
      </c>
      <c r="H36" s="13" t="s">
        <v>8374</v>
      </c>
      <c r="I36" s="13" t="s">
        <v>8375</v>
      </c>
      <c r="J36" s="9" t="s">
        <v>8376</v>
      </c>
      <c r="K36" s="13">
        <v>2</v>
      </c>
    </row>
    <row r="37" spans="1:11" ht="15" customHeight="1" x14ac:dyDescent="0.2">
      <c r="A37" s="13" t="s">
        <v>8377</v>
      </c>
      <c r="B37" s="13" t="s">
        <v>8378</v>
      </c>
      <c r="C37" s="13">
        <v>2015</v>
      </c>
      <c r="D37" s="13" t="s">
        <v>413</v>
      </c>
      <c r="E37" s="13" t="s">
        <v>8379</v>
      </c>
      <c r="F37" s="13">
        <v>6.1550000000000002</v>
      </c>
      <c r="G37" s="13" t="s">
        <v>46</v>
      </c>
      <c r="H37" s="13" t="s">
        <v>8380</v>
      </c>
      <c r="I37" s="13" t="s">
        <v>8381</v>
      </c>
      <c r="J37" s="9" t="s">
        <v>8382</v>
      </c>
      <c r="K37" s="13">
        <v>5129</v>
      </c>
    </row>
    <row r="38" spans="1:11" ht="15" customHeight="1" x14ac:dyDescent="0.2">
      <c r="A38" s="13" t="s">
        <v>8383</v>
      </c>
      <c r="B38" s="13" t="s">
        <v>8384</v>
      </c>
      <c r="C38" s="13">
        <v>2007</v>
      </c>
      <c r="D38" s="13" t="s">
        <v>413</v>
      </c>
      <c r="E38" s="13" t="s">
        <v>1480</v>
      </c>
      <c r="F38" s="13">
        <v>6.4370000000000003</v>
      </c>
      <c r="G38" s="13" t="s">
        <v>46</v>
      </c>
      <c r="H38" s="13" t="s">
        <v>8385</v>
      </c>
      <c r="I38" s="13" t="s">
        <v>8386</v>
      </c>
      <c r="J38" s="9" t="s">
        <v>8387</v>
      </c>
      <c r="K38" s="13">
        <v>1746</v>
      </c>
    </row>
    <row r="39" spans="1:11" ht="15" customHeight="1" x14ac:dyDescent="0.2">
      <c r="A39" s="13" t="s">
        <v>8388</v>
      </c>
      <c r="B39" s="13" t="s">
        <v>8388</v>
      </c>
      <c r="C39" s="13">
        <v>2010</v>
      </c>
      <c r="D39" s="13" t="s">
        <v>413</v>
      </c>
      <c r="E39" s="13" t="s">
        <v>1775</v>
      </c>
      <c r="F39" s="13">
        <v>6.3630000000000004</v>
      </c>
      <c r="G39" s="13" t="s">
        <v>46</v>
      </c>
      <c r="H39" s="13" t="s">
        <v>8389</v>
      </c>
      <c r="I39" s="13" t="s">
        <v>8390</v>
      </c>
      <c r="J39" s="9" t="s">
        <v>8391</v>
      </c>
      <c r="K39" s="13">
        <v>1582</v>
      </c>
    </row>
    <row r="40" spans="1:11" ht="15" customHeight="1" x14ac:dyDescent="0.2">
      <c r="A40" s="13" t="s">
        <v>8392</v>
      </c>
      <c r="B40" s="13" t="s">
        <v>8393</v>
      </c>
      <c r="C40" s="13">
        <v>2015</v>
      </c>
      <c r="D40" s="13" t="s">
        <v>619</v>
      </c>
      <c r="E40" s="13" t="s">
        <v>1096</v>
      </c>
      <c r="F40" s="13">
        <v>6.7</v>
      </c>
      <c r="G40" s="13" t="s">
        <v>18</v>
      </c>
      <c r="H40" s="13" t="s">
        <v>8394</v>
      </c>
      <c r="I40" s="13" t="s">
        <v>8395</v>
      </c>
      <c r="J40" s="9" t="s">
        <v>8396</v>
      </c>
      <c r="K40" s="13">
        <v>124</v>
      </c>
    </row>
    <row r="41" spans="1:11" ht="15" customHeight="1" x14ac:dyDescent="0.2">
      <c r="A41" s="15" t="s">
        <v>8397</v>
      </c>
      <c r="B41" s="15" t="s">
        <v>8398</v>
      </c>
      <c r="C41" s="15">
        <v>2013</v>
      </c>
      <c r="D41" s="15" t="s">
        <v>8399</v>
      </c>
      <c r="E41" s="15" t="s">
        <v>1134</v>
      </c>
      <c r="F41" s="15">
        <v>6.585</v>
      </c>
      <c r="G41" s="15" t="s">
        <v>18</v>
      </c>
      <c r="H41" s="15" t="s">
        <v>8400</v>
      </c>
      <c r="I41" s="15" t="s">
        <v>8401</v>
      </c>
      <c r="J41" s="10" t="s">
        <v>8402</v>
      </c>
      <c r="K41" s="15">
        <v>313</v>
      </c>
    </row>
    <row r="42" spans="1:11" ht="15" customHeight="1" x14ac:dyDescent="0.2">
      <c r="A42" s="13" t="s">
        <v>7791</v>
      </c>
      <c r="B42" s="13" t="s">
        <v>7792</v>
      </c>
      <c r="C42" s="13">
        <v>2006</v>
      </c>
      <c r="D42" s="13" t="s">
        <v>880</v>
      </c>
      <c r="E42" s="13" t="s">
        <v>5530</v>
      </c>
      <c r="F42" s="13">
        <v>7.3470000000000004</v>
      </c>
      <c r="G42" s="13" t="s">
        <v>18</v>
      </c>
      <c r="H42" s="13" t="s">
        <v>7793</v>
      </c>
      <c r="I42" s="13" t="s">
        <v>7794</v>
      </c>
      <c r="J42" s="9" t="s">
        <v>7795</v>
      </c>
      <c r="K42" s="13">
        <v>1075</v>
      </c>
    </row>
    <row r="43" spans="1:11" ht="15" customHeight="1" x14ac:dyDescent="0.2">
      <c r="A43" s="13" t="s">
        <v>8403</v>
      </c>
      <c r="B43" s="13" t="s">
        <v>8404</v>
      </c>
      <c r="C43" s="13">
        <v>2012</v>
      </c>
      <c r="D43" s="13" t="s">
        <v>1018</v>
      </c>
      <c r="E43" s="13" t="s">
        <v>1024</v>
      </c>
      <c r="F43" s="13">
        <v>7.3090000000000002</v>
      </c>
      <c r="G43" s="13" t="s">
        <v>18</v>
      </c>
      <c r="H43" s="13" t="s">
        <v>8405</v>
      </c>
      <c r="I43" s="13" t="s">
        <v>8406</v>
      </c>
      <c r="J43" s="9" t="s">
        <v>8407</v>
      </c>
      <c r="K43" s="13">
        <v>1097</v>
      </c>
    </row>
    <row r="44" spans="1:11" ht="15" customHeight="1" x14ac:dyDescent="0.2">
      <c r="A44" s="13" t="s">
        <v>8408</v>
      </c>
      <c r="B44" s="13" t="s">
        <v>8409</v>
      </c>
      <c r="C44" s="13">
        <v>1975</v>
      </c>
      <c r="D44" s="13" t="s">
        <v>8410</v>
      </c>
      <c r="E44" s="13" t="s">
        <v>974</v>
      </c>
      <c r="F44" s="13">
        <v>7.2190000000000003</v>
      </c>
      <c r="G44" s="13" t="s">
        <v>18</v>
      </c>
      <c r="H44" s="13" t="s">
        <v>8411</v>
      </c>
      <c r="I44" s="13" t="s">
        <v>8412</v>
      </c>
      <c r="J44" s="9" t="s">
        <v>8413</v>
      </c>
      <c r="K44" s="13">
        <v>854</v>
      </c>
    </row>
    <row r="45" spans="1:11" ht="15" customHeight="1" x14ac:dyDescent="0.2">
      <c r="A45" s="13" t="s">
        <v>8414</v>
      </c>
      <c r="B45" s="13" t="s">
        <v>8414</v>
      </c>
      <c r="C45" s="13">
        <v>2023</v>
      </c>
      <c r="D45" s="13" t="s">
        <v>619</v>
      </c>
      <c r="E45" s="13" t="s">
        <v>1052</v>
      </c>
      <c r="F45" s="13">
        <v>7.1</v>
      </c>
      <c r="G45" s="13" t="s">
        <v>18</v>
      </c>
      <c r="H45" s="13" t="s">
        <v>8415</v>
      </c>
      <c r="I45" s="13" t="s">
        <v>8416</v>
      </c>
      <c r="J45" s="9" t="s">
        <v>8417</v>
      </c>
      <c r="K45" s="13">
        <v>229</v>
      </c>
    </row>
    <row r="46" spans="1:11" ht="15" customHeight="1" x14ac:dyDescent="0.2">
      <c r="A46" s="13" t="s">
        <v>8418</v>
      </c>
      <c r="B46" s="13" t="s">
        <v>8419</v>
      </c>
      <c r="C46" s="13">
        <v>2013</v>
      </c>
      <c r="D46" s="13" t="s">
        <v>413</v>
      </c>
      <c r="E46" s="13" t="s">
        <v>8420</v>
      </c>
      <c r="F46" s="13">
        <v>7.2320000000000002</v>
      </c>
      <c r="G46" s="13" t="s">
        <v>18</v>
      </c>
      <c r="H46" s="13" t="s">
        <v>8421</v>
      </c>
      <c r="I46" s="13" t="s">
        <v>8422</v>
      </c>
      <c r="J46" s="9" t="s">
        <v>8423</v>
      </c>
      <c r="K46" s="13">
        <v>2380</v>
      </c>
    </row>
    <row r="47" spans="1:11" ht="15" customHeight="1" x14ac:dyDescent="0.2">
      <c r="A47" s="13" t="s">
        <v>8424</v>
      </c>
      <c r="B47" s="13" t="s">
        <v>8425</v>
      </c>
      <c r="C47" s="13">
        <v>2021</v>
      </c>
      <c r="D47" s="13" t="s">
        <v>413</v>
      </c>
      <c r="E47" s="13" t="s">
        <v>8426</v>
      </c>
      <c r="F47" s="13">
        <v>7.1</v>
      </c>
      <c r="G47" s="13" t="s">
        <v>18</v>
      </c>
      <c r="H47" s="13" t="s">
        <v>8427</v>
      </c>
      <c r="I47" s="13" t="s">
        <v>8428</v>
      </c>
      <c r="J47" s="9" t="s">
        <v>8429</v>
      </c>
      <c r="K47" s="13">
        <v>848</v>
      </c>
    </row>
    <row r="48" spans="1:11" ht="15" customHeight="1" x14ac:dyDescent="0.2">
      <c r="A48" s="13" t="s">
        <v>8430</v>
      </c>
      <c r="B48" s="13" t="s">
        <v>8430</v>
      </c>
      <c r="C48" s="13">
        <v>2024</v>
      </c>
      <c r="D48" s="13" t="s">
        <v>8286</v>
      </c>
      <c r="E48" s="13" t="s">
        <v>946</v>
      </c>
      <c r="F48" s="13"/>
      <c r="G48" s="13"/>
      <c r="H48" s="13" t="s">
        <v>8431</v>
      </c>
      <c r="I48" s="13" t="s">
        <v>8432</v>
      </c>
      <c r="J48" s="9" t="s">
        <v>8433</v>
      </c>
      <c r="K48" s="13"/>
    </row>
    <row r="49" spans="1:11" ht="15" customHeight="1" x14ac:dyDescent="0.2">
      <c r="A49" s="13" t="s">
        <v>8434</v>
      </c>
      <c r="B49" s="13" t="s">
        <v>8435</v>
      </c>
      <c r="C49" s="13">
        <v>1984</v>
      </c>
      <c r="D49" s="13" t="s">
        <v>413</v>
      </c>
      <c r="E49" s="13" t="s">
        <v>1096</v>
      </c>
      <c r="F49" s="13">
        <v>7.5</v>
      </c>
      <c r="G49" s="13" t="s">
        <v>77</v>
      </c>
      <c r="H49" s="13" t="s">
        <v>8436</v>
      </c>
      <c r="I49" s="13" t="s">
        <v>8437</v>
      </c>
      <c r="J49" s="9" t="s">
        <v>8438</v>
      </c>
      <c r="K49" s="13">
        <v>70</v>
      </c>
    </row>
    <row r="50" spans="1:11" ht="15" customHeight="1" x14ac:dyDescent="0.2">
      <c r="A50" s="13" t="s">
        <v>6219</v>
      </c>
      <c r="B50" s="13" t="s">
        <v>8439</v>
      </c>
      <c r="C50" s="13">
        <v>2005</v>
      </c>
      <c r="D50" s="13" t="s">
        <v>413</v>
      </c>
      <c r="E50" s="13" t="s">
        <v>8440</v>
      </c>
      <c r="F50" s="13">
        <v>6.9580000000000002</v>
      </c>
      <c r="G50" s="13" t="s">
        <v>18</v>
      </c>
      <c r="H50" s="13" t="s">
        <v>8441</v>
      </c>
      <c r="I50" s="13" t="s">
        <v>8442</v>
      </c>
      <c r="J50" s="9" t="s">
        <v>8443</v>
      </c>
      <c r="K50" s="13">
        <v>2496</v>
      </c>
    </row>
    <row r="51" spans="1:11" ht="15" customHeight="1" x14ac:dyDescent="0.2">
      <c r="A51" s="15" t="s">
        <v>8444</v>
      </c>
      <c r="B51" s="15" t="s">
        <v>8445</v>
      </c>
      <c r="C51" s="15">
        <v>2002</v>
      </c>
      <c r="D51" s="15" t="s">
        <v>413</v>
      </c>
      <c r="E51" s="15" t="s">
        <v>1052</v>
      </c>
      <c r="F51" s="15">
        <v>6.4029999999999996</v>
      </c>
      <c r="G51" s="15" t="s">
        <v>46</v>
      </c>
      <c r="H51" s="15" t="s">
        <v>8446</v>
      </c>
      <c r="I51" s="15" t="s">
        <v>8447</v>
      </c>
      <c r="J51" s="10" t="s">
        <v>8448</v>
      </c>
      <c r="K51" s="15">
        <v>1621</v>
      </c>
    </row>
    <row r="52" spans="1:11" ht="15" customHeight="1" x14ac:dyDescent="0.2">
      <c r="A52" s="13" t="s">
        <v>8449</v>
      </c>
      <c r="B52" s="13" t="s">
        <v>8445</v>
      </c>
      <c r="C52" s="13">
        <v>2002</v>
      </c>
      <c r="D52" s="13" t="s">
        <v>413</v>
      </c>
      <c r="E52" s="13" t="s">
        <v>1052</v>
      </c>
      <c r="F52" s="13">
        <v>6.4029999999999996</v>
      </c>
      <c r="G52" s="13" t="s">
        <v>46</v>
      </c>
      <c r="H52" s="13" t="s">
        <v>8446</v>
      </c>
      <c r="I52" s="13" t="s">
        <v>8447</v>
      </c>
      <c r="J52" s="9" t="s">
        <v>8448</v>
      </c>
      <c r="K52" s="13">
        <v>1621</v>
      </c>
    </row>
    <row r="53" spans="1:11" ht="15" customHeight="1" x14ac:dyDescent="0.2">
      <c r="A53" s="13" t="s">
        <v>8450</v>
      </c>
      <c r="B53" s="13" t="s">
        <v>8451</v>
      </c>
      <c r="C53" s="13">
        <v>2001</v>
      </c>
      <c r="D53" s="13" t="s">
        <v>413</v>
      </c>
      <c r="E53" s="13" t="s">
        <v>1024</v>
      </c>
      <c r="F53" s="13">
        <v>6.867</v>
      </c>
      <c r="G53" s="13" t="s">
        <v>18</v>
      </c>
      <c r="H53" s="13" t="s">
        <v>8452</v>
      </c>
      <c r="I53" s="13" t="s">
        <v>8453</v>
      </c>
      <c r="J53" s="9" t="s">
        <v>8454</v>
      </c>
      <c r="K53" s="13">
        <v>1388</v>
      </c>
    </row>
    <row r="54" spans="1:11" ht="15" customHeight="1" x14ac:dyDescent="0.2">
      <c r="A54" s="13" t="s">
        <v>8455</v>
      </c>
      <c r="B54" s="13" t="s">
        <v>8456</v>
      </c>
      <c r="C54" s="13">
        <v>1990</v>
      </c>
      <c r="D54" s="13" t="s">
        <v>8457</v>
      </c>
      <c r="E54" s="13" t="s">
        <v>566</v>
      </c>
      <c r="F54" s="13">
        <v>7.1</v>
      </c>
      <c r="G54" s="13" t="s">
        <v>18</v>
      </c>
      <c r="H54" s="13" t="s">
        <v>8458</v>
      </c>
      <c r="I54" s="13" t="s">
        <v>8459</v>
      </c>
      <c r="J54" s="9" t="s">
        <v>8460</v>
      </c>
      <c r="K54" s="13">
        <v>13</v>
      </c>
    </row>
    <row r="55" spans="1:11" ht="15" customHeight="1" x14ac:dyDescent="0.2">
      <c r="A55" s="13" t="s">
        <v>8461</v>
      </c>
      <c r="B55" s="13" t="s">
        <v>8462</v>
      </c>
      <c r="C55" s="13">
        <v>2016</v>
      </c>
      <c r="D55" s="13" t="s">
        <v>8463</v>
      </c>
      <c r="E55" s="13" t="s">
        <v>1196</v>
      </c>
      <c r="F55" s="13">
        <v>6.3</v>
      </c>
      <c r="G55" s="13" t="s">
        <v>46</v>
      </c>
      <c r="H55" s="13" t="s">
        <v>8464</v>
      </c>
      <c r="I55" s="13" t="s">
        <v>8465</v>
      </c>
      <c r="J55" s="9" t="s">
        <v>8466</v>
      </c>
      <c r="K55" s="13">
        <v>6</v>
      </c>
    </row>
    <row r="56" spans="1:11" ht="15" customHeight="1" x14ac:dyDescent="0.2">
      <c r="A56" s="13" t="s">
        <v>8467</v>
      </c>
      <c r="B56" s="13" t="s">
        <v>8468</v>
      </c>
      <c r="C56" s="13">
        <v>2003</v>
      </c>
      <c r="D56" s="13" t="s">
        <v>413</v>
      </c>
      <c r="E56" s="13" t="s">
        <v>1678</v>
      </c>
      <c r="F56" s="13">
        <v>6.6980000000000004</v>
      </c>
      <c r="G56" s="13" t="s">
        <v>18</v>
      </c>
      <c r="H56" s="13" t="s">
        <v>8469</v>
      </c>
      <c r="I56" s="13" t="s">
        <v>8470</v>
      </c>
      <c r="J56" s="9" t="s">
        <v>8471</v>
      </c>
      <c r="K56" s="13">
        <v>378</v>
      </c>
    </row>
    <row r="57" spans="1:11" ht="15" customHeight="1" x14ac:dyDescent="0.2">
      <c r="A57" s="13" t="s">
        <v>8472</v>
      </c>
      <c r="B57" s="13" t="s">
        <v>8473</v>
      </c>
      <c r="C57" s="13">
        <v>2009</v>
      </c>
      <c r="D57" s="13" t="s">
        <v>413</v>
      </c>
      <c r="E57" s="13" t="s">
        <v>1052</v>
      </c>
      <c r="F57" s="13">
        <v>6.5789999999999997</v>
      </c>
      <c r="G57" s="13" t="s">
        <v>18</v>
      </c>
      <c r="H57" s="13" t="s">
        <v>8474</v>
      </c>
      <c r="I57" s="13" t="s">
        <v>8475</v>
      </c>
      <c r="J57" s="9" t="s">
        <v>8476</v>
      </c>
      <c r="K57" s="13">
        <v>1852</v>
      </c>
    </row>
    <row r="58" spans="1:11" ht="15" customHeight="1" x14ac:dyDescent="0.2">
      <c r="A58" s="13" t="s">
        <v>8477</v>
      </c>
      <c r="B58" s="13" t="s">
        <v>8478</v>
      </c>
      <c r="C58" s="13">
        <v>2003</v>
      </c>
      <c r="D58" s="13" t="s">
        <v>8479</v>
      </c>
      <c r="E58" s="13" t="s">
        <v>1096</v>
      </c>
      <c r="F58" s="13">
        <v>6.8810000000000002</v>
      </c>
      <c r="G58" s="13" t="s">
        <v>18</v>
      </c>
      <c r="H58" s="13" t="s">
        <v>8480</v>
      </c>
      <c r="I58" s="13" t="s">
        <v>8481</v>
      </c>
      <c r="J58" s="9" t="s">
        <v>8482</v>
      </c>
      <c r="K58" s="13">
        <v>928</v>
      </c>
    </row>
    <row r="59" spans="1:11" ht="15" customHeight="1" x14ac:dyDescent="0.2">
      <c r="A59" s="13" t="s">
        <v>8483</v>
      </c>
      <c r="B59" s="13" t="s">
        <v>8484</v>
      </c>
      <c r="C59" s="13">
        <v>2004</v>
      </c>
      <c r="D59" s="13" t="s">
        <v>530</v>
      </c>
      <c r="E59" s="13" t="s">
        <v>8485</v>
      </c>
      <c r="F59" s="13">
        <v>8.0920000000000005</v>
      </c>
      <c r="G59" s="13" t="s">
        <v>77</v>
      </c>
      <c r="H59" s="13" t="s">
        <v>8486</v>
      </c>
      <c r="I59" s="13" t="s">
        <v>8487</v>
      </c>
      <c r="J59" s="9" t="s">
        <v>8488</v>
      </c>
      <c r="K59" s="13">
        <v>15853</v>
      </c>
    </row>
    <row r="60" spans="1:11" ht="15" customHeight="1" x14ac:dyDescent="0.2">
      <c r="A60" s="13" t="s">
        <v>8489</v>
      </c>
      <c r="B60" s="13" t="s">
        <v>8490</v>
      </c>
      <c r="C60" s="13">
        <v>2010</v>
      </c>
      <c r="D60" s="13" t="s">
        <v>413</v>
      </c>
      <c r="E60" s="13" t="s">
        <v>1678</v>
      </c>
      <c r="F60" s="13">
        <v>8.0069999999999997</v>
      </c>
      <c r="G60" s="13" t="s">
        <v>77</v>
      </c>
      <c r="H60" s="13" t="s">
        <v>8491</v>
      </c>
      <c r="I60" s="13" t="s">
        <v>8492</v>
      </c>
      <c r="J60" s="9" t="s">
        <v>8493</v>
      </c>
      <c r="K60" s="13">
        <v>3222</v>
      </c>
    </row>
    <row r="61" spans="1:11" ht="15" customHeight="1" x14ac:dyDescent="0.2">
      <c r="A61" s="15" t="s">
        <v>8494</v>
      </c>
      <c r="B61" s="15" t="s">
        <v>8495</v>
      </c>
      <c r="C61" s="15">
        <v>2010</v>
      </c>
      <c r="D61" s="15" t="s">
        <v>8496</v>
      </c>
      <c r="E61" s="15" t="s">
        <v>1096</v>
      </c>
      <c r="F61" s="15">
        <v>6.9</v>
      </c>
      <c r="G61" s="15" t="s">
        <v>18</v>
      </c>
      <c r="H61" s="15" t="s">
        <v>8497</v>
      </c>
      <c r="I61" s="15" t="s">
        <v>8498</v>
      </c>
      <c r="J61" s="10" t="s">
        <v>8499</v>
      </c>
      <c r="K61" s="15">
        <v>2109</v>
      </c>
    </row>
    <row r="62" spans="1:11" ht="15" customHeight="1" x14ac:dyDescent="0.2">
      <c r="A62" s="13" t="s">
        <v>8500</v>
      </c>
      <c r="B62" s="13" t="s">
        <v>8501</v>
      </c>
      <c r="C62" s="13">
        <v>1998</v>
      </c>
      <c r="D62" s="13" t="s">
        <v>413</v>
      </c>
      <c r="E62" s="13" t="s">
        <v>1096</v>
      </c>
      <c r="F62" s="13">
        <v>6.6180000000000003</v>
      </c>
      <c r="G62" s="13" t="s">
        <v>18</v>
      </c>
      <c r="H62" s="13" t="s">
        <v>8502</v>
      </c>
      <c r="I62" s="13" t="s">
        <v>8503</v>
      </c>
      <c r="J62" s="9" t="s">
        <v>8504</v>
      </c>
      <c r="K62" s="13">
        <v>5164</v>
      </c>
    </row>
    <row r="63" spans="1:11" ht="15" customHeight="1" x14ac:dyDescent="0.2">
      <c r="A63" s="13" t="s">
        <v>8505</v>
      </c>
      <c r="B63" s="13" t="s">
        <v>8506</v>
      </c>
      <c r="C63" s="13">
        <v>2025</v>
      </c>
      <c r="D63" s="13" t="s">
        <v>8507</v>
      </c>
      <c r="E63" s="13" t="s">
        <v>1678</v>
      </c>
      <c r="F63" s="13">
        <v>6.4729999999999999</v>
      </c>
      <c r="G63" s="13" t="s">
        <v>46</v>
      </c>
      <c r="H63" s="13" t="s">
        <v>8508</v>
      </c>
      <c r="I63" s="13" t="s">
        <v>8509</v>
      </c>
      <c r="J63" s="9" t="s">
        <v>8510</v>
      </c>
      <c r="K63" s="13">
        <v>913</v>
      </c>
    </row>
    <row r="64" spans="1:11" ht="15" customHeight="1" x14ac:dyDescent="0.2">
      <c r="A64" s="13" t="s">
        <v>8128</v>
      </c>
      <c r="B64" s="13" t="s">
        <v>8511</v>
      </c>
      <c r="C64" s="13">
        <v>2014</v>
      </c>
      <c r="D64" s="13" t="s">
        <v>413</v>
      </c>
      <c r="E64" s="13" t="s">
        <v>1270</v>
      </c>
      <c r="F64" s="13">
        <v>5.5439999999999996</v>
      </c>
      <c r="G64" s="13" t="s">
        <v>46</v>
      </c>
      <c r="H64" s="13" t="s">
        <v>8512</v>
      </c>
      <c r="I64" s="13" t="s">
        <v>8513</v>
      </c>
      <c r="J64" s="9" t="s">
        <v>8514</v>
      </c>
      <c r="K64" s="13">
        <v>433</v>
      </c>
    </row>
    <row r="65" spans="1:11" ht="15" customHeight="1" x14ac:dyDescent="0.2">
      <c r="A65" s="13" t="s">
        <v>8515</v>
      </c>
      <c r="B65" s="13" t="s">
        <v>8515</v>
      </c>
      <c r="C65" s="13">
        <v>2008</v>
      </c>
      <c r="D65" s="13" t="s">
        <v>1018</v>
      </c>
      <c r="E65" s="13" t="s">
        <v>1961</v>
      </c>
      <c r="F65" s="13">
        <v>6.7</v>
      </c>
      <c r="G65" s="13" t="s">
        <v>18</v>
      </c>
      <c r="H65" s="13" t="s">
        <v>8516</v>
      </c>
      <c r="I65" s="13" t="s">
        <v>8517</v>
      </c>
      <c r="J65" s="9" t="s">
        <v>8518</v>
      </c>
      <c r="K65" s="13">
        <v>1884</v>
      </c>
    </row>
    <row r="66" spans="1:11" ht="15" customHeight="1" x14ac:dyDescent="0.2">
      <c r="A66" s="13" t="s">
        <v>5040</v>
      </c>
      <c r="B66" s="13"/>
      <c r="C66" s="13">
        <v>1991</v>
      </c>
      <c r="D66" s="13"/>
      <c r="E66" s="13"/>
      <c r="F66" s="13"/>
      <c r="G66" s="13"/>
      <c r="H66" s="13"/>
      <c r="I66" s="13"/>
      <c r="J66" s="9"/>
      <c r="K66" s="13"/>
    </row>
    <row r="67" spans="1:11" ht="15" customHeight="1" x14ac:dyDescent="0.2">
      <c r="A67" s="13" t="s">
        <v>8519</v>
      </c>
      <c r="B67" s="13" t="s">
        <v>8520</v>
      </c>
      <c r="C67" s="13">
        <v>2015</v>
      </c>
      <c r="D67" s="13" t="s">
        <v>530</v>
      </c>
      <c r="E67" s="13" t="s">
        <v>8521</v>
      </c>
      <c r="F67" s="13">
        <v>5</v>
      </c>
      <c r="G67" s="13" t="s">
        <v>28</v>
      </c>
      <c r="H67" s="13" t="s">
        <v>8522</v>
      </c>
      <c r="I67" s="13" t="s">
        <v>8523</v>
      </c>
      <c r="J67" s="9" t="s">
        <v>8524</v>
      </c>
      <c r="K67" s="13">
        <v>5</v>
      </c>
    </row>
    <row r="68" spans="1:11" ht="15" customHeight="1" x14ac:dyDescent="0.2">
      <c r="A68" s="13" t="s">
        <v>8525</v>
      </c>
      <c r="B68" s="13" t="s">
        <v>8526</v>
      </c>
      <c r="C68" s="13">
        <v>2016</v>
      </c>
      <c r="D68" s="13" t="s">
        <v>8527</v>
      </c>
      <c r="E68" s="13" t="s">
        <v>8528</v>
      </c>
      <c r="F68" s="13">
        <v>8.48</v>
      </c>
      <c r="G68" s="13" t="s">
        <v>77</v>
      </c>
      <c r="H68" s="13" t="s">
        <v>4156</v>
      </c>
      <c r="I68" s="13" t="s">
        <v>8529</v>
      </c>
      <c r="J68" s="9" t="s">
        <v>4158</v>
      </c>
      <c r="K68" s="13">
        <v>12153</v>
      </c>
    </row>
    <row r="69" spans="1:11" ht="15" customHeight="1" x14ac:dyDescent="0.2">
      <c r="A69" s="13" t="s">
        <v>8530</v>
      </c>
      <c r="B69" s="13" t="s">
        <v>8531</v>
      </c>
      <c r="C69" s="13">
        <v>2018</v>
      </c>
      <c r="D69" s="13" t="s">
        <v>5234</v>
      </c>
      <c r="E69" s="13" t="s">
        <v>1013</v>
      </c>
      <c r="F69" s="13">
        <v>6.2169999999999996</v>
      </c>
      <c r="G69" s="13" t="s">
        <v>46</v>
      </c>
      <c r="H69" s="13" t="s">
        <v>8532</v>
      </c>
      <c r="I69" s="13" t="s">
        <v>8533</v>
      </c>
      <c r="J69" s="9" t="s">
        <v>8534</v>
      </c>
      <c r="K69" s="13">
        <v>731</v>
      </c>
    </row>
    <row r="70" spans="1:11" ht="15" customHeight="1" x14ac:dyDescent="0.2">
      <c r="A70" s="13" t="s">
        <v>8535</v>
      </c>
      <c r="B70" s="13" t="s">
        <v>8536</v>
      </c>
      <c r="C70" s="13">
        <v>2000</v>
      </c>
      <c r="D70" s="13" t="s">
        <v>5234</v>
      </c>
      <c r="E70" s="13" t="s">
        <v>8537</v>
      </c>
      <c r="F70" s="13">
        <v>7.3390000000000004</v>
      </c>
      <c r="G70" s="13" t="s">
        <v>18</v>
      </c>
      <c r="H70" s="13" t="s">
        <v>8538</v>
      </c>
      <c r="I70" s="13" t="s">
        <v>8539</v>
      </c>
      <c r="J70" s="9" t="s">
        <v>8540</v>
      </c>
      <c r="K70" s="13">
        <v>1167</v>
      </c>
    </row>
  </sheetData>
  <dataValidations count="1">
    <dataValidation type="list" allowBlank="1" showDropDown="1" showInputMessage="1" showErrorMessage="1" sqref="D2:D8 D10:D18 D20:D28 D30:D37 D39:D47 D49:D53 I2:I8 I10:I18 I20:I28 I30:I37 I39:I47 I49:I53" xr:uid="{00000000-0002-0000-0A00-000000000000}">
      <formula1>#REF!</formula1>
      <formula2>0</formula2>
    </dataValidation>
  </dataValidations>
  <pageMargins left="0.74791666666666701" right="0.74791666666666701" top="0.98402777777777795" bottom="0.98402777777777795"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Tabelle12"/>
  <dimension ref="A1:AG418"/>
  <sheetViews>
    <sheetView zoomScaleNormal="100" workbookViewId="0">
      <pane ySplit="1" topLeftCell="A392" activePane="bottomLeft" state="frozen"/>
      <selection pane="bottomLeft" activeCell="L392" sqref="L392"/>
    </sheetView>
  </sheetViews>
  <sheetFormatPr baseColWidth="10" defaultColWidth="12.5703125" defaultRowHeight="15" customHeight="1" x14ac:dyDescent="0.2"/>
  <cols>
    <col min="1" max="1" width="47.42578125" style="2" customWidth="1"/>
    <col min="2" max="2" width="18.5703125" style="2" customWidth="1"/>
    <col min="3" max="3" width="8.140625" style="2" customWidth="1"/>
    <col min="4" max="4" width="7" style="2" customWidth="1"/>
    <col min="5" max="5" width="11.42578125" style="2" customWidth="1"/>
    <col min="6" max="6" width="6.42578125" style="2" customWidth="1"/>
    <col min="7" max="7" width="11.42578125" style="2" customWidth="1"/>
    <col min="8" max="8" width="9.140625" style="2" customWidth="1"/>
    <col min="9" max="9" width="44.7109375" style="2" customWidth="1"/>
    <col min="10" max="10" width="43" style="2" customWidth="1"/>
    <col min="11" max="12" width="18.5703125" style="2" customWidth="1"/>
    <col min="13" max="13" width="18.140625" style="2" customWidth="1"/>
    <col min="14" max="14" width="11.42578125" style="2" customWidth="1"/>
    <col min="15" max="15" width="24.5703125" style="2" customWidth="1"/>
    <col min="16" max="16" width="25.7109375" style="2" customWidth="1"/>
    <col min="17" max="21" width="11.42578125" style="2" customWidth="1"/>
    <col min="22" max="22" width="46.28515625" style="2" customWidth="1"/>
    <col min="23" max="23" width="106.7109375" style="2" customWidth="1"/>
    <col min="24" max="24" width="126.5703125" style="2" customWidth="1"/>
    <col min="25" max="25" width="8.140625" style="2" customWidth="1"/>
    <col min="26" max="26" width="32.140625" style="2" customWidth="1"/>
    <col min="27" max="27" width="16.42578125" style="2" customWidth="1"/>
    <col min="28" max="28" width="14.140625" style="2" customWidth="1"/>
    <col min="29" max="29" width="11.42578125" style="2" customWidth="1"/>
    <col min="30" max="30" width="50.140625" style="2" customWidth="1"/>
    <col min="31" max="31" width="26.28515625" style="2" customWidth="1"/>
    <col min="32" max="32" width="11.7109375" style="2" customWidth="1"/>
    <col min="33" max="33" width="12.7109375" style="2" customWidth="1"/>
  </cols>
  <sheetData>
    <row r="1" spans="1:11" ht="16.5" customHeight="1" x14ac:dyDescent="0.2">
      <c r="A1" s="11" t="s">
        <v>0</v>
      </c>
      <c r="B1" s="11" t="s">
        <v>1</v>
      </c>
      <c r="C1" s="11" t="s">
        <v>2</v>
      </c>
      <c r="D1" s="11" t="s">
        <v>3</v>
      </c>
      <c r="E1" s="11" t="s">
        <v>4</v>
      </c>
      <c r="F1" s="11" t="s">
        <v>5</v>
      </c>
      <c r="G1" s="11" t="s">
        <v>6</v>
      </c>
      <c r="H1" s="11" t="s">
        <v>7</v>
      </c>
      <c r="I1" s="11" t="s">
        <v>8</v>
      </c>
      <c r="J1" s="11" t="s">
        <v>9</v>
      </c>
      <c r="K1" s="11" t="s">
        <v>10</v>
      </c>
    </row>
    <row r="2" spans="1:11" ht="15" customHeight="1" x14ac:dyDescent="0.2">
      <c r="A2" s="13" t="s">
        <v>8541</v>
      </c>
      <c r="B2" s="13" t="s">
        <v>8541</v>
      </c>
      <c r="C2" s="13">
        <v>2016</v>
      </c>
      <c r="D2" s="13" t="s">
        <v>413</v>
      </c>
      <c r="E2" s="13" t="s">
        <v>8542</v>
      </c>
      <c r="F2" s="13">
        <v>6.9950000000000001</v>
      </c>
      <c r="G2" s="13" t="s">
        <v>18</v>
      </c>
      <c r="H2" s="13" t="s">
        <v>8543</v>
      </c>
      <c r="I2" s="13" t="s">
        <v>8544</v>
      </c>
      <c r="J2" s="9" t="s">
        <v>8545</v>
      </c>
      <c r="K2" s="13">
        <v>8387</v>
      </c>
    </row>
    <row r="3" spans="1:11" ht="15" customHeight="1" x14ac:dyDescent="0.2">
      <c r="A3" s="13" t="s">
        <v>8546</v>
      </c>
      <c r="B3" s="13" t="s">
        <v>8546</v>
      </c>
      <c r="C3" s="13">
        <v>2019</v>
      </c>
      <c r="D3" s="13" t="s">
        <v>8547</v>
      </c>
      <c r="E3" s="13" t="s">
        <v>2707</v>
      </c>
      <c r="F3" s="13">
        <v>6.7649999999999997</v>
      </c>
      <c r="G3" s="13" t="s">
        <v>18</v>
      </c>
      <c r="H3" s="13" t="s">
        <v>8548</v>
      </c>
      <c r="I3" s="13" t="s">
        <v>8549</v>
      </c>
      <c r="J3" s="9" t="s">
        <v>8550</v>
      </c>
      <c r="K3" s="13">
        <v>2076</v>
      </c>
    </row>
    <row r="4" spans="1:11" ht="15" customHeight="1" x14ac:dyDescent="0.2">
      <c r="A4" s="13" t="s">
        <v>8551</v>
      </c>
      <c r="B4" s="13" t="s">
        <v>8552</v>
      </c>
      <c r="C4" s="13">
        <v>2006</v>
      </c>
      <c r="D4" s="13" t="s">
        <v>8553</v>
      </c>
      <c r="E4" s="13" t="s">
        <v>1900</v>
      </c>
      <c r="F4" s="13">
        <v>6.5</v>
      </c>
      <c r="G4" s="13" t="s">
        <v>46</v>
      </c>
      <c r="H4" s="13" t="s">
        <v>8554</v>
      </c>
      <c r="I4" s="13" t="s">
        <v>8555</v>
      </c>
      <c r="J4" s="9" t="s">
        <v>8556</v>
      </c>
      <c r="K4" s="13">
        <v>73</v>
      </c>
    </row>
    <row r="5" spans="1:11" ht="15" customHeight="1" x14ac:dyDescent="0.2">
      <c r="A5" s="13" t="s">
        <v>8557</v>
      </c>
      <c r="B5" s="13" t="s">
        <v>8558</v>
      </c>
      <c r="C5" s="13">
        <v>2019</v>
      </c>
      <c r="D5" s="13" t="s">
        <v>781</v>
      </c>
      <c r="E5" s="13" t="s">
        <v>8559</v>
      </c>
      <c r="F5" s="13">
        <v>5.7039999999999997</v>
      </c>
      <c r="G5" s="13" t="s">
        <v>46</v>
      </c>
      <c r="H5" s="13" t="s">
        <v>8560</v>
      </c>
      <c r="I5" s="13" t="s">
        <v>8561</v>
      </c>
      <c r="J5" s="9" t="s">
        <v>8562</v>
      </c>
      <c r="K5" s="13">
        <v>1474</v>
      </c>
    </row>
    <row r="6" spans="1:11" ht="15" customHeight="1" x14ac:dyDescent="0.2">
      <c r="A6" s="13" t="s">
        <v>8563</v>
      </c>
      <c r="B6" s="13" t="s">
        <v>8563</v>
      </c>
      <c r="C6" s="13">
        <v>2019</v>
      </c>
      <c r="D6" s="13" t="s">
        <v>8564</v>
      </c>
      <c r="E6" s="13" t="s">
        <v>259</v>
      </c>
      <c r="F6" s="13">
        <v>6.3410000000000002</v>
      </c>
      <c r="G6" s="13" t="s">
        <v>46</v>
      </c>
      <c r="H6" s="13" t="s">
        <v>8565</v>
      </c>
      <c r="I6" s="13" t="s">
        <v>8566</v>
      </c>
      <c r="J6" s="9" t="s">
        <v>8567</v>
      </c>
      <c r="K6" s="13">
        <v>5010</v>
      </c>
    </row>
    <row r="7" spans="1:11" ht="15" customHeight="1" x14ac:dyDescent="0.2">
      <c r="A7" s="13" t="s">
        <v>8568</v>
      </c>
      <c r="B7" s="13" t="s">
        <v>8569</v>
      </c>
      <c r="C7" s="13">
        <v>2020</v>
      </c>
      <c r="D7" s="13" t="s">
        <v>560</v>
      </c>
      <c r="E7" s="13" t="s">
        <v>890</v>
      </c>
      <c r="F7" s="13">
        <v>7.1</v>
      </c>
      <c r="G7" s="13" t="s">
        <v>18</v>
      </c>
      <c r="H7" s="13" t="s">
        <v>8570</v>
      </c>
      <c r="I7" s="13" t="s">
        <v>8571</v>
      </c>
      <c r="J7" s="9" t="s">
        <v>8572</v>
      </c>
      <c r="K7" s="13">
        <v>39</v>
      </c>
    </row>
    <row r="8" spans="1:11" ht="15" customHeight="1" x14ac:dyDescent="0.2">
      <c r="A8" s="13" t="s">
        <v>8573</v>
      </c>
      <c r="B8" s="13" t="s">
        <v>8573</v>
      </c>
      <c r="C8" s="13">
        <v>2006</v>
      </c>
      <c r="D8" s="13" t="s">
        <v>1179</v>
      </c>
      <c r="E8" s="13" t="s">
        <v>675</v>
      </c>
      <c r="F8" s="13">
        <v>5.4359999999999999</v>
      </c>
      <c r="G8" s="13" t="s">
        <v>28</v>
      </c>
      <c r="H8" s="13" t="s">
        <v>8574</v>
      </c>
      <c r="I8" s="13" t="s">
        <v>8575</v>
      </c>
      <c r="J8" s="9" t="s">
        <v>8576</v>
      </c>
      <c r="K8" s="13">
        <v>39</v>
      </c>
    </row>
    <row r="9" spans="1:11" ht="15" customHeight="1" x14ac:dyDescent="0.2">
      <c r="A9" s="13" t="s">
        <v>8577</v>
      </c>
      <c r="B9" s="13" t="s">
        <v>8577</v>
      </c>
      <c r="C9" s="13">
        <v>2024</v>
      </c>
      <c r="D9" s="13" t="s">
        <v>413</v>
      </c>
      <c r="E9" s="13" t="s">
        <v>8578</v>
      </c>
      <c r="F9" s="13">
        <v>6.9020000000000001</v>
      </c>
      <c r="G9" s="13" t="s">
        <v>18</v>
      </c>
      <c r="H9" s="13" t="s">
        <v>8579</v>
      </c>
      <c r="I9" s="13" t="s">
        <v>8580</v>
      </c>
      <c r="J9" s="9" t="s">
        <v>8581</v>
      </c>
      <c r="K9" s="13">
        <v>373</v>
      </c>
    </row>
    <row r="10" spans="1:11" ht="15" customHeight="1" x14ac:dyDescent="0.2">
      <c r="A10" s="13" t="s">
        <v>8582</v>
      </c>
      <c r="B10" s="13" t="s">
        <v>8583</v>
      </c>
      <c r="C10" s="13">
        <v>2011</v>
      </c>
      <c r="D10" s="13" t="s">
        <v>619</v>
      </c>
      <c r="E10" s="13" t="s">
        <v>8584</v>
      </c>
      <c r="F10" s="13">
        <v>6.2</v>
      </c>
      <c r="G10" s="13" t="s">
        <v>46</v>
      </c>
      <c r="H10" s="13" t="s">
        <v>8585</v>
      </c>
      <c r="I10" s="13" t="s">
        <v>8586</v>
      </c>
      <c r="J10" s="9" t="s">
        <v>8587</v>
      </c>
      <c r="K10" s="13">
        <v>619</v>
      </c>
    </row>
    <row r="11" spans="1:11" ht="15" customHeight="1" x14ac:dyDescent="0.2">
      <c r="A11" s="15" t="s">
        <v>8588</v>
      </c>
      <c r="B11" s="15" t="s">
        <v>8588</v>
      </c>
      <c r="C11" s="15">
        <v>2019</v>
      </c>
      <c r="D11" s="15" t="s">
        <v>8589</v>
      </c>
      <c r="E11" s="15" t="s">
        <v>456</v>
      </c>
      <c r="F11" s="15">
        <v>5.8</v>
      </c>
      <c r="G11" s="15" t="s">
        <v>46</v>
      </c>
      <c r="H11" s="15" t="s">
        <v>8590</v>
      </c>
      <c r="I11" s="15" t="s">
        <v>8591</v>
      </c>
      <c r="J11" s="10" t="s">
        <v>8592</v>
      </c>
      <c r="K11" s="15">
        <v>516</v>
      </c>
    </row>
    <row r="12" spans="1:11" ht="15" customHeight="1" x14ac:dyDescent="0.2">
      <c r="A12" s="13" t="s">
        <v>8593</v>
      </c>
      <c r="B12" s="13" t="s">
        <v>8593</v>
      </c>
      <c r="C12" s="13">
        <v>2023</v>
      </c>
      <c r="D12" s="13" t="s">
        <v>413</v>
      </c>
      <c r="E12" s="13" t="s">
        <v>1900</v>
      </c>
      <c r="F12" s="13">
        <v>6.6150000000000002</v>
      </c>
      <c r="G12" s="13" t="s">
        <v>18</v>
      </c>
      <c r="H12" s="13" t="s">
        <v>8594</v>
      </c>
      <c r="I12" s="13" t="s">
        <v>8595</v>
      </c>
      <c r="J12" s="9" t="s">
        <v>8596</v>
      </c>
      <c r="K12" s="13">
        <v>139</v>
      </c>
    </row>
    <row r="13" spans="1:11" ht="15" customHeight="1" x14ac:dyDescent="0.2">
      <c r="A13" s="13" t="s">
        <v>8597</v>
      </c>
      <c r="B13" s="13" t="s">
        <v>8598</v>
      </c>
      <c r="C13" s="13">
        <v>2009</v>
      </c>
      <c r="D13" s="13" t="s">
        <v>8599</v>
      </c>
      <c r="E13" s="13" t="s">
        <v>531</v>
      </c>
      <c r="F13" s="13">
        <v>6.8760000000000003</v>
      </c>
      <c r="G13" s="13" t="s">
        <v>18</v>
      </c>
      <c r="H13" s="13" t="s">
        <v>8600</v>
      </c>
      <c r="I13" s="13" t="s">
        <v>8601</v>
      </c>
      <c r="J13" s="9" t="s">
        <v>8602</v>
      </c>
      <c r="K13" s="13">
        <v>109</v>
      </c>
    </row>
    <row r="14" spans="1:11" ht="15" customHeight="1" x14ac:dyDescent="0.2">
      <c r="A14" s="13" t="s">
        <v>8603</v>
      </c>
      <c r="B14" s="13" t="s">
        <v>8603</v>
      </c>
      <c r="C14" s="13">
        <v>2023</v>
      </c>
      <c r="D14" s="13" t="s">
        <v>5234</v>
      </c>
      <c r="E14" s="13" t="s">
        <v>507</v>
      </c>
      <c r="F14" s="13">
        <v>6.6349999999999998</v>
      </c>
      <c r="G14" s="13" t="s">
        <v>18</v>
      </c>
      <c r="H14" s="13" t="s">
        <v>8604</v>
      </c>
      <c r="I14" s="13" t="s">
        <v>8605</v>
      </c>
      <c r="J14" s="9" t="s">
        <v>8606</v>
      </c>
      <c r="K14" s="13">
        <v>263</v>
      </c>
    </row>
    <row r="15" spans="1:11" ht="15" customHeight="1" x14ac:dyDescent="0.2">
      <c r="A15" s="13" t="s">
        <v>8607</v>
      </c>
      <c r="B15" s="13" t="s">
        <v>8603</v>
      </c>
      <c r="C15" s="13">
        <v>2023</v>
      </c>
      <c r="D15" s="13" t="s">
        <v>5234</v>
      </c>
      <c r="E15" s="13" t="s">
        <v>531</v>
      </c>
      <c r="F15" s="13">
        <v>6.6349999999999998</v>
      </c>
      <c r="G15" s="13" t="s">
        <v>18</v>
      </c>
      <c r="H15" s="13" t="s">
        <v>8604</v>
      </c>
      <c r="I15" s="13" t="s">
        <v>8608</v>
      </c>
      <c r="J15" s="9" t="s">
        <v>8606</v>
      </c>
      <c r="K15" s="13">
        <v>263</v>
      </c>
    </row>
    <row r="16" spans="1:11" ht="15" customHeight="1" x14ac:dyDescent="0.2">
      <c r="A16" s="13" t="s">
        <v>8609</v>
      </c>
      <c r="B16" s="13" t="s">
        <v>8609</v>
      </c>
      <c r="C16" s="13">
        <v>2022</v>
      </c>
      <c r="D16" s="13" t="s">
        <v>560</v>
      </c>
      <c r="E16" s="13" t="s">
        <v>1578</v>
      </c>
      <c r="F16" s="13">
        <v>6.0049999999999999</v>
      </c>
      <c r="G16" s="13" t="s">
        <v>46</v>
      </c>
      <c r="H16" s="13" t="s">
        <v>8610</v>
      </c>
      <c r="I16" s="13" t="s">
        <v>8611</v>
      </c>
      <c r="J16" s="9" t="s">
        <v>8612</v>
      </c>
      <c r="K16" s="13">
        <v>596</v>
      </c>
    </row>
    <row r="17" spans="1:11" ht="15" customHeight="1" x14ac:dyDescent="0.2">
      <c r="A17" s="13" t="s">
        <v>8613</v>
      </c>
      <c r="B17" s="13" t="s">
        <v>8613</v>
      </c>
      <c r="C17" s="13">
        <v>2022</v>
      </c>
      <c r="D17" s="13" t="s">
        <v>495</v>
      </c>
      <c r="E17" s="13" t="s">
        <v>456</v>
      </c>
      <c r="F17" s="13">
        <v>6.6319999999999997</v>
      </c>
      <c r="G17" s="13" t="s">
        <v>18</v>
      </c>
      <c r="H17" s="13" t="s">
        <v>8614</v>
      </c>
      <c r="I17" s="13" t="s">
        <v>8615</v>
      </c>
      <c r="J17" s="9" t="s">
        <v>8616</v>
      </c>
      <c r="K17" s="13">
        <v>2325</v>
      </c>
    </row>
    <row r="18" spans="1:11" ht="15" customHeight="1" x14ac:dyDescent="0.2">
      <c r="A18" s="13" t="s">
        <v>8617</v>
      </c>
      <c r="B18" s="13" t="s">
        <v>8617</v>
      </c>
      <c r="C18" s="13">
        <v>2018</v>
      </c>
      <c r="D18" s="13" t="s">
        <v>530</v>
      </c>
      <c r="E18" s="13" t="s">
        <v>531</v>
      </c>
      <c r="F18" s="13">
        <v>6.4</v>
      </c>
      <c r="G18" s="13" t="s">
        <v>46</v>
      </c>
      <c r="H18" s="13" t="s">
        <v>8618</v>
      </c>
      <c r="I18" s="13" t="s">
        <v>8619</v>
      </c>
      <c r="J18" s="9" t="s">
        <v>8620</v>
      </c>
      <c r="K18" s="13">
        <v>7</v>
      </c>
    </row>
    <row r="19" spans="1:11" ht="15" customHeight="1" x14ac:dyDescent="0.2">
      <c r="A19" s="13" t="s">
        <v>8621</v>
      </c>
      <c r="B19" s="13" t="s">
        <v>8621</v>
      </c>
      <c r="C19" s="13">
        <v>2019</v>
      </c>
      <c r="D19" s="13" t="s">
        <v>8622</v>
      </c>
      <c r="E19" s="13" t="s">
        <v>2204</v>
      </c>
      <c r="F19" s="13">
        <v>5.8</v>
      </c>
      <c r="G19" s="13" t="s">
        <v>46</v>
      </c>
      <c r="H19" s="13" t="s">
        <v>8623</v>
      </c>
      <c r="I19" s="13" t="s">
        <v>8624</v>
      </c>
      <c r="J19" s="9" t="s">
        <v>8625</v>
      </c>
      <c r="K19" s="13">
        <v>133</v>
      </c>
    </row>
    <row r="20" spans="1:11" ht="15" customHeight="1" x14ac:dyDescent="0.2">
      <c r="A20" s="13" t="s">
        <v>8626</v>
      </c>
      <c r="B20" s="13" t="s">
        <v>8627</v>
      </c>
      <c r="C20" s="13">
        <v>2023</v>
      </c>
      <c r="D20" s="13" t="s">
        <v>880</v>
      </c>
      <c r="E20" s="13" t="s">
        <v>531</v>
      </c>
      <c r="F20" s="13">
        <v>7.5410000000000004</v>
      </c>
      <c r="G20" s="13" t="s">
        <v>77</v>
      </c>
      <c r="H20" s="13" t="s">
        <v>8628</v>
      </c>
      <c r="I20" s="13" t="s">
        <v>8629</v>
      </c>
      <c r="J20" s="9" t="s">
        <v>8630</v>
      </c>
      <c r="K20" s="13">
        <v>3037</v>
      </c>
    </row>
    <row r="21" spans="1:11" ht="15" customHeight="1" x14ac:dyDescent="0.2">
      <c r="A21" s="15" t="s">
        <v>8631</v>
      </c>
      <c r="B21" s="15" t="s">
        <v>8631</v>
      </c>
      <c r="C21" s="15">
        <v>2019</v>
      </c>
      <c r="D21" s="15" t="s">
        <v>8632</v>
      </c>
      <c r="E21" s="15" t="s">
        <v>2374</v>
      </c>
      <c r="F21" s="15">
        <v>6.1760000000000002</v>
      </c>
      <c r="G21" s="15" t="s">
        <v>46</v>
      </c>
      <c r="H21" s="15" t="s">
        <v>8633</v>
      </c>
      <c r="I21" s="15" t="s">
        <v>8634</v>
      </c>
      <c r="J21" s="10" t="s">
        <v>8635</v>
      </c>
      <c r="K21" s="15">
        <v>293</v>
      </c>
    </row>
    <row r="22" spans="1:11" ht="15" customHeight="1" x14ac:dyDescent="0.2">
      <c r="A22" s="13" t="s">
        <v>8636</v>
      </c>
      <c r="B22" s="13" t="s">
        <v>8636</v>
      </c>
      <c r="C22" s="13">
        <v>2019</v>
      </c>
      <c r="D22" s="13" t="s">
        <v>8637</v>
      </c>
      <c r="E22" s="13" t="s">
        <v>259</v>
      </c>
      <c r="F22" s="13">
        <v>6.7069999999999999</v>
      </c>
      <c r="G22" s="13" t="s">
        <v>18</v>
      </c>
      <c r="H22" s="13" t="s">
        <v>8638</v>
      </c>
      <c r="I22" s="13" t="s">
        <v>8639</v>
      </c>
      <c r="J22" s="9" t="s">
        <v>8640</v>
      </c>
      <c r="K22" s="13">
        <v>2876</v>
      </c>
    </row>
    <row r="23" spans="1:11" ht="15" customHeight="1" x14ac:dyDescent="0.2">
      <c r="A23" s="13" t="s">
        <v>8641</v>
      </c>
      <c r="B23" s="13" t="s">
        <v>8641</v>
      </c>
      <c r="C23" s="13">
        <v>2020</v>
      </c>
      <c r="D23" s="13" t="s">
        <v>413</v>
      </c>
      <c r="E23" s="13" t="s">
        <v>8642</v>
      </c>
      <c r="F23" s="13">
        <v>6.25</v>
      </c>
      <c r="G23" s="13" t="s">
        <v>46</v>
      </c>
      <c r="H23" s="13" t="s">
        <v>8643</v>
      </c>
      <c r="I23" s="13" t="s">
        <v>8644</v>
      </c>
      <c r="J23" s="9" t="s">
        <v>8645</v>
      </c>
      <c r="K23" s="13">
        <v>960</v>
      </c>
    </row>
    <row r="24" spans="1:11" ht="15" customHeight="1" x14ac:dyDescent="0.2">
      <c r="A24" s="13" t="s">
        <v>8646</v>
      </c>
      <c r="B24" s="13" t="s">
        <v>8647</v>
      </c>
      <c r="C24" s="13">
        <v>2012</v>
      </c>
      <c r="D24" s="13" t="s">
        <v>8648</v>
      </c>
      <c r="E24" s="13" t="s">
        <v>1510</v>
      </c>
      <c r="F24" s="13">
        <v>6.3079999999999998</v>
      </c>
      <c r="G24" s="13" t="s">
        <v>46</v>
      </c>
      <c r="H24" s="13" t="s">
        <v>8649</v>
      </c>
      <c r="I24" s="13" t="s">
        <v>8650</v>
      </c>
      <c r="J24" s="9" t="s">
        <v>8651</v>
      </c>
      <c r="K24" s="13">
        <v>903</v>
      </c>
    </row>
    <row r="25" spans="1:11" ht="15" customHeight="1" x14ac:dyDescent="0.2">
      <c r="A25" s="13" t="s">
        <v>8652</v>
      </c>
      <c r="B25" s="13" t="s">
        <v>8653</v>
      </c>
      <c r="C25" s="13">
        <v>2023</v>
      </c>
      <c r="D25" s="13" t="s">
        <v>8654</v>
      </c>
      <c r="E25" s="13" t="s">
        <v>1369</v>
      </c>
      <c r="F25" s="13">
        <v>6.9</v>
      </c>
      <c r="G25" s="13" t="s">
        <v>18</v>
      </c>
      <c r="H25" s="13" t="s">
        <v>8655</v>
      </c>
      <c r="I25" s="13" t="s">
        <v>8656</v>
      </c>
      <c r="J25" s="9" t="s">
        <v>8657</v>
      </c>
      <c r="K25" s="13">
        <v>130</v>
      </c>
    </row>
    <row r="26" spans="1:11" ht="15" customHeight="1" x14ac:dyDescent="0.2">
      <c r="A26" s="13" t="s">
        <v>8658</v>
      </c>
      <c r="B26" s="13" t="s">
        <v>8658</v>
      </c>
      <c r="C26" s="13">
        <v>2012</v>
      </c>
      <c r="D26" s="13" t="s">
        <v>781</v>
      </c>
      <c r="E26" s="13" t="s">
        <v>900</v>
      </c>
      <c r="F26" s="13">
        <v>7.2830000000000004</v>
      </c>
      <c r="G26" s="13" t="s">
        <v>18</v>
      </c>
      <c r="H26" s="13" t="s">
        <v>8659</v>
      </c>
      <c r="I26" s="13" t="s">
        <v>8660</v>
      </c>
      <c r="J26" s="9" t="s">
        <v>8661</v>
      </c>
      <c r="K26" s="13">
        <v>8692</v>
      </c>
    </row>
    <row r="27" spans="1:11" ht="15" customHeight="1" x14ac:dyDescent="0.2">
      <c r="A27" s="13" t="s">
        <v>8662</v>
      </c>
      <c r="B27" s="13" t="s">
        <v>8662</v>
      </c>
      <c r="C27" s="13">
        <v>2024</v>
      </c>
      <c r="D27" s="13" t="s">
        <v>781</v>
      </c>
      <c r="E27" s="13" t="s">
        <v>439</v>
      </c>
      <c r="F27" s="13">
        <v>6.0190000000000001</v>
      </c>
      <c r="G27" s="13" t="s">
        <v>46</v>
      </c>
      <c r="H27" s="13" t="s">
        <v>8663</v>
      </c>
      <c r="I27" s="13" t="s">
        <v>8664</v>
      </c>
      <c r="J27" s="9" t="s">
        <v>8665</v>
      </c>
      <c r="K27" s="13">
        <v>1620</v>
      </c>
    </row>
    <row r="28" spans="1:11" ht="15" customHeight="1" x14ac:dyDescent="0.2">
      <c r="A28" s="13" t="s">
        <v>8666</v>
      </c>
      <c r="B28" s="13" t="s">
        <v>8666</v>
      </c>
      <c r="C28" s="13">
        <v>1999</v>
      </c>
      <c r="D28" s="13" t="s">
        <v>413</v>
      </c>
      <c r="E28" s="13" t="s">
        <v>456</v>
      </c>
      <c r="F28" s="13">
        <v>7.0209999999999999</v>
      </c>
      <c r="G28" s="13" t="s">
        <v>18</v>
      </c>
      <c r="H28" s="13" t="s">
        <v>8667</v>
      </c>
      <c r="I28" s="13" t="s">
        <v>8668</v>
      </c>
      <c r="J28" s="9" t="s">
        <v>8669</v>
      </c>
      <c r="K28" s="13">
        <v>1181</v>
      </c>
    </row>
    <row r="29" spans="1:11" ht="15" customHeight="1" x14ac:dyDescent="0.2">
      <c r="A29" s="13" t="s">
        <v>8670</v>
      </c>
      <c r="B29" s="13" t="s">
        <v>8670</v>
      </c>
      <c r="C29" s="13">
        <v>2022</v>
      </c>
      <c r="D29" s="13" t="s">
        <v>8286</v>
      </c>
      <c r="E29" s="13" t="s">
        <v>675</v>
      </c>
      <c r="F29" s="13">
        <v>5.2210000000000001</v>
      </c>
      <c r="G29" s="13" t="s">
        <v>28</v>
      </c>
      <c r="H29" s="13" t="s">
        <v>8671</v>
      </c>
      <c r="I29" s="13" t="s">
        <v>8672</v>
      </c>
      <c r="J29" s="9" t="s">
        <v>8673</v>
      </c>
      <c r="K29" s="13">
        <v>34</v>
      </c>
    </row>
    <row r="30" spans="1:11" ht="15" customHeight="1" x14ac:dyDescent="0.2">
      <c r="A30" s="13" t="s">
        <v>8674</v>
      </c>
      <c r="B30" s="13" t="s">
        <v>8674</v>
      </c>
      <c r="C30" s="13">
        <v>2023</v>
      </c>
      <c r="D30" s="13" t="s">
        <v>478</v>
      </c>
      <c r="E30" s="13" t="s">
        <v>1510</v>
      </c>
      <c r="F30" s="13">
        <v>6.2</v>
      </c>
      <c r="G30" s="13" t="s">
        <v>46</v>
      </c>
      <c r="H30" s="13" t="s">
        <v>8675</v>
      </c>
      <c r="I30" s="13" t="s">
        <v>8676</v>
      </c>
      <c r="J30" s="9" t="s">
        <v>8677</v>
      </c>
      <c r="K30" s="13">
        <v>184</v>
      </c>
    </row>
    <row r="31" spans="1:11" ht="15" customHeight="1" x14ac:dyDescent="0.2">
      <c r="A31" s="15" t="s">
        <v>8678</v>
      </c>
      <c r="B31" s="15" t="s">
        <v>8679</v>
      </c>
      <c r="C31" s="15">
        <v>2006</v>
      </c>
      <c r="D31" s="15" t="s">
        <v>500</v>
      </c>
      <c r="E31" s="15" t="s">
        <v>1510</v>
      </c>
      <c r="F31" s="15">
        <v>8</v>
      </c>
      <c r="G31" s="15" t="s">
        <v>77</v>
      </c>
      <c r="H31" s="15" t="s">
        <v>8680</v>
      </c>
      <c r="I31" s="15" t="s">
        <v>8681</v>
      </c>
      <c r="J31" s="10" t="s">
        <v>8682</v>
      </c>
      <c r="K31" s="15">
        <v>2</v>
      </c>
    </row>
    <row r="32" spans="1:11" ht="15" customHeight="1" x14ac:dyDescent="0.2">
      <c r="A32" s="13" t="s">
        <v>8683</v>
      </c>
      <c r="B32" s="13" t="s">
        <v>8684</v>
      </c>
      <c r="C32" s="13">
        <v>2024</v>
      </c>
      <c r="D32" s="13" t="s">
        <v>530</v>
      </c>
      <c r="E32" s="13" t="s">
        <v>531</v>
      </c>
      <c r="F32" s="13">
        <v>5.0999999999999996</v>
      </c>
      <c r="G32" s="13" t="s">
        <v>28</v>
      </c>
      <c r="H32" s="13" t="s">
        <v>8685</v>
      </c>
      <c r="I32" s="13" t="s">
        <v>8686</v>
      </c>
      <c r="J32" s="9" t="s">
        <v>8687</v>
      </c>
      <c r="K32" s="13">
        <v>18</v>
      </c>
    </row>
    <row r="33" spans="1:11" ht="15" customHeight="1" x14ac:dyDescent="0.2">
      <c r="A33" s="13" t="s">
        <v>66</v>
      </c>
      <c r="B33" s="13" t="s">
        <v>66</v>
      </c>
      <c r="C33" s="13">
        <v>2017</v>
      </c>
      <c r="D33" s="13" t="s">
        <v>619</v>
      </c>
      <c r="E33" s="13" t="s">
        <v>890</v>
      </c>
      <c r="F33" s="13">
        <v>5</v>
      </c>
      <c r="G33" s="13" t="s">
        <v>18</v>
      </c>
      <c r="H33" s="13" t="s">
        <v>8688</v>
      </c>
      <c r="I33" s="13" t="s">
        <v>8689</v>
      </c>
      <c r="J33" s="9" t="s">
        <v>8690</v>
      </c>
      <c r="K33" s="13">
        <v>1</v>
      </c>
    </row>
    <row r="34" spans="1:11" ht="15" customHeight="1" x14ac:dyDescent="0.2">
      <c r="A34" s="13" t="s">
        <v>8691</v>
      </c>
      <c r="B34" s="13" t="s">
        <v>8691</v>
      </c>
      <c r="C34" s="13">
        <v>2010</v>
      </c>
      <c r="D34" s="13" t="s">
        <v>413</v>
      </c>
      <c r="E34" s="13" t="s">
        <v>1069</v>
      </c>
      <c r="F34" s="13">
        <v>6.8419999999999996</v>
      </c>
      <c r="G34" s="13" t="s">
        <v>18</v>
      </c>
      <c r="H34" s="13" t="s">
        <v>8692</v>
      </c>
      <c r="I34" s="13" t="s">
        <v>8693</v>
      </c>
      <c r="J34" s="9" t="s">
        <v>8694</v>
      </c>
      <c r="K34" s="13">
        <v>1104</v>
      </c>
    </row>
    <row r="35" spans="1:11" ht="15" customHeight="1" x14ac:dyDescent="0.2">
      <c r="A35" s="13" t="s">
        <v>8695</v>
      </c>
      <c r="B35" s="13" t="s">
        <v>8696</v>
      </c>
      <c r="C35" s="13">
        <v>1991</v>
      </c>
      <c r="D35" s="13" t="s">
        <v>8697</v>
      </c>
      <c r="E35" s="13" t="s">
        <v>531</v>
      </c>
      <c r="F35" s="13">
        <v>3.3</v>
      </c>
      <c r="G35" s="13" t="s">
        <v>169</v>
      </c>
      <c r="H35" s="13" t="s">
        <v>8698</v>
      </c>
      <c r="I35" s="13" t="s">
        <v>8699</v>
      </c>
      <c r="J35" s="9" t="s">
        <v>8700</v>
      </c>
      <c r="K35" s="13">
        <v>3</v>
      </c>
    </row>
    <row r="36" spans="1:11" ht="15" customHeight="1" x14ac:dyDescent="0.2">
      <c r="A36" s="13" t="s">
        <v>73</v>
      </c>
      <c r="B36" s="13" t="s">
        <v>74</v>
      </c>
      <c r="C36" s="13">
        <v>1972</v>
      </c>
      <c r="D36" s="13" t="s">
        <v>413</v>
      </c>
      <c r="E36" s="13" t="s">
        <v>8701</v>
      </c>
      <c r="F36" s="13">
        <v>7.3150000000000004</v>
      </c>
      <c r="G36" s="13" t="s">
        <v>18</v>
      </c>
      <c r="H36" s="13" t="s">
        <v>78</v>
      </c>
      <c r="I36" s="13" t="s">
        <v>8702</v>
      </c>
      <c r="J36" s="9" t="s">
        <v>80</v>
      </c>
      <c r="K36" s="13">
        <v>1729</v>
      </c>
    </row>
    <row r="37" spans="1:11" ht="15" customHeight="1" x14ac:dyDescent="0.2">
      <c r="A37" s="13" t="s">
        <v>8703</v>
      </c>
      <c r="B37" s="13" t="s">
        <v>8704</v>
      </c>
      <c r="C37" s="13">
        <v>1999</v>
      </c>
      <c r="D37" s="13" t="s">
        <v>413</v>
      </c>
      <c r="E37" s="13" t="s">
        <v>963</v>
      </c>
      <c r="F37" s="13">
        <v>6.8</v>
      </c>
      <c r="G37" s="13" t="s">
        <v>18</v>
      </c>
      <c r="H37" s="13" t="s">
        <v>8705</v>
      </c>
      <c r="I37" s="13" t="s">
        <v>8706</v>
      </c>
      <c r="J37" s="9"/>
      <c r="K37" s="13">
        <v>11</v>
      </c>
    </row>
    <row r="38" spans="1:11" ht="15" customHeight="1" x14ac:dyDescent="0.2">
      <c r="A38" s="13" t="s">
        <v>8707</v>
      </c>
      <c r="B38" s="13" t="s">
        <v>8708</v>
      </c>
      <c r="C38" s="13">
        <v>2025</v>
      </c>
      <c r="D38" s="13" t="s">
        <v>413</v>
      </c>
      <c r="E38" s="13" t="s">
        <v>531</v>
      </c>
      <c r="F38" s="13">
        <v>6.3339999999999996</v>
      </c>
      <c r="G38" s="13" t="s">
        <v>46</v>
      </c>
      <c r="H38" s="13" t="s">
        <v>8709</v>
      </c>
      <c r="I38" s="13" t="s">
        <v>8710</v>
      </c>
      <c r="J38" s="9" t="s">
        <v>8711</v>
      </c>
      <c r="K38" s="13">
        <v>994</v>
      </c>
    </row>
    <row r="39" spans="1:11" ht="15" customHeight="1" x14ac:dyDescent="0.2">
      <c r="A39" s="13" t="s">
        <v>8712</v>
      </c>
      <c r="B39" s="13" t="s">
        <v>8708</v>
      </c>
      <c r="C39" s="13">
        <v>2025</v>
      </c>
      <c r="D39" s="13" t="s">
        <v>413</v>
      </c>
      <c r="E39" s="13" t="s">
        <v>531</v>
      </c>
      <c r="F39" s="13">
        <v>6.3339999999999996</v>
      </c>
      <c r="G39" s="13" t="s">
        <v>46</v>
      </c>
      <c r="H39" s="13" t="s">
        <v>8709</v>
      </c>
      <c r="I39" s="13" t="s">
        <v>8710</v>
      </c>
      <c r="J39" s="9" t="s">
        <v>8711</v>
      </c>
      <c r="K39" s="13">
        <v>994</v>
      </c>
    </row>
    <row r="40" spans="1:11" ht="15" customHeight="1" x14ac:dyDescent="0.2">
      <c r="A40" s="13" t="s">
        <v>4250</v>
      </c>
      <c r="B40" s="13" t="s">
        <v>8713</v>
      </c>
      <c r="C40" s="13">
        <v>2021</v>
      </c>
      <c r="D40" s="13" t="s">
        <v>8714</v>
      </c>
      <c r="E40" s="13" t="s">
        <v>8715</v>
      </c>
      <c r="F40" s="13">
        <v>7.3319999999999999</v>
      </c>
      <c r="G40" s="13" t="s">
        <v>18</v>
      </c>
      <c r="H40" s="13" t="s">
        <v>4252</v>
      </c>
      <c r="I40" s="13" t="s">
        <v>8716</v>
      </c>
      <c r="J40" s="9" t="s">
        <v>4254</v>
      </c>
      <c r="K40" s="13">
        <v>1368</v>
      </c>
    </row>
    <row r="41" spans="1:11" ht="15" customHeight="1" x14ac:dyDescent="0.2">
      <c r="A41" s="15" t="s">
        <v>5272</v>
      </c>
      <c r="B41" s="15" t="s">
        <v>5272</v>
      </c>
      <c r="C41" s="15">
        <v>1989</v>
      </c>
      <c r="D41" s="15" t="s">
        <v>438</v>
      </c>
      <c r="E41" s="15" t="s">
        <v>456</v>
      </c>
      <c r="F41" s="15">
        <v>6.585</v>
      </c>
      <c r="G41" s="15" t="s">
        <v>18</v>
      </c>
      <c r="H41" s="15" t="s">
        <v>5273</v>
      </c>
      <c r="I41" s="15" t="s">
        <v>8717</v>
      </c>
      <c r="J41" s="10" t="s">
        <v>5275</v>
      </c>
      <c r="K41" s="15">
        <v>1175</v>
      </c>
    </row>
    <row r="42" spans="1:11" ht="15" customHeight="1" x14ac:dyDescent="0.2">
      <c r="A42" s="13" t="s">
        <v>8718</v>
      </c>
      <c r="B42" s="13" t="s">
        <v>8718</v>
      </c>
      <c r="C42" s="13">
        <v>2010</v>
      </c>
      <c r="D42" s="13" t="s">
        <v>413</v>
      </c>
      <c r="E42" s="13" t="s">
        <v>1510</v>
      </c>
      <c r="F42" s="13">
        <v>7.6859999999999999</v>
      </c>
      <c r="G42" s="13" t="s">
        <v>77</v>
      </c>
      <c r="H42" s="13" t="s">
        <v>8719</v>
      </c>
      <c r="I42" s="13" t="s">
        <v>8720</v>
      </c>
      <c r="J42" s="9" t="s">
        <v>8721</v>
      </c>
      <c r="K42" s="13">
        <v>15177</v>
      </c>
    </row>
    <row r="43" spans="1:11" ht="15" customHeight="1" x14ac:dyDescent="0.2">
      <c r="A43" s="13" t="s">
        <v>8722</v>
      </c>
      <c r="B43" s="13" t="s">
        <v>8723</v>
      </c>
      <c r="C43" s="13">
        <v>2019</v>
      </c>
      <c r="D43" s="13" t="s">
        <v>8724</v>
      </c>
      <c r="E43" s="13" t="s">
        <v>5711</v>
      </c>
      <c r="F43" s="13">
        <v>4.5609999999999999</v>
      </c>
      <c r="G43" s="13" t="s">
        <v>28</v>
      </c>
      <c r="H43" s="13" t="s">
        <v>8725</v>
      </c>
      <c r="I43" s="13" t="s">
        <v>8726</v>
      </c>
      <c r="J43" s="9" t="s">
        <v>8727</v>
      </c>
      <c r="K43" s="13">
        <v>588</v>
      </c>
    </row>
    <row r="44" spans="1:11" ht="15" customHeight="1" x14ac:dyDescent="0.2">
      <c r="A44" s="13" t="s">
        <v>8728</v>
      </c>
      <c r="B44" s="13" t="s">
        <v>8729</v>
      </c>
      <c r="C44" s="13">
        <v>1985</v>
      </c>
      <c r="D44" s="13" t="s">
        <v>413</v>
      </c>
      <c r="E44" s="13" t="s">
        <v>531</v>
      </c>
      <c r="F44" s="13">
        <v>7.2510000000000003</v>
      </c>
      <c r="G44" s="13" t="s">
        <v>18</v>
      </c>
      <c r="H44" s="13" t="s">
        <v>8730</v>
      </c>
      <c r="I44" s="13" t="s">
        <v>8731</v>
      </c>
      <c r="J44" s="9" t="s">
        <v>8732</v>
      </c>
      <c r="K44" s="13">
        <v>1555</v>
      </c>
    </row>
    <row r="45" spans="1:11" ht="15" customHeight="1" x14ac:dyDescent="0.2">
      <c r="A45" s="13" t="s">
        <v>8733</v>
      </c>
      <c r="B45" s="13" t="s">
        <v>8729</v>
      </c>
      <c r="C45" s="13">
        <v>1985</v>
      </c>
      <c r="D45" s="13" t="s">
        <v>413</v>
      </c>
      <c r="E45" s="13" t="s">
        <v>531</v>
      </c>
      <c r="F45" s="13">
        <v>7.2510000000000003</v>
      </c>
      <c r="G45" s="13" t="s">
        <v>18</v>
      </c>
      <c r="H45" s="13" t="s">
        <v>8730</v>
      </c>
      <c r="I45" s="13" t="s">
        <v>8731</v>
      </c>
      <c r="J45" s="9" t="s">
        <v>8732</v>
      </c>
      <c r="K45" s="13">
        <v>1555</v>
      </c>
    </row>
    <row r="46" spans="1:11" ht="15" customHeight="1" x14ac:dyDescent="0.2">
      <c r="A46" s="13" t="s">
        <v>8734</v>
      </c>
      <c r="B46" s="13" t="s">
        <v>8734</v>
      </c>
      <c r="C46" s="13">
        <v>2020</v>
      </c>
      <c r="D46" s="13" t="s">
        <v>413</v>
      </c>
      <c r="E46" s="13" t="s">
        <v>5711</v>
      </c>
      <c r="F46" s="13">
        <v>6.2229999999999999</v>
      </c>
      <c r="G46" s="13" t="s">
        <v>46</v>
      </c>
      <c r="H46" s="13" t="s">
        <v>8735</v>
      </c>
      <c r="I46" s="13" t="s">
        <v>8736</v>
      </c>
      <c r="J46" s="9" t="s">
        <v>8737</v>
      </c>
      <c r="K46" s="13">
        <v>401</v>
      </c>
    </row>
    <row r="47" spans="1:11" ht="15" customHeight="1" x14ac:dyDescent="0.2">
      <c r="A47" s="13" t="s">
        <v>8738</v>
      </c>
      <c r="B47" s="13" t="s">
        <v>8739</v>
      </c>
      <c r="C47" s="13">
        <v>2023</v>
      </c>
      <c r="D47" s="13" t="s">
        <v>413</v>
      </c>
      <c r="E47" s="13" t="s">
        <v>8740</v>
      </c>
      <c r="F47" s="13">
        <v>10</v>
      </c>
      <c r="G47" s="13" t="s">
        <v>18</v>
      </c>
      <c r="H47" s="13" t="s">
        <v>8741</v>
      </c>
      <c r="I47" s="13" t="s">
        <v>8742</v>
      </c>
      <c r="J47" s="9" t="s">
        <v>8743</v>
      </c>
      <c r="K47" s="13">
        <v>2</v>
      </c>
    </row>
    <row r="48" spans="1:11" ht="15" customHeight="1" x14ac:dyDescent="0.2">
      <c r="A48" s="13" t="s">
        <v>8744</v>
      </c>
      <c r="B48" s="13" t="s">
        <v>8744</v>
      </c>
      <c r="C48" s="13">
        <v>2014</v>
      </c>
      <c r="D48" s="13" t="s">
        <v>413</v>
      </c>
      <c r="E48" s="13" t="s">
        <v>566</v>
      </c>
      <c r="F48" s="13">
        <v>7.4930000000000003</v>
      </c>
      <c r="G48" s="13" t="s">
        <v>18</v>
      </c>
      <c r="H48" s="13" t="s">
        <v>8745</v>
      </c>
      <c r="I48" s="13" t="s">
        <v>8746</v>
      </c>
      <c r="J48" s="9" t="s">
        <v>8747</v>
      </c>
      <c r="K48" s="13">
        <v>5379</v>
      </c>
    </row>
    <row r="49" spans="1:11" ht="15" customHeight="1" x14ac:dyDescent="0.2">
      <c r="A49" s="13" t="s">
        <v>8748</v>
      </c>
      <c r="B49" s="13" t="s">
        <v>8748</v>
      </c>
      <c r="C49" s="13">
        <v>2017</v>
      </c>
      <c r="D49" s="13" t="s">
        <v>413</v>
      </c>
      <c r="E49" s="13" t="s">
        <v>2470</v>
      </c>
      <c r="F49" s="13">
        <v>6.968</v>
      </c>
      <c r="G49" s="13" t="s">
        <v>18</v>
      </c>
      <c r="H49" s="13" t="s">
        <v>8749</v>
      </c>
      <c r="I49" s="13" t="s">
        <v>8750</v>
      </c>
      <c r="J49" s="9" t="s">
        <v>8751</v>
      </c>
      <c r="K49" s="13">
        <v>1513</v>
      </c>
    </row>
    <row r="50" spans="1:11" ht="15" customHeight="1" x14ac:dyDescent="0.2">
      <c r="A50" s="13" t="s">
        <v>2347</v>
      </c>
      <c r="B50" s="13" t="s">
        <v>2347</v>
      </c>
      <c r="C50" s="13">
        <v>1997</v>
      </c>
      <c r="D50" s="13" t="s">
        <v>413</v>
      </c>
      <c r="E50" s="13" t="s">
        <v>456</v>
      </c>
      <c r="F50" s="13">
        <v>6.907</v>
      </c>
      <c r="G50" s="13" t="s">
        <v>18</v>
      </c>
      <c r="H50" s="13" t="s">
        <v>2348</v>
      </c>
      <c r="I50" s="13" t="s">
        <v>2349</v>
      </c>
      <c r="J50" s="9" t="s">
        <v>2350</v>
      </c>
      <c r="K50" s="13">
        <v>1033</v>
      </c>
    </row>
    <row r="51" spans="1:11" ht="15" customHeight="1" x14ac:dyDescent="0.2">
      <c r="A51" s="15" t="s">
        <v>8752</v>
      </c>
      <c r="B51" s="15" t="s">
        <v>8752</v>
      </c>
      <c r="C51" s="15">
        <v>2017</v>
      </c>
      <c r="D51" s="15" t="s">
        <v>8753</v>
      </c>
      <c r="E51" s="15" t="s">
        <v>2470</v>
      </c>
      <c r="F51" s="15">
        <v>4.9950000000000001</v>
      </c>
      <c r="G51" s="15" t="s">
        <v>28</v>
      </c>
      <c r="H51" s="15" t="s">
        <v>8754</v>
      </c>
      <c r="I51" s="15" t="s">
        <v>8755</v>
      </c>
      <c r="J51" s="10" t="s">
        <v>8756</v>
      </c>
      <c r="K51" s="15">
        <v>539</v>
      </c>
    </row>
    <row r="52" spans="1:11" ht="15" customHeight="1" x14ac:dyDescent="0.2">
      <c r="A52" s="13" t="s">
        <v>8757</v>
      </c>
      <c r="B52" s="13" t="s">
        <v>8758</v>
      </c>
      <c r="C52" s="13">
        <v>2009</v>
      </c>
      <c r="D52" s="13" t="s">
        <v>8759</v>
      </c>
      <c r="E52" s="13" t="s">
        <v>8760</v>
      </c>
      <c r="F52" s="13">
        <v>6</v>
      </c>
      <c r="G52" s="13" t="s">
        <v>46</v>
      </c>
      <c r="H52" s="13" t="s">
        <v>8761</v>
      </c>
      <c r="I52" s="13" t="s">
        <v>8762</v>
      </c>
      <c r="J52" s="9" t="s">
        <v>8763</v>
      </c>
      <c r="K52" s="13">
        <v>25</v>
      </c>
    </row>
    <row r="53" spans="1:11" ht="15" customHeight="1" x14ac:dyDescent="0.2">
      <c r="A53" s="13" t="s">
        <v>8764</v>
      </c>
      <c r="B53" s="13" t="s">
        <v>8765</v>
      </c>
      <c r="C53" s="13">
        <v>1988</v>
      </c>
      <c r="D53" s="13" t="s">
        <v>413</v>
      </c>
      <c r="E53" s="13" t="s">
        <v>531</v>
      </c>
      <c r="F53" s="13">
        <v>3.1669999999999998</v>
      </c>
      <c r="G53" s="13" t="s">
        <v>169</v>
      </c>
      <c r="H53" s="13" t="s">
        <v>8766</v>
      </c>
      <c r="I53" s="13" t="s">
        <v>8767</v>
      </c>
      <c r="J53" s="9" t="s">
        <v>8768</v>
      </c>
      <c r="K53" s="13">
        <v>6</v>
      </c>
    </row>
    <row r="54" spans="1:11" ht="15" customHeight="1" x14ac:dyDescent="0.2">
      <c r="A54" s="13" t="s">
        <v>8769</v>
      </c>
      <c r="B54" s="13" t="s">
        <v>8769</v>
      </c>
      <c r="C54" s="13">
        <v>2018</v>
      </c>
      <c r="D54" s="13" t="s">
        <v>781</v>
      </c>
      <c r="E54" s="13" t="s">
        <v>750</v>
      </c>
      <c r="F54" s="13">
        <v>6.4</v>
      </c>
      <c r="G54" s="13" t="s">
        <v>46</v>
      </c>
      <c r="H54" s="13" t="s">
        <v>8770</v>
      </c>
      <c r="I54" s="13" t="s">
        <v>8771</v>
      </c>
      <c r="J54" s="9" t="s">
        <v>8772</v>
      </c>
      <c r="K54" s="13">
        <v>655</v>
      </c>
    </row>
    <row r="55" spans="1:11" ht="15" customHeight="1" x14ac:dyDescent="0.2">
      <c r="A55" s="13" t="s">
        <v>8773</v>
      </c>
      <c r="B55" s="13" t="s">
        <v>8774</v>
      </c>
      <c r="C55" s="13">
        <v>2019</v>
      </c>
      <c r="D55" s="13" t="s">
        <v>781</v>
      </c>
      <c r="E55" s="13" t="s">
        <v>548</v>
      </c>
      <c r="F55" s="13">
        <v>5.9870000000000001</v>
      </c>
      <c r="G55" s="13" t="s">
        <v>46</v>
      </c>
      <c r="H55" s="13" t="s">
        <v>8775</v>
      </c>
      <c r="I55" s="13" t="s">
        <v>8776</v>
      </c>
      <c r="J55" s="9" t="s">
        <v>8777</v>
      </c>
      <c r="K55" s="13">
        <v>697</v>
      </c>
    </row>
    <row r="56" spans="1:11" ht="15" customHeight="1" x14ac:dyDescent="0.2">
      <c r="A56" s="13" t="s">
        <v>8778</v>
      </c>
      <c r="B56" s="13" t="s">
        <v>8779</v>
      </c>
      <c r="C56" s="13">
        <v>2021</v>
      </c>
      <c r="D56" s="13" t="s">
        <v>8780</v>
      </c>
      <c r="E56" s="13" t="s">
        <v>7330</v>
      </c>
      <c r="F56" s="13">
        <v>7.9039999999999999</v>
      </c>
      <c r="G56" s="13" t="s">
        <v>77</v>
      </c>
      <c r="H56" s="13" t="s">
        <v>8781</v>
      </c>
      <c r="I56" s="13" t="s">
        <v>8782</v>
      </c>
      <c r="J56" s="9" t="s">
        <v>8783</v>
      </c>
      <c r="K56" s="13">
        <v>2435</v>
      </c>
    </row>
    <row r="57" spans="1:11" ht="15" customHeight="1" x14ac:dyDescent="0.2">
      <c r="A57" s="13" t="s">
        <v>8784</v>
      </c>
      <c r="B57" s="13" t="s">
        <v>8785</v>
      </c>
      <c r="C57" s="13">
        <v>2012</v>
      </c>
      <c r="D57" s="13" t="s">
        <v>1179</v>
      </c>
      <c r="E57" s="13" t="s">
        <v>531</v>
      </c>
      <c r="F57" s="13">
        <v>6</v>
      </c>
      <c r="G57" s="13" t="s">
        <v>46</v>
      </c>
      <c r="H57" s="13" t="s">
        <v>8786</v>
      </c>
      <c r="I57" s="13" t="s">
        <v>8787</v>
      </c>
      <c r="J57" s="9" t="s">
        <v>8788</v>
      </c>
      <c r="K57" s="13">
        <v>701</v>
      </c>
    </row>
    <row r="58" spans="1:11" ht="15" customHeight="1" x14ac:dyDescent="0.2">
      <c r="A58" s="13" t="s">
        <v>8789</v>
      </c>
      <c r="B58" s="13" t="s">
        <v>8790</v>
      </c>
      <c r="C58" s="13">
        <v>2019</v>
      </c>
      <c r="D58" s="13" t="s">
        <v>8791</v>
      </c>
      <c r="E58" s="13" t="s">
        <v>8792</v>
      </c>
      <c r="F58" s="13">
        <v>5.2839999999999998</v>
      </c>
      <c r="G58" s="13" t="s">
        <v>28</v>
      </c>
      <c r="H58" s="13" t="s">
        <v>8793</v>
      </c>
      <c r="I58" s="13" t="s">
        <v>8794</v>
      </c>
      <c r="J58" s="9" t="s">
        <v>8795</v>
      </c>
      <c r="K58" s="13">
        <v>424</v>
      </c>
    </row>
    <row r="59" spans="1:11" ht="15" customHeight="1" x14ac:dyDescent="0.2">
      <c r="A59" s="13" t="s">
        <v>8796</v>
      </c>
      <c r="B59" s="13" t="s">
        <v>8796</v>
      </c>
      <c r="C59" s="13">
        <v>2014</v>
      </c>
      <c r="D59" s="13" t="s">
        <v>8797</v>
      </c>
      <c r="E59" s="13" t="s">
        <v>675</v>
      </c>
      <c r="F59" s="13">
        <v>6.5490000000000004</v>
      </c>
      <c r="G59" s="13" t="s">
        <v>18</v>
      </c>
      <c r="H59" s="13" t="s">
        <v>8798</v>
      </c>
      <c r="I59" s="13" t="s">
        <v>8799</v>
      </c>
      <c r="J59" s="9" t="s">
        <v>8800</v>
      </c>
      <c r="K59" s="13">
        <v>789</v>
      </c>
    </row>
    <row r="60" spans="1:11" ht="15" customHeight="1" x14ac:dyDescent="0.2">
      <c r="A60" s="13" t="s">
        <v>8801</v>
      </c>
      <c r="B60" s="13" t="s">
        <v>8802</v>
      </c>
      <c r="C60" s="13">
        <v>2016</v>
      </c>
      <c r="D60" s="13" t="s">
        <v>8803</v>
      </c>
      <c r="E60" s="13" t="s">
        <v>756</v>
      </c>
      <c r="F60" s="13">
        <v>5.5620000000000003</v>
      </c>
      <c r="G60" s="13" t="s">
        <v>46</v>
      </c>
      <c r="H60" s="13" t="s">
        <v>8804</v>
      </c>
      <c r="I60" s="13" t="s">
        <v>8805</v>
      </c>
      <c r="J60" s="9" t="s">
        <v>8806</v>
      </c>
      <c r="K60" s="13">
        <v>281</v>
      </c>
    </row>
    <row r="61" spans="1:11" ht="15" customHeight="1" x14ac:dyDescent="0.2">
      <c r="A61" s="15" t="s">
        <v>8807</v>
      </c>
      <c r="B61" s="15" t="s">
        <v>8807</v>
      </c>
      <c r="C61" s="15">
        <v>2012</v>
      </c>
      <c r="D61" s="15" t="s">
        <v>413</v>
      </c>
      <c r="E61" s="15" t="s">
        <v>2470</v>
      </c>
      <c r="F61" s="15">
        <v>6.3559999999999999</v>
      </c>
      <c r="G61" s="15" t="s">
        <v>46</v>
      </c>
      <c r="H61" s="15" t="s">
        <v>8808</v>
      </c>
      <c r="I61" s="15" t="s">
        <v>8809</v>
      </c>
      <c r="J61" s="10" t="s">
        <v>8810</v>
      </c>
      <c r="K61" s="15">
        <v>751</v>
      </c>
    </row>
    <row r="62" spans="1:11" ht="15" customHeight="1" x14ac:dyDescent="0.2">
      <c r="A62" s="13" t="s">
        <v>8811</v>
      </c>
      <c r="B62" s="13" t="s">
        <v>8812</v>
      </c>
      <c r="C62" s="13">
        <v>1995</v>
      </c>
      <c r="D62" s="13" t="s">
        <v>413</v>
      </c>
      <c r="E62" s="13" t="s">
        <v>8813</v>
      </c>
      <c r="F62" s="13">
        <v>6.4720000000000004</v>
      </c>
      <c r="G62" s="13" t="s">
        <v>46</v>
      </c>
      <c r="H62" s="13" t="s">
        <v>8814</v>
      </c>
      <c r="I62" s="13" t="s">
        <v>8815</v>
      </c>
      <c r="J62" s="9" t="s">
        <v>8816</v>
      </c>
      <c r="K62" s="13">
        <v>1181</v>
      </c>
    </row>
    <row r="63" spans="1:11" ht="15" customHeight="1" x14ac:dyDescent="0.2">
      <c r="A63" s="13" t="s">
        <v>8817</v>
      </c>
      <c r="B63" s="13" t="s">
        <v>8818</v>
      </c>
      <c r="C63" s="13">
        <v>1988</v>
      </c>
      <c r="D63" s="13" t="s">
        <v>413</v>
      </c>
      <c r="E63" s="13" t="s">
        <v>1578</v>
      </c>
      <c r="F63" s="13">
        <v>6.3</v>
      </c>
      <c r="G63" s="13" t="s">
        <v>46</v>
      </c>
      <c r="H63" s="13" t="s">
        <v>8819</v>
      </c>
      <c r="I63" s="13" t="s">
        <v>8820</v>
      </c>
      <c r="J63" s="9" t="s">
        <v>8821</v>
      </c>
      <c r="K63" s="13">
        <v>216</v>
      </c>
    </row>
    <row r="64" spans="1:11" ht="15" customHeight="1" x14ac:dyDescent="0.2">
      <c r="A64" s="13" t="s">
        <v>8822</v>
      </c>
      <c r="B64" s="13" t="s">
        <v>8823</v>
      </c>
      <c r="C64" s="13">
        <v>2019</v>
      </c>
      <c r="D64" s="13" t="s">
        <v>8410</v>
      </c>
      <c r="E64" s="13" t="s">
        <v>531</v>
      </c>
      <c r="F64" s="13">
        <v>6</v>
      </c>
      <c r="G64" s="13" t="s">
        <v>46</v>
      </c>
      <c r="H64" s="13" t="s">
        <v>8824</v>
      </c>
      <c r="I64" s="13" t="s">
        <v>8825</v>
      </c>
      <c r="J64" s="9" t="s">
        <v>8826</v>
      </c>
      <c r="K64" s="13">
        <v>63</v>
      </c>
    </row>
    <row r="65" spans="1:11" ht="15" customHeight="1" x14ac:dyDescent="0.2">
      <c r="A65" s="13" t="s">
        <v>8827</v>
      </c>
      <c r="B65" s="13" t="s">
        <v>8828</v>
      </c>
      <c r="C65" s="13">
        <v>2018</v>
      </c>
      <c r="D65" s="13" t="s">
        <v>619</v>
      </c>
      <c r="E65" s="13" t="s">
        <v>6333</v>
      </c>
      <c r="F65" s="13">
        <v>5.67</v>
      </c>
      <c r="G65" s="13" t="s">
        <v>46</v>
      </c>
      <c r="H65" s="13" t="s">
        <v>8829</v>
      </c>
      <c r="I65" s="13" t="s">
        <v>8830</v>
      </c>
      <c r="J65" s="9" t="s">
        <v>8831</v>
      </c>
      <c r="K65" s="13">
        <v>353</v>
      </c>
    </row>
    <row r="66" spans="1:11" ht="15" customHeight="1" x14ac:dyDescent="0.2">
      <c r="A66" s="13" t="s">
        <v>8832</v>
      </c>
      <c r="B66" s="13" t="s">
        <v>8833</v>
      </c>
      <c r="C66" s="13">
        <v>2023</v>
      </c>
      <c r="D66" s="13" t="s">
        <v>413</v>
      </c>
      <c r="E66" s="13" t="s">
        <v>531</v>
      </c>
      <c r="F66" s="13">
        <v>6.3929999999999998</v>
      </c>
      <c r="G66" s="13" t="s">
        <v>46</v>
      </c>
      <c r="H66" s="13" t="s">
        <v>8834</v>
      </c>
      <c r="I66" s="13" t="s">
        <v>8835</v>
      </c>
      <c r="J66" s="9" t="s">
        <v>8836</v>
      </c>
      <c r="K66" s="13">
        <v>364</v>
      </c>
    </row>
    <row r="67" spans="1:11" ht="15" customHeight="1" x14ac:dyDescent="0.2">
      <c r="A67" s="13" t="s">
        <v>8837</v>
      </c>
      <c r="B67" s="13" t="s">
        <v>8837</v>
      </c>
      <c r="C67" s="13">
        <v>1998</v>
      </c>
      <c r="D67" s="13" t="s">
        <v>530</v>
      </c>
      <c r="E67" s="13" t="s">
        <v>5398</v>
      </c>
      <c r="F67" s="13">
        <v>4.5</v>
      </c>
      <c r="G67" s="13" t="s">
        <v>86</v>
      </c>
      <c r="H67" s="13" t="s">
        <v>8838</v>
      </c>
      <c r="I67" s="13" t="s">
        <v>8839</v>
      </c>
      <c r="J67" s="9" t="s">
        <v>8840</v>
      </c>
      <c r="K67" s="13">
        <v>113</v>
      </c>
    </row>
    <row r="68" spans="1:11" ht="15" customHeight="1" x14ac:dyDescent="0.2">
      <c r="A68" s="13" t="s">
        <v>8841</v>
      </c>
      <c r="B68" s="13" t="s">
        <v>8842</v>
      </c>
      <c r="C68" s="13">
        <v>2004</v>
      </c>
      <c r="D68" s="13" t="s">
        <v>413</v>
      </c>
      <c r="E68" s="13" t="s">
        <v>531</v>
      </c>
      <c r="F68" s="13">
        <v>6.5659999999999998</v>
      </c>
      <c r="G68" s="13" t="s">
        <v>18</v>
      </c>
      <c r="H68" s="13" t="s">
        <v>8843</v>
      </c>
      <c r="I68" s="13" t="s">
        <v>8844</v>
      </c>
      <c r="J68" s="9" t="s">
        <v>8845</v>
      </c>
      <c r="K68" s="13">
        <v>3826</v>
      </c>
    </row>
    <row r="69" spans="1:11" ht="15" customHeight="1" x14ac:dyDescent="0.2">
      <c r="A69" s="13" t="s">
        <v>8846</v>
      </c>
      <c r="B69" s="13" t="s">
        <v>8847</v>
      </c>
      <c r="C69" s="13">
        <v>2017</v>
      </c>
      <c r="D69" s="13" t="s">
        <v>8848</v>
      </c>
      <c r="E69" s="13" t="s">
        <v>531</v>
      </c>
      <c r="F69" s="13">
        <v>5.8769999999999998</v>
      </c>
      <c r="G69" s="13" t="s">
        <v>46</v>
      </c>
      <c r="H69" s="13">
        <v>440374</v>
      </c>
      <c r="I69" s="13" t="s">
        <v>8849</v>
      </c>
      <c r="J69" s="9" t="s">
        <v>8850</v>
      </c>
      <c r="K69" s="13">
        <v>138</v>
      </c>
    </row>
    <row r="70" spans="1:11" ht="15" customHeight="1" x14ac:dyDescent="0.2">
      <c r="A70" s="13" t="s">
        <v>8851</v>
      </c>
      <c r="B70" s="13" t="s">
        <v>8851</v>
      </c>
      <c r="C70" s="13">
        <v>1971</v>
      </c>
      <c r="D70" s="13" t="s">
        <v>1163</v>
      </c>
      <c r="E70" s="13" t="s">
        <v>49</v>
      </c>
      <c r="F70" s="13">
        <v>0</v>
      </c>
      <c r="G70" s="13"/>
      <c r="H70" s="13" t="s">
        <v>8852</v>
      </c>
      <c r="I70" s="13" t="s">
        <v>8853</v>
      </c>
      <c r="J70" s="9"/>
      <c r="K70" s="13">
        <v>0</v>
      </c>
    </row>
    <row r="71" spans="1:11" ht="15" customHeight="1" x14ac:dyDescent="0.2">
      <c r="A71" s="15" t="s">
        <v>8854</v>
      </c>
      <c r="B71" s="15" t="s">
        <v>8855</v>
      </c>
      <c r="C71" s="15">
        <v>1983</v>
      </c>
      <c r="D71" s="15" t="s">
        <v>413</v>
      </c>
      <c r="E71" s="15" t="s">
        <v>531</v>
      </c>
      <c r="F71" s="15">
        <v>5.633</v>
      </c>
      <c r="G71" s="15" t="s">
        <v>46</v>
      </c>
      <c r="H71" s="15" t="s">
        <v>8856</v>
      </c>
      <c r="I71" s="15" t="s">
        <v>8857</v>
      </c>
      <c r="J71" s="10" t="s">
        <v>8858</v>
      </c>
      <c r="K71" s="15">
        <v>192</v>
      </c>
    </row>
    <row r="72" spans="1:11" ht="15" customHeight="1" x14ac:dyDescent="0.2">
      <c r="A72" s="13" t="s">
        <v>956</v>
      </c>
      <c r="B72" s="13" t="s">
        <v>8859</v>
      </c>
      <c r="C72" s="13">
        <v>1991</v>
      </c>
      <c r="D72" s="13" t="s">
        <v>49</v>
      </c>
      <c r="E72" s="13" t="s">
        <v>49</v>
      </c>
      <c r="F72" s="13">
        <v>8.3460000000000001</v>
      </c>
      <c r="G72" s="13" t="s">
        <v>77</v>
      </c>
      <c r="H72" s="13" t="s">
        <v>958</v>
      </c>
      <c r="I72" s="13" t="s">
        <v>959</v>
      </c>
      <c r="J72" s="9" t="s">
        <v>960</v>
      </c>
      <c r="K72" s="13">
        <v>17339</v>
      </c>
    </row>
    <row r="73" spans="1:11" ht="15" customHeight="1" x14ac:dyDescent="0.2">
      <c r="A73" s="13" t="s">
        <v>8860</v>
      </c>
      <c r="B73" s="13" t="s">
        <v>8860</v>
      </c>
      <c r="C73" s="13">
        <v>1956</v>
      </c>
      <c r="D73" s="13" t="s">
        <v>1163</v>
      </c>
      <c r="E73" s="13" t="s">
        <v>566</v>
      </c>
      <c r="F73" s="13">
        <v>6</v>
      </c>
      <c r="G73" s="13" t="s">
        <v>46</v>
      </c>
      <c r="H73" s="13" t="s">
        <v>8861</v>
      </c>
      <c r="I73" s="13" t="s">
        <v>8862</v>
      </c>
      <c r="J73" s="9" t="s">
        <v>8863</v>
      </c>
      <c r="K73" s="13">
        <v>1</v>
      </c>
    </row>
    <row r="74" spans="1:11" ht="15" customHeight="1" x14ac:dyDescent="0.2">
      <c r="A74" s="13" t="s">
        <v>8864</v>
      </c>
      <c r="B74" s="13" t="s">
        <v>8865</v>
      </c>
      <c r="C74" s="13">
        <v>2003</v>
      </c>
      <c r="D74" s="13" t="s">
        <v>413</v>
      </c>
      <c r="E74" s="13" t="s">
        <v>1510</v>
      </c>
      <c r="F74" s="13">
        <v>6.9240000000000004</v>
      </c>
      <c r="G74" s="13" t="s">
        <v>18</v>
      </c>
      <c r="H74" s="13" t="s">
        <v>8866</v>
      </c>
      <c r="I74" s="13" t="s">
        <v>8867</v>
      </c>
      <c r="J74" s="9" t="s">
        <v>8868</v>
      </c>
      <c r="K74" s="13">
        <v>1461</v>
      </c>
    </row>
    <row r="75" spans="1:11" ht="15" customHeight="1" x14ac:dyDescent="0.2">
      <c r="A75" s="13" t="s">
        <v>8869</v>
      </c>
      <c r="B75" s="13" t="s">
        <v>8869</v>
      </c>
      <c r="C75" s="13">
        <v>1978</v>
      </c>
      <c r="D75" s="13" t="s">
        <v>3224</v>
      </c>
      <c r="E75" s="13" t="s">
        <v>8870</v>
      </c>
      <c r="F75" s="13">
        <v>0</v>
      </c>
      <c r="G75" s="13"/>
      <c r="H75" s="13" t="s">
        <v>8871</v>
      </c>
      <c r="I75" s="13" t="s">
        <v>8872</v>
      </c>
      <c r="J75" s="9" t="s">
        <v>8873</v>
      </c>
      <c r="K75" s="13">
        <v>0</v>
      </c>
    </row>
    <row r="76" spans="1:11" ht="15" customHeight="1" x14ac:dyDescent="0.2">
      <c r="A76" s="13" t="s">
        <v>8874</v>
      </c>
      <c r="B76" s="13" t="s">
        <v>8875</v>
      </c>
      <c r="C76" s="13">
        <v>2006</v>
      </c>
      <c r="D76" s="13" t="s">
        <v>8876</v>
      </c>
      <c r="E76" s="13" t="s">
        <v>2118</v>
      </c>
      <c r="F76" s="13">
        <v>8.1590000000000007</v>
      </c>
      <c r="G76" s="13" t="s">
        <v>77</v>
      </c>
      <c r="H76" s="13" t="s">
        <v>8877</v>
      </c>
      <c r="I76" s="13" t="s">
        <v>8878</v>
      </c>
      <c r="J76" s="9" t="s">
        <v>8879</v>
      </c>
      <c r="K76" s="13">
        <v>15708</v>
      </c>
    </row>
    <row r="77" spans="1:11" ht="15" customHeight="1" x14ac:dyDescent="0.2">
      <c r="A77" s="13" t="s">
        <v>8880</v>
      </c>
      <c r="B77" s="13" t="s">
        <v>8881</v>
      </c>
      <c r="C77" s="13">
        <v>2013</v>
      </c>
      <c r="D77" s="13" t="s">
        <v>619</v>
      </c>
      <c r="E77" s="13" t="s">
        <v>531</v>
      </c>
      <c r="F77" s="13">
        <v>6</v>
      </c>
      <c r="G77" s="13"/>
      <c r="H77" s="13" t="s">
        <v>8882</v>
      </c>
      <c r="I77" s="13" t="s">
        <v>8883</v>
      </c>
      <c r="J77" s="9" t="s">
        <v>8884</v>
      </c>
      <c r="K77" s="13">
        <v>5</v>
      </c>
    </row>
    <row r="78" spans="1:11" ht="15" customHeight="1" x14ac:dyDescent="0.2">
      <c r="A78" s="13" t="s">
        <v>8885</v>
      </c>
      <c r="B78" s="13" t="s">
        <v>8886</v>
      </c>
      <c r="C78" s="13">
        <v>2018</v>
      </c>
      <c r="D78" s="13" t="s">
        <v>530</v>
      </c>
      <c r="E78" s="13" t="s">
        <v>5739</v>
      </c>
      <c r="F78" s="13">
        <v>7.7</v>
      </c>
      <c r="G78" s="13" t="s">
        <v>77</v>
      </c>
      <c r="H78" s="13" t="s">
        <v>8887</v>
      </c>
      <c r="I78" s="13" t="s">
        <v>8888</v>
      </c>
      <c r="J78" s="9" t="s">
        <v>8889</v>
      </c>
      <c r="K78" s="13">
        <v>6</v>
      </c>
    </row>
    <row r="79" spans="1:11" ht="15" customHeight="1" x14ac:dyDescent="0.2">
      <c r="A79" s="13" t="s">
        <v>8890</v>
      </c>
      <c r="B79" s="13" t="s">
        <v>8891</v>
      </c>
      <c r="C79" s="13">
        <v>1985</v>
      </c>
      <c r="D79" s="13" t="s">
        <v>8228</v>
      </c>
      <c r="E79" s="13" t="s">
        <v>531</v>
      </c>
      <c r="F79" s="13">
        <v>6.4</v>
      </c>
      <c r="G79" s="13" t="s">
        <v>46</v>
      </c>
      <c r="H79" s="13" t="s">
        <v>8892</v>
      </c>
      <c r="I79" s="13" t="s">
        <v>8893</v>
      </c>
      <c r="J79" s="9" t="s">
        <v>8894</v>
      </c>
      <c r="K79" s="13">
        <v>168</v>
      </c>
    </row>
    <row r="80" spans="1:11" ht="15" customHeight="1" x14ac:dyDescent="0.2">
      <c r="A80" s="13" t="s">
        <v>4347</v>
      </c>
      <c r="B80" s="13" t="s">
        <v>4348</v>
      </c>
      <c r="C80" s="13">
        <v>2019</v>
      </c>
      <c r="D80" s="13" t="s">
        <v>413</v>
      </c>
      <c r="E80" s="13" t="s">
        <v>3345</v>
      </c>
      <c r="F80" s="13">
        <v>7.4189999999999996</v>
      </c>
      <c r="G80" s="13" t="s">
        <v>18</v>
      </c>
      <c r="H80" s="13" t="s">
        <v>4349</v>
      </c>
      <c r="I80" s="13" t="s">
        <v>4350</v>
      </c>
      <c r="J80" s="9" t="s">
        <v>4351</v>
      </c>
      <c r="K80" s="13">
        <v>2641</v>
      </c>
    </row>
    <row r="81" spans="1:11" ht="15" customHeight="1" x14ac:dyDescent="0.2">
      <c r="A81" s="15" t="s">
        <v>8895</v>
      </c>
      <c r="B81" s="15" t="s">
        <v>8896</v>
      </c>
      <c r="C81" s="15">
        <v>2022</v>
      </c>
      <c r="D81" s="15" t="s">
        <v>1949</v>
      </c>
      <c r="E81" s="15" t="s">
        <v>531</v>
      </c>
      <c r="F81" s="15">
        <v>5.8</v>
      </c>
      <c r="G81" s="15" t="s">
        <v>46</v>
      </c>
      <c r="H81" s="15" t="s">
        <v>8897</v>
      </c>
      <c r="I81" s="15" t="s">
        <v>8898</v>
      </c>
      <c r="J81" s="10" t="s">
        <v>8899</v>
      </c>
      <c r="K81" s="15">
        <v>3</v>
      </c>
    </row>
    <row r="82" spans="1:11" ht="15" customHeight="1" x14ac:dyDescent="0.2">
      <c r="A82" s="13" t="s">
        <v>8900</v>
      </c>
      <c r="B82" s="13" t="s">
        <v>8901</v>
      </c>
      <c r="C82" s="13">
        <v>1993</v>
      </c>
      <c r="D82" s="13" t="s">
        <v>413</v>
      </c>
      <c r="E82" s="13" t="s">
        <v>890</v>
      </c>
      <c r="F82" s="13">
        <v>7.6</v>
      </c>
      <c r="G82" s="13" t="s">
        <v>77</v>
      </c>
      <c r="H82" s="13" t="s">
        <v>8902</v>
      </c>
      <c r="I82" s="13" t="s">
        <v>8903</v>
      </c>
      <c r="J82" s="9" t="s">
        <v>8904</v>
      </c>
      <c r="K82" s="13">
        <v>7</v>
      </c>
    </row>
    <row r="83" spans="1:11" ht="15" customHeight="1" x14ac:dyDescent="0.2">
      <c r="A83" s="13" t="s">
        <v>8905</v>
      </c>
      <c r="B83" s="13" t="s">
        <v>8906</v>
      </c>
      <c r="C83" s="13">
        <v>1962</v>
      </c>
      <c r="D83" s="13" t="s">
        <v>880</v>
      </c>
      <c r="E83" s="13" t="s">
        <v>3345</v>
      </c>
      <c r="F83" s="13">
        <v>6.8</v>
      </c>
      <c r="G83" s="13" t="s">
        <v>18</v>
      </c>
      <c r="H83" s="13" t="s">
        <v>8907</v>
      </c>
      <c r="I83" s="13" t="s">
        <v>8908</v>
      </c>
      <c r="J83" s="9" t="s">
        <v>8909</v>
      </c>
      <c r="K83" s="13">
        <v>64</v>
      </c>
    </row>
    <row r="84" spans="1:11" ht="15" customHeight="1" x14ac:dyDescent="0.2">
      <c r="A84" s="13" t="s">
        <v>8910</v>
      </c>
      <c r="B84" s="13" t="s">
        <v>8910</v>
      </c>
      <c r="C84" s="13">
        <v>1969</v>
      </c>
      <c r="D84" s="13" t="s">
        <v>1163</v>
      </c>
      <c r="E84" s="13" t="s">
        <v>566</v>
      </c>
      <c r="F84" s="13">
        <v>6</v>
      </c>
      <c r="G84" s="13" t="s">
        <v>46</v>
      </c>
      <c r="H84" s="13" t="s">
        <v>8911</v>
      </c>
      <c r="I84" s="13" t="s">
        <v>8912</v>
      </c>
      <c r="J84" s="9" t="s">
        <v>8913</v>
      </c>
      <c r="K84" s="13">
        <v>3</v>
      </c>
    </row>
    <row r="85" spans="1:11" ht="15" customHeight="1" x14ac:dyDescent="0.2">
      <c r="A85" s="13" t="s">
        <v>8914</v>
      </c>
      <c r="B85" s="13" t="s">
        <v>8915</v>
      </c>
      <c r="C85" s="13">
        <v>1999</v>
      </c>
      <c r="D85" s="13" t="s">
        <v>413</v>
      </c>
      <c r="E85" s="13" t="s">
        <v>531</v>
      </c>
      <c r="F85" s="13">
        <v>7.1989999999999998</v>
      </c>
      <c r="G85" s="13" t="s">
        <v>18</v>
      </c>
      <c r="H85" s="13" t="s">
        <v>8916</v>
      </c>
      <c r="I85" s="13" t="s">
        <v>8917</v>
      </c>
      <c r="J85" s="9" t="s">
        <v>8918</v>
      </c>
      <c r="K85" s="13">
        <v>3990</v>
      </c>
    </row>
    <row r="86" spans="1:11" ht="15" customHeight="1" x14ac:dyDescent="0.2">
      <c r="A86" s="13" t="s">
        <v>8919</v>
      </c>
      <c r="B86" s="13" t="s">
        <v>8920</v>
      </c>
      <c r="C86" s="13">
        <v>1992</v>
      </c>
      <c r="D86" s="13" t="s">
        <v>8921</v>
      </c>
      <c r="E86" s="13" t="s">
        <v>531</v>
      </c>
      <c r="F86" s="13">
        <v>4.9000000000000004</v>
      </c>
      <c r="G86" s="13" t="s">
        <v>28</v>
      </c>
      <c r="H86" s="13" t="s">
        <v>8922</v>
      </c>
      <c r="I86" s="13" t="s">
        <v>8923</v>
      </c>
      <c r="J86" s="9" t="s">
        <v>8924</v>
      </c>
      <c r="K86" s="13">
        <v>38</v>
      </c>
    </row>
    <row r="87" spans="1:11" ht="15" customHeight="1" x14ac:dyDescent="0.2">
      <c r="A87" s="13" t="s">
        <v>8925</v>
      </c>
      <c r="B87" s="13" t="s">
        <v>8925</v>
      </c>
      <c r="C87" s="13">
        <v>1998</v>
      </c>
      <c r="D87" s="13" t="s">
        <v>413</v>
      </c>
      <c r="E87" s="13" t="s">
        <v>456</v>
      </c>
      <c r="F87" s="13">
        <v>6</v>
      </c>
      <c r="G87" s="13" t="s">
        <v>46</v>
      </c>
      <c r="H87" s="13" t="s">
        <v>8926</v>
      </c>
      <c r="I87" s="13" t="s">
        <v>8927</v>
      </c>
      <c r="J87" s="9" t="s">
        <v>8928</v>
      </c>
      <c r="K87" s="13">
        <v>304</v>
      </c>
    </row>
    <row r="88" spans="1:11" ht="15" customHeight="1" x14ac:dyDescent="0.2">
      <c r="A88" s="13" t="s">
        <v>4370</v>
      </c>
      <c r="B88" s="13" t="s">
        <v>4370</v>
      </c>
      <c r="C88" s="13">
        <v>2011</v>
      </c>
      <c r="D88" s="13" t="s">
        <v>413</v>
      </c>
      <c r="E88" s="13" t="s">
        <v>566</v>
      </c>
      <c r="F88" s="13">
        <v>7.6189999999999998</v>
      </c>
      <c r="G88" s="13" t="s">
        <v>77</v>
      </c>
      <c r="H88" s="13" t="s">
        <v>4371</v>
      </c>
      <c r="I88" s="13" t="s">
        <v>4372</v>
      </c>
      <c r="J88" s="9" t="s">
        <v>4373</v>
      </c>
      <c r="K88" s="13">
        <v>1891</v>
      </c>
    </row>
    <row r="89" spans="1:11" ht="15" customHeight="1" x14ac:dyDescent="0.2">
      <c r="A89" s="13" t="s">
        <v>8929</v>
      </c>
      <c r="B89" s="13" t="s">
        <v>8930</v>
      </c>
      <c r="C89" s="13">
        <v>2013</v>
      </c>
      <c r="D89" s="13" t="s">
        <v>413</v>
      </c>
      <c r="E89" s="13" t="s">
        <v>531</v>
      </c>
      <c r="F89" s="13">
        <v>6.1769999999999996</v>
      </c>
      <c r="G89" s="13" t="s">
        <v>46</v>
      </c>
      <c r="H89" s="13" t="s">
        <v>8931</v>
      </c>
      <c r="I89" s="13" t="s">
        <v>8932</v>
      </c>
      <c r="J89" s="9" t="s">
        <v>8933</v>
      </c>
      <c r="K89" s="13">
        <v>693</v>
      </c>
    </row>
    <row r="90" spans="1:11" ht="15" customHeight="1" x14ac:dyDescent="0.2">
      <c r="A90" s="13" t="s">
        <v>8934</v>
      </c>
      <c r="B90" s="13" t="s">
        <v>8935</v>
      </c>
      <c r="C90" s="13">
        <v>1990</v>
      </c>
      <c r="D90" s="13" t="s">
        <v>8936</v>
      </c>
      <c r="E90" s="13" t="s">
        <v>531</v>
      </c>
      <c r="F90" s="13">
        <v>6.6</v>
      </c>
      <c r="G90" s="13" t="s">
        <v>18</v>
      </c>
      <c r="H90" s="13" t="s">
        <v>8937</v>
      </c>
      <c r="I90" s="13" t="s">
        <v>8938</v>
      </c>
      <c r="J90" s="9" t="s">
        <v>8939</v>
      </c>
      <c r="K90" s="13">
        <v>341</v>
      </c>
    </row>
    <row r="91" spans="1:11" ht="15" customHeight="1" x14ac:dyDescent="0.2">
      <c r="A91" s="15" t="s">
        <v>8940</v>
      </c>
      <c r="B91" s="15" t="s">
        <v>8941</v>
      </c>
      <c r="C91" s="15">
        <v>2024</v>
      </c>
      <c r="D91" s="15" t="s">
        <v>8942</v>
      </c>
      <c r="E91" s="15" t="s">
        <v>399</v>
      </c>
      <c r="F91" s="15">
        <v>6.6879999999999997</v>
      </c>
      <c r="G91" s="15" t="s">
        <v>18</v>
      </c>
      <c r="H91" s="15" t="s">
        <v>8943</v>
      </c>
      <c r="I91" s="15" t="s">
        <v>8944</v>
      </c>
      <c r="J91" s="10" t="s">
        <v>8945</v>
      </c>
      <c r="K91" s="15">
        <v>24</v>
      </c>
    </row>
    <row r="92" spans="1:11" ht="15" customHeight="1" x14ac:dyDescent="0.2">
      <c r="A92" s="13" t="s">
        <v>8946</v>
      </c>
      <c r="B92" s="13" t="s">
        <v>8947</v>
      </c>
      <c r="C92" s="13">
        <v>2018</v>
      </c>
      <c r="D92" s="13" t="s">
        <v>8948</v>
      </c>
      <c r="E92" s="13" t="s">
        <v>531</v>
      </c>
      <c r="F92" s="13">
        <v>0</v>
      </c>
      <c r="G92" s="13"/>
      <c r="H92" s="13" t="s">
        <v>8949</v>
      </c>
      <c r="I92" s="13" t="s">
        <v>8950</v>
      </c>
      <c r="J92" s="9" t="s">
        <v>8951</v>
      </c>
      <c r="K92" s="13">
        <v>0</v>
      </c>
    </row>
    <row r="93" spans="1:11" ht="15" customHeight="1" x14ac:dyDescent="0.2">
      <c r="A93" s="13" t="s">
        <v>8952</v>
      </c>
      <c r="B93" s="13" t="s">
        <v>8953</v>
      </c>
      <c r="C93" s="13">
        <v>1992</v>
      </c>
      <c r="D93" s="13" t="s">
        <v>413</v>
      </c>
      <c r="E93" s="13" t="s">
        <v>1510</v>
      </c>
      <c r="F93" s="13">
        <v>6.8849999999999998</v>
      </c>
      <c r="G93" s="13" t="s">
        <v>18</v>
      </c>
      <c r="H93" s="13" t="s">
        <v>8954</v>
      </c>
      <c r="I93" s="13" t="s">
        <v>8955</v>
      </c>
      <c r="J93" s="9" t="s">
        <v>8956</v>
      </c>
      <c r="K93" s="13">
        <v>969</v>
      </c>
    </row>
    <row r="94" spans="1:11" ht="15" customHeight="1" x14ac:dyDescent="0.2">
      <c r="A94" s="13" t="s">
        <v>8957</v>
      </c>
      <c r="B94" s="13" t="s">
        <v>8958</v>
      </c>
      <c r="C94" s="13">
        <v>1984</v>
      </c>
      <c r="D94" s="13" t="s">
        <v>1163</v>
      </c>
      <c r="E94" s="13" t="s">
        <v>399</v>
      </c>
      <c r="F94" s="13">
        <v>4.8330000000000002</v>
      </c>
      <c r="G94" s="13" t="s">
        <v>28</v>
      </c>
      <c r="H94" s="13" t="s">
        <v>8959</v>
      </c>
      <c r="I94" s="13" t="s">
        <v>8960</v>
      </c>
      <c r="J94" s="9" t="s">
        <v>8961</v>
      </c>
      <c r="K94" s="13">
        <v>6</v>
      </c>
    </row>
    <row r="95" spans="1:11" ht="15" customHeight="1" x14ac:dyDescent="0.2">
      <c r="A95" s="13" t="s">
        <v>8962</v>
      </c>
      <c r="B95" s="13" t="s">
        <v>8963</v>
      </c>
      <c r="C95" s="13">
        <v>2022</v>
      </c>
      <c r="D95" s="13" t="s">
        <v>933</v>
      </c>
      <c r="E95" s="13" t="s">
        <v>531</v>
      </c>
      <c r="F95" s="13">
        <v>6.415</v>
      </c>
      <c r="G95" s="13" t="s">
        <v>46</v>
      </c>
      <c r="H95" s="13" t="s">
        <v>8964</v>
      </c>
      <c r="I95" s="13" t="s">
        <v>8965</v>
      </c>
      <c r="J95" s="9" t="s">
        <v>8966</v>
      </c>
      <c r="K95" s="13">
        <v>363</v>
      </c>
    </row>
    <row r="96" spans="1:11" ht="15" customHeight="1" x14ac:dyDescent="0.2">
      <c r="A96" s="13" t="s">
        <v>8967</v>
      </c>
      <c r="B96" s="13" t="s">
        <v>8968</v>
      </c>
      <c r="C96" s="13">
        <v>2023</v>
      </c>
      <c r="D96" s="13" t="s">
        <v>5234</v>
      </c>
      <c r="E96" s="13" t="s">
        <v>531</v>
      </c>
      <c r="F96" s="13">
        <v>7.1390000000000002</v>
      </c>
      <c r="G96" s="13" t="s">
        <v>18</v>
      </c>
      <c r="H96" s="13" t="s">
        <v>8969</v>
      </c>
      <c r="I96" s="13" t="s">
        <v>8970</v>
      </c>
      <c r="J96" s="9" t="s">
        <v>8971</v>
      </c>
      <c r="K96" s="13">
        <v>518</v>
      </c>
    </row>
    <row r="97" spans="1:11" ht="15" customHeight="1" x14ac:dyDescent="0.2">
      <c r="A97" s="13" t="s">
        <v>8972</v>
      </c>
      <c r="B97" s="13" t="s">
        <v>8973</v>
      </c>
      <c r="C97" s="13">
        <v>2018</v>
      </c>
      <c r="D97" s="13" t="s">
        <v>8286</v>
      </c>
      <c r="E97" s="13" t="s">
        <v>2707</v>
      </c>
      <c r="F97" s="13">
        <v>6.6</v>
      </c>
      <c r="G97" s="13" t="s">
        <v>18</v>
      </c>
      <c r="H97" s="13" t="s">
        <v>8974</v>
      </c>
      <c r="I97" s="13" t="s">
        <v>8975</v>
      </c>
      <c r="J97" s="9" t="s">
        <v>8976</v>
      </c>
      <c r="K97" s="13">
        <v>1031</v>
      </c>
    </row>
    <row r="98" spans="1:11" ht="15" customHeight="1" x14ac:dyDescent="0.2">
      <c r="A98" s="13" t="s">
        <v>8977</v>
      </c>
      <c r="B98" s="13" t="s">
        <v>8978</v>
      </c>
      <c r="C98" s="13">
        <v>2020</v>
      </c>
      <c r="D98" s="13" t="s">
        <v>413</v>
      </c>
      <c r="E98" s="13" t="s">
        <v>531</v>
      </c>
      <c r="F98" s="13">
        <v>5.5</v>
      </c>
      <c r="G98" s="13" t="s">
        <v>46</v>
      </c>
      <c r="H98" s="13" t="s">
        <v>8979</v>
      </c>
      <c r="I98" s="13" t="s">
        <v>8980</v>
      </c>
      <c r="J98" s="9" t="s">
        <v>8981</v>
      </c>
      <c r="K98" s="13">
        <v>20</v>
      </c>
    </row>
    <row r="99" spans="1:11" ht="15" customHeight="1" x14ac:dyDescent="0.2">
      <c r="A99" s="13" t="s">
        <v>8982</v>
      </c>
      <c r="B99" s="13" t="s">
        <v>8983</v>
      </c>
      <c r="C99" s="13">
        <v>2007</v>
      </c>
      <c r="D99" s="13" t="s">
        <v>413</v>
      </c>
      <c r="E99" s="13" t="s">
        <v>531</v>
      </c>
      <c r="F99" s="13">
        <v>6.6619999999999999</v>
      </c>
      <c r="G99" s="13" t="s">
        <v>18</v>
      </c>
      <c r="H99" s="13" t="s">
        <v>8984</v>
      </c>
      <c r="I99" s="13" t="s">
        <v>8985</v>
      </c>
      <c r="J99" s="9" t="s">
        <v>8986</v>
      </c>
      <c r="K99" s="13">
        <v>675</v>
      </c>
    </row>
    <row r="100" spans="1:11" ht="15" customHeight="1" x14ac:dyDescent="0.2">
      <c r="A100" s="13" t="s">
        <v>8987</v>
      </c>
      <c r="B100" s="13" t="s">
        <v>8988</v>
      </c>
      <c r="C100" s="13">
        <v>1937</v>
      </c>
      <c r="D100" s="13" t="s">
        <v>413</v>
      </c>
      <c r="E100" s="13" t="s">
        <v>8989</v>
      </c>
      <c r="F100" s="13">
        <v>6.1</v>
      </c>
      <c r="G100" s="13" t="s">
        <v>46</v>
      </c>
      <c r="H100" s="13" t="s">
        <v>8990</v>
      </c>
      <c r="I100" s="13" t="s">
        <v>8991</v>
      </c>
      <c r="J100" s="9" t="s">
        <v>8992</v>
      </c>
      <c r="K100" s="13">
        <v>14</v>
      </c>
    </row>
    <row r="101" spans="1:11" ht="15" customHeight="1" x14ac:dyDescent="0.2">
      <c r="A101" s="15" t="s">
        <v>8993</v>
      </c>
      <c r="B101" s="15" t="s">
        <v>8994</v>
      </c>
      <c r="C101" s="15">
        <v>2022</v>
      </c>
      <c r="D101" s="15" t="s">
        <v>8995</v>
      </c>
      <c r="E101" s="15" t="s">
        <v>531</v>
      </c>
      <c r="F101" s="15">
        <v>6.0229999999999997</v>
      </c>
      <c r="G101" s="15" t="s">
        <v>46</v>
      </c>
      <c r="H101" s="15" t="s">
        <v>8996</v>
      </c>
      <c r="I101" s="15" t="s">
        <v>8997</v>
      </c>
      <c r="J101" s="10" t="s">
        <v>8998</v>
      </c>
      <c r="K101" s="15">
        <v>130</v>
      </c>
    </row>
    <row r="102" spans="1:11" ht="15" customHeight="1" x14ac:dyDescent="0.2">
      <c r="A102" s="13" t="s">
        <v>8999</v>
      </c>
      <c r="B102" s="13" t="s">
        <v>9000</v>
      </c>
      <c r="C102" s="13">
        <v>1990</v>
      </c>
      <c r="D102" s="13" t="s">
        <v>413</v>
      </c>
      <c r="E102" s="13" t="s">
        <v>3345</v>
      </c>
      <c r="F102" s="13">
        <v>6</v>
      </c>
      <c r="G102" s="13" t="s">
        <v>46</v>
      </c>
      <c r="H102" s="13" t="s">
        <v>9001</v>
      </c>
      <c r="I102" s="13" t="s">
        <v>9002</v>
      </c>
      <c r="J102" s="9" t="s">
        <v>9003</v>
      </c>
      <c r="K102" s="13">
        <v>256</v>
      </c>
    </row>
    <row r="103" spans="1:11" ht="15" customHeight="1" x14ac:dyDescent="0.2">
      <c r="A103" s="13" t="s">
        <v>9004</v>
      </c>
      <c r="B103" s="13" t="s">
        <v>9004</v>
      </c>
      <c r="C103" s="13">
        <v>1995</v>
      </c>
      <c r="D103" s="13" t="s">
        <v>530</v>
      </c>
      <c r="E103" s="13" t="s">
        <v>3345</v>
      </c>
      <c r="F103" s="13">
        <v>0</v>
      </c>
      <c r="G103" s="13"/>
      <c r="H103" s="13" t="s">
        <v>9005</v>
      </c>
      <c r="I103" s="13" t="s">
        <v>9006</v>
      </c>
      <c r="J103" s="9" t="s">
        <v>9007</v>
      </c>
      <c r="K103" s="13">
        <v>0</v>
      </c>
    </row>
    <row r="104" spans="1:11" ht="15" customHeight="1" x14ac:dyDescent="0.2">
      <c r="A104" s="13" t="s">
        <v>9008</v>
      </c>
      <c r="B104" s="13" t="s">
        <v>9009</v>
      </c>
      <c r="C104" s="13">
        <v>1998</v>
      </c>
      <c r="D104" s="13" t="s">
        <v>530</v>
      </c>
      <c r="E104" s="13" t="s">
        <v>2470</v>
      </c>
      <c r="F104" s="13">
        <v>2</v>
      </c>
      <c r="G104" s="13" t="s">
        <v>1310</v>
      </c>
      <c r="H104" s="13" t="s">
        <v>9010</v>
      </c>
      <c r="I104" s="13" t="s">
        <v>9011</v>
      </c>
      <c r="J104" s="9" t="s">
        <v>9012</v>
      </c>
      <c r="K104" s="13">
        <v>2</v>
      </c>
    </row>
    <row r="105" spans="1:11" ht="15" customHeight="1" x14ac:dyDescent="0.2">
      <c r="A105" s="13" t="s">
        <v>9013</v>
      </c>
      <c r="B105" s="13" t="s">
        <v>9014</v>
      </c>
      <c r="C105" s="13">
        <v>2024</v>
      </c>
      <c r="D105" s="13" t="s">
        <v>8942</v>
      </c>
      <c r="E105" s="13" t="s">
        <v>9015</v>
      </c>
      <c r="F105" s="13">
        <v>6.8289999999999997</v>
      </c>
      <c r="G105" s="13" t="s">
        <v>18</v>
      </c>
      <c r="H105" s="13" t="s">
        <v>9016</v>
      </c>
      <c r="I105" s="13" t="s">
        <v>9017</v>
      </c>
      <c r="J105" s="9" t="s">
        <v>9018</v>
      </c>
      <c r="K105" s="13">
        <v>35</v>
      </c>
    </row>
    <row r="106" spans="1:11" ht="15" customHeight="1" x14ac:dyDescent="0.2">
      <c r="A106" s="13" t="s">
        <v>5485</v>
      </c>
      <c r="B106" s="13" t="s">
        <v>5486</v>
      </c>
      <c r="C106" s="13">
        <v>2006</v>
      </c>
      <c r="D106" s="13" t="s">
        <v>530</v>
      </c>
      <c r="E106" s="13" t="s">
        <v>881</v>
      </c>
      <c r="F106" s="13">
        <v>6.6760000000000002</v>
      </c>
      <c r="G106" s="13" t="s">
        <v>18</v>
      </c>
      <c r="H106" s="13" t="s">
        <v>9019</v>
      </c>
      <c r="I106" s="13" t="s">
        <v>9020</v>
      </c>
      <c r="J106" s="9" t="s">
        <v>9021</v>
      </c>
      <c r="K106" s="13">
        <v>391</v>
      </c>
    </row>
    <row r="107" spans="1:11" ht="15" customHeight="1" x14ac:dyDescent="0.2">
      <c r="A107" s="13" t="s">
        <v>9022</v>
      </c>
      <c r="B107" s="13" t="s">
        <v>9023</v>
      </c>
      <c r="C107" s="13">
        <v>2007</v>
      </c>
      <c r="D107" s="13" t="s">
        <v>413</v>
      </c>
      <c r="E107" s="13" t="s">
        <v>531</v>
      </c>
      <c r="F107" s="13">
        <v>6.6840000000000002</v>
      </c>
      <c r="G107" s="13" t="s">
        <v>18</v>
      </c>
      <c r="H107" s="13" t="s">
        <v>9024</v>
      </c>
      <c r="I107" s="13" t="s">
        <v>9025</v>
      </c>
      <c r="J107" s="9" t="s">
        <v>9026</v>
      </c>
      <c r="K107" s="13">
        <v>3936</v>
      </c>
    </row>
    <row r="108" spans="1:11" ht="15" customHeight="1" x14ac:dyDescent="0.2">
      <c r="A108" s="13" t="s">
        <v>9027</v>
      </c>
      <c r="B108" s="13" t="s">
        <v>9028</v>
      </c>
      <c r="C108" s="13">
        <v>2019</v>
      </c>
      <c r="D108" s="13" t="s">
        <v>8589</v>
      </c>
      <c r="E108" s="13" t="s">
        <v>9029</v>
      </c>
      <c r="F108" s="13">
        <v>7.1449999999999996</v>
      </c>
      <c r="G108" s="13" t="s">
        <v>18</v>
      </c>
      <c r="H108" s="13" t="s">
        <v>9030</v>
      </c>
      <c r="I108" s="13" t="s">
        <v>9031</v>
      </c>
      <c r="J108" s="9" t="s">
        <v>9032</v>
      </c>
      <c r="K108" s="13">
        <v>4706</v>
      </c>
    </row>
    <row r="109" spans="1:11" ht="15" customHeight="1" x14ac:dyDescent="0.2">
      <c r="A109" s="13" t="s">
        <v>9033</v>
      </c>
      <c r="B109" s="13" t="s">
        <v>9033</v>
      </c>
      <c r="C109" s="13">
        <v>2017</v>
      </c>
      <c r="D109" s="13" t="s">
        <v>413</v>
      </c>
      <c r="E109" s="13" t="s">
        <v>9034</v>
      </c>
      <c r="F109" s="13">
        <v>6</v>
      </c>
      <c r="G109" s="13" t="s">
        <v>46</v>
      </c>
      <c r="H109" s="13" t="s">
        <v>9035</v>
      </c>
      <c r="I109" s="13" t="s">
        <v>9036</v>
      </c>
      <c r="J109" s="9"/>
      <c r="K109" s="13">
        <v>6</v>
      </c>
    </row>
    <row r="110" spans="1:11" ht="15" customHeight="1" x14ac:dyDescent="0.2">
      <c r="A110" s="13" t="s">
        <v>9037</v>
      </c>
      <c r="B110" s="13" t="s">
        <v>9037</v>
      </c>
      <c r="C110" s="13">
        <v>2022</v>
      </c>
      <c r="D110" s="13" t="s">
        <v>413</v>
      </c>
      <c r="E110" s="13" t="s">
        <v>2374</v>
      </c>
      <c r="F110" s="13">
        <v>6.7729999999999997</v>
      </c>
      <c r="G110" s="13" t="s">
        <v>18</v>
      </c>
      <c r="H110" s="13" t="s">
        <v>9038</v>
      </c>
      <c r="I110" s="13" t="s">
        <v>9039</v>
      </c>
      <c r="J110" s="9" t="s">
        <v>9040</v>
      </c>
      <c r="K110" s="13">
        <v>2800</v>
      </c>
    </row>
    <row r="111" spans="1:11" ht="15" customHeight="1" x14ac:dyDescent="0.2">
      <c r="A111" s="15" t="s">
        <v>9041</v>
      </c>
      <c r="B111" s="15" t="s">
        <v>9041</v>
      </c>
      <c r="C111" s="15">
        <v>1977</v>
      </c>
      <c r="D111" s="15" t="s">
        <v>5234</v>
      </c>
      <c r="E111" s="15" t="s">
        <v>2470</v>
      </c>
      <c r="F111" s="15">
        <v>5</v>
      </c>
      <c r="G111" s="15" t="s">
        <v>28</v>
      </c>
      <c r="H111" s="15" t="s">
        <v>9042</v>
      </c>
      <c r="I111" s="15" t="s">
        <v>9043</v>
      </c>
      <c r="J111" s="10" t="s">
        <v>9044</v>
      </c>
      <c r="K111" s="15">
        <v>9</v>
      </c>
    </row>
    <row r="112" spans="1:11" ht="15" customHeight="1" x14ac:dyDescent="0.2">
      <c r="A112" s="13" t="s">
        <v>9045</v>
      </c>
      <c r="B112" s="13" t="s">
        <v>9046</v>
      </c>
      <c r="C112" s="13">
        <v>2025</v>
      </c>
      <c r="D112" s="13" t="s">
        <v>9047</v>
      </c>
      <c r="E112" s="13" t="s">
        <v>531</v>
      </c>
      <c r="F112" s="13">
        <v>6.37</v>
      </c>
      <c r="G112" s="13" t="s">
        <v>46</v>
      </c>
      <c r="H112" s="13" t="s">
        <v>9048</v>
      </c>
      <c r="I112" s="13" t="s">
        <v>9049</v>
      </c>
      <c r="J112" s="9" t="s">
        <v>9050</v>
      </c>
      <c r="K112" s="13">
        <v>677</v>
      </c>
    </row>
    <row r="113" spans="1:11" ht="15" customHeight="1" x14ac:dyDescent="0.2">
      <c r="A113" s="13" t="s">
        <v>9051</v>
      </c>
      <c r="B113" s="13" t="s">
        <v>9052</v>
      </c>
      <c r="C113" s="13">
        <v>2007</v>
      </c>
      <c r="D113" s="13" t="s">
        <v>560</v>
      </c>
      <c r="E113" s="13" t="s">
        <v>5711</v>
      </c>
      <c r="F113" s="13">
        <v>4.843</v>
      </c>
      <c r="G113" s="13" t="s">
        <v>28</v>
      </c>
      <c r="H113" s="13" t="s">
        <v>9053</v>
      </c>
      <c r="I113" s="13" t="s">
        <v>9054</v>
      </c>
      <c r="J113" s="9" t="s">
        <v>9055</v>
      </c>
      <c r="K113" s="13">
        <v>70</v>
      </c>
    </row>
    <row r="114" spans="1:11" ht="15" customHeight="1" x14ac:dyDescent="0.2">
      <c r="A114" s="13" t="s">
        <v>9056</v>
      </c>
      <c r="B114" s="13" t="s">
        <v>9056</v>
      </c>
      <c r="C114" s="13">
        <v>2024</v>
      </c>
      <c r="D114" s="13" t="s">
        <v>413</v>
      </c>
      <c r="E114" s="13" t="s">
        <v>9057</v>
      </c>
      <c r="F114" s="13">
        <v>10</v>
      </c>
      <c r="G114" s="13" t="s">
        <v>18</v>
      </c>
      <c r="H114" s="13" t="s">
        <v>9058</v>
      </c>
      <c r="I114" s="13" t="s">
        <v>9059</v>
      </c>
      <c r="J114" s="9" t="s">
        <v>9060</v>
      </c>
      <c r="K114" s="13">
        <v>1</v>
      </c>
    </row>
    <row r="115" spans="1:11" ht="15" customHeight="1" x14ac:dyDescent="0.2">
      <c r="A115" s="13" t="s">
        <v>9061</v>
      </c>
      <c r="B115" s="13" t="s">
        <v>9061</v>
      </c>
      <c r="C115" s="13">
        <v>2025</v>
      </c>
      <c r="D115" s="13" t="s">
        <v>413</v>
      </c>
      <c r="E115" s="13" t="s">
        <v>3117</v>
      </c>
      <c r="F115" s="13">
        <v>6.375</v>
      </c>
      <c r="G115" s="13" t="s">
        <v>46</v>
      </c>
      <c r="H115" s="13" t="s">
        <v>9062</v>
      </c>
      <c r="I115" s="13" t="s">
        <v>9063</v>
      </c>
      <c r="J115" s="9" t="s">
        <v>9064</v>
      </c>
      <c r="K115" s="13">
        <v>256</v>
      </c>
    </row>
    <row r="116" spans="1:11" ht="15" customHeight="1" x14ac:dyDescent="0.2">
      <c r="A116" s="13" t="s">
        <v>9065</v>
      </c>
      <c r="B116" s="13" t="s">
        <v>9066</v>
      </c>
      <c r="C116" s="13">
        <v>1998</v>
      </c>
      <c r="D116" s="13" t="s">
        <v>767</v>
      </c>
      <c r="E116" s="13" t="s">
        <v>531</v>
      </c>
      <c r="F116" s="13">
        <v>7.1989999999999998</v>
      </c>
      <c r="G116" s="13" t="s">
        <v>18</v>
      </c>
      <c r="H116" s="13" t="s">
        <v>9067</v>
      </c>
      <c r="I116" s="13" t="s">
        <v>9068</v>
      </c>
      <c r="J116" s="9" t="s">
        <v>9069</v>
      </c>
      <c r="K116" s="13">
        <v>1016</v>
      </c>
    </row>
    <row r="117" spans="1:11" ht="15" customHeight="1" x14ac:dyDescent="0.2">
      <c r="A117" s="13" t="s">
        <v>9070</v>
      </c>
      <c r="B117" s="13" t="s">
        <v>9071</v>
      </c>
      <c r="C117" s="13">
        <v>2019</v>
      </c>
      <c r="D117" s="13" t="s">
        <v>9072</v>
      </c>
      <c r="E117" s="13" t="s">
        <v>2082</v>
      </c>
      <c r="F117" s="13">
        <v>5.5469999999999997</v>
      </c>
      <c r="G117" s="13" t="s">
        <v>46</v>
      </c>
      <c r="H117" s="13" t="s">
        <v>9073</v>
      </c>
      <c r="I117" s="13" t="s">
        <v>9074</v>
      </c>
      <c r="J117" s="9" t="s">
        <v>9075</v>
      </c>
      <c r="K117" s="13">
        <v>447</v>
      </c>
    </row>
    <row r="118" spans="1:11" ht="15" customHeight="1" x14ac:dyDescent="0.2">
      <c r="A118" s="13" t="s">
        <v>9076</v>
      </c>
      <c r="B118" s="13" t="s">
        <v>9076</v>
      </c>
      <c r="C118" s="13">
        <v>1997</v>
      </c>
      <c r="D118" s="13" t="s">
        <v>530</v>
      </c>
      <c r="E118" s="13" t="s">
        <v>531</v>
      </c>
      <c r="F118" s="13">
        <v>0</v>
      </c>
      <c r="G118" s="13"/>
      <c r="H118" s="13" t="s">
        <v>9077</v>
      </c>
      <c r="I118" s="13" t="s">
        <v>9078</v>
      </c>
      <c r="J118" s="9"/>
      <c r="K118" s="13">
        <v>0</v>
      </c>
    </row>
    <row r="119" spans="1:11" ht="15" customHeight="1" x14ac:dyDescent="0.2">
      <c r="A119" s="13" t="s">
        <v>9079</v>
      </c>
      <c r="B119" s="13" t="s">
        <v>9080</v>
      </c>
      <c r="C119" s="13">
        <v>1982</v>
      </c>
      <c r="D119" s="13" t="s">
        <v>413</v>
      </c>
      <c r="E119" s="13" t="s">
        <v>3345</v>
      </c>
      <c r="F119" s="13">
        <v>6.0880000000000001</v>
      </c>
      <c r="G119" s="13" t="s">
        <v>46</v>
      </c>
      <c r="H119" s="13" t="s">
        <v>9081</v>
      </c>
      <c r="I119" s="13" t="s">
        <v>9082</v>
      </c>
      <c r="J119" s="9"/>
      <c r="K119" s="13">
        <v>17</v>
      </c>
    </row>
    <row r="120" spans="1:11" ht="15" customHeight="1" x14ac:dyDescent="0.2">
      <c r="A120" s="13" t="s">
        <v>9083</v>
      </c>
      <c r="B120" s="13" t="s">
        <v>9083</v>
      </c>
      <c r="C120" s="13">
        <v>2022</v>
      </c>
      <c r="D120" s="13" t="s">
        <v>413</v>
      </c>
      <c r="E120" s="13" t="s">
        <v>890</v>
      </c>
      <c r="F120" s="13">
        <v>6.6689999999999996</v>
      </c>
      <c r="G120" s="13" t="s">
        <v>18</v>
      </c>
      <c r="H120" s="13" t="s">
        <v>9084</v>
      </c>
      <c r="I120" s="13" t="s">
        <v>9085</v>
      </c>
      <c r="J120" s="9" t="s">
        <v>9086</v>
      </c>
      <c r="K120" s="13">
        <v>941</v>
      </c>
    </row>
    <row r="121" spans="1:11" ht="15" customHeight="1" x14ac:dyDescent="0.2">
      <c r="A121" s="15" t="s">
        <v>9087</v>
      </c>
      <c r="B121" s="15" t="s">
        <v>9087</v>
      </c>
      <c r="C121" s="15">
        <v>2016</v>
      </c>
      <c r="D121" s="15" t="s">
        <v>530</v>
      </c>
      <c r="E121" s="15" t="s">
        <v>934</v>
      </c>
      <c r="F121" s="15"/>
      <c r="G121" s="15"/>
      <c r="H121" s="15" t="s">
        <v>9088</v>
      </c>
      <c r="I121" s="15" t="s">
        <v>9089</v>
      </c>
      <c r="J121" s="10"/>
      <c r="K121" s="15"/>
    </row>
    <row r="122" spans="1:11" ht="15" customHeight="1" x14ac:dyDescent="0.2">
      <c r="A122" s="13" t="s">
        <v>9090</v>
      </c>
      <c r="B122" s="13" t="s">
        <v>9091</v>
      </c>
      <c r="C122" s="13">
        <v>2007</v>
      </c>
      <c r="D122" s="13" t="s">
        <v>413</v>
      </c>
      <c r="E122" s="13" t="s">
        <v>531</v>
      </c>
      <c r="F122" s="13">
        <v>6.609</v>
      </c>
      <c r="G122" s="13" t="s">
        <v>18</v>
      </c>
      <c r="H122" s="13" t="s">
        <v>9092</v>
      </c>
      <c r="I122" s="13" t="s">
        <v>9093</v>
      </c>
      <c r="J122" s="9" t="s">
        <v>9094</v>
      </c>
      <c r="K122" s="13">
        <v>638</v>
      </c>
    </row>
    <row r="123" spans="1:11" ht="15" customHeight="1" x14ac:dyDescent="0.2">
      <c r="A123" s="13" t="s">
        <v>9095</v>
      </c>
      <c r="B123" s="13" t="s">
        <v>9096</v>
      </c>
      <c r="C123" s="13">
        <v>2007</v>
      </c>
      <c r="D123" s="13" t="s">
        <v>519</v>
      </c>
      <c r="E123" s="13" t="s">
        <v>9097</v>
      </c>
      <c r="F123" s="13">
        <v>3.6960000000000002</v>
      </c>
      <c r="G123" s="13" t="s">
        <v>86</v>
      </c>
      <c r="H123" s="13" t="s">
        <v>9098</v>
      </c>
      <c r="I123" s="13" t="s">
        <v>9099</v>
      </c>
      <c r="J123" s="9" t="s">
        <v>9100</v>
      </c>
      <c r="K123" s="13">
        <v>23</v>
      </c>
    </row>
    <row r="124" spans="1:11" ht="15" customHeight="1" x14ac:dyDescent="0.2">
      <c r="A124" s="13" t="s">
        <v>9101</v>
      </c>
      <c r="B124" s="13" t="s">
        <v>9102</v>
      </c>
      <c r="C124" s="13">
        <v>2015</v>
      </c>
      <c r="D124" s="13" t="s">
        <v>9103</v>
      </c>
      <c r="E124" s="13" t="s">
        <v>531</v>
      </c>
      <c r="F124" s="13">
        <v>7.0780000000000003</v>
      </c>
      <c r="G124" s="13" t="s">
        <v>18</v>
      </c>
      <c r="H124" s="13" t="s">
        <v>9104</v>
      </c>
      <c r="I124" s="13" t="s">
        <v>9105</v>
      </c>
      <c r="J124" s="9" t="s">
        <v>9106</v>
      </c>
      <c r="K124" s="13">
        <v>2657</v>
      </c>
    </row>
    <row r="125" spans="1:11" ht="15" customHeight="1" x14ac:dyDescent="0.2">
      <c r="A125" s="13" t="s">
        <v>9107</v>
      </c>
      <c r="B125" s="13" t="s">
        <v>9108</v>
      </c>
      <c r="C125" s="13">
        <v>2015</v>
      </c>
      <c r="D125" s="13" t="s">
        <v>9109</v>
      </c>
      <c r="E125" s="13" t="s">
        <v>531</v>
      </c>
      <c r="F125" s="13">
        <v>7.2469999999999999</v>
      </c>
      <c r="G125" s="13" t="s">
        <v>18</v>
      </c>
      <c r="H125" s="13" t="s">
        <v>9110</v>
      </c>
      <c r="I125" s="13" t="s">
        <v>9111</v>
      </c>
      <c r="J125" s="9" t="s">
        <v>9112</v>
      </c>
      <c r="K125" s="13">
        <v>1955</v>
      </c>
    </row>
    <row r="126" spans="1:11" ht="15" customHeight="1" x14ac:dyDescent="0.2">
      <c r="A126" s="13" t="s">
        <v>9113</v>
      </c>
      <c r="B126" s="13" t="s">
        <v>9114</v>
      </c>
      <c r="C126" s="13">
        <v>2021</v>
      </c>
      <c r="D126" s="13" t="s">
        <v>9115</v>
      </c>
      <c r="E126" s="13" t="s">
        <v>531</v>
      </c>
      <c r="F126" s="13">
        <v>6.5179999999999998</v>
      </c>
      <c r="G126" s="13" t="s">
        <v>18</v>
      </c>
      <c r="H126" s="13" t="s">
        <v>9116</v>
      </c>
      <c r="I126" s="13" t="s">
        <v>9117</v>
      </c>
      <c r="J126" s="9" t="s">
        <v>9118</v>
      </c>
      <c r="K126" s="13">
        <v>2184</v>
      </c>
    </row>
    <row r="127" spans="1:11" ht="15" customHeight="1" x14ac:dyDescent="0.2">
      <c r="A127" s="13" t="s">
        <v>9119</v>
      </c>
      <c r="B127" s="13" t="s">
        <v>9120</v>
      </c>
      <c r="C127" s="13">
        <v>2022</v>
      </c>
      <c r="D127" s="13" t="s">
        <v>781</v>
      </c>
      <c r="E127" s="13" t="s">
        <v>531</v>
      </c>
      <c r="F127" s="13">
        <v>7.12</v>
      </c>
      <c r="G127" s="13" t="s">
        <v>18</v>
      </c>
      <c r="H127" s="13" t="s">
        <v>9121</v>
      </c>
      <c r="I127" s="13" t="s">
        <v>9122</v>
      </c>
      <c r="J127" s="9" t="s">
        <v>9123</v>
      </c>
      <c r="K127" s="13">
        <v>4339</v>
      </c>
    </row>
    <row r="128" spans="1:11" ht="15" customHeight="1" x14ac:dyDescent="0.2">
      <c r="A128" s="13" t="s">
        <v>9124</v>
      </c>
      <c r="B128" s="13" t="s">
        <v>9124</v>
      </c>
      <c r="C128" s="13">
        <v>2020</v>
      </c>
      <c r="D128" s="13" t="s">
        <v>2729</v>
      </c>
      <c r="E128" s="13" t="s">
        <v>324</v>
      </c>
      <c r="F128" s="13">
        <v>5.5750000000000002</v>
      </c>
      <c r="G128" s="13" t="s">
        <v>46</v>
      </c>
      <c r="H128" s="13" t="s">
        <v>9125</v>
      </c>
      <c r="I128" s="13" t="s">
        <v>9126</v>
      </c>
      <c r="J128" s="9" t="s">
        <v>9127</v>
      </c>
      <c r="K128" s="13">
        <v>909</v>
      </c>
    </row>
    <row r="129" spans="1:11" ht="15" customHeight="1" x14ac:dyDescent="0.2">
      <c r="A129" s="13" t="s">
        <v>9128</v>
      </c>
      <c r="B129" s="13" t="s">
        <v>9129</v>
      </c>
      <c r="C129" s="13">
        <v>1996</v>
      </c>
      <c r="D129" s="13" t="s">
        <v>560</v>
      </c>
      <c r="E129" s="13" t="s">
        <v>531</v>
      </c>
      <c r="F129" s="13">
        <v>6.51</v>
      </c>
      <c r="G129" s="13" t="s">
        <v>18</v>
      </c>
      <c r="H129" s="13" t="s">
        <v>9130</v>
      </c>
      <c r="I129" s="13" t="s">
        <v>9131</v>
      </c>
      <c r="J129" s="9" t="s">
        <v>9132</v>
      </c>
      <c r="K129" s="13">
        <v>950</v>
      </c>
    </row>
    <row r="130" spans="1:11" ht="15" customHeight="1" x14ac:dyDescent="0.2">
      <c r="A130" s="13" t="s">
        <v>9133</v>
      </c>
      <c r="B130" s="13" t="s">
        <v>9134</v>
      </c>
      <c r="C130" s="13">
        <v>2021</v>
      </c>
      <c r="D130" s="13" t="s">
        <v>413</v>
      </c>
      <c r="E130" s="13" t="s">
        <v>531</v>
      </c>
      <c r="F130" s="13">
        <v>6.9210000000000003</v>
      </c>
      <c r="G130" s="13" t="s">
        <v>18</v>
      </c>
      <c r="H130" s="13" t="s">
        <v>9135</v>
      </c>
      <c r="I130" s="13" t="s">
        <v>9136</v>
      </c>
      <c r="J130" s="9" t="s">
        <v>9137</v>
      </c>
      <c r="K130" s="13">
        <v>548</v>
      </c>
    </row>
    <row r="131" spans="1:11" ht="15" customHeight="1" x14ac:dyDescent="0.2">
      <c r="A131" s="15" t="s">
        <v>9138</v>
      </c>
      <c r="B131" s="15" t="s">
        <v>9139</v>
      </c>
      <c r="C131" s="15">
        <v>2017</v>
      </c>
      <c r="D131" s="15" t="s">
        <v>413</v>
      </c>
      <c r="E131" s="15" t="s">
        <v>8715</v>
      </c>
      <c r="F131" s="15">
        <v>6.8</v>
      </c>
      <c r="G131" s="15" t="s">
        <v>18</v>
      </c>
      <c r="H131" s="15" t="s">
        <v>9140</v>
      </c>
      <c r="I131" s="15" t="s">
        <v>9141</v>
      </c>
      <c r="J131" s="10" t="s">
        <v>9142</v>
      </c>
      <c r="K131" s="15">
        <v>11</v>
      </c>
    </row>
    <row r="132" spans="1:11" ht="15" customHeight="1" x14ac:dyDescent="0.2">
      <c r="A132" s="13" t="s">
        <v>9143</v>
      </c>
      <c r="B132" s="13" t="s">
        <v>9143</v>
      </c>
      <c r="C132" s="13">
        <v>1999</v>
      </c>
      <c r="D132" s="13" t="s">
        <v>467</v>
      </c>
      <c r="E132" s="13" t="s">
        <v>2470</v>
      </c>
      <c r="F132" s="13">
        <v>8.4380000000000006</v>
      </c>
      <c r="G132" s="13" t="s">
        <v>77</v>
      </c>
      <c r="H132" s="13" t="s">
        <v>9144</v>
      </c>
      <c r="I132" s="13" t="s">
        <v>9145</v>
      </c>
      <c r="J132" s="9" t="s">
        <v>9146</v>
      </c>
      <c r="K132" s="13">
        <v>31094</v>
      </c>
    </row>
    <row r="133" spans="1:11" ht="15" customHeight="1" x14ac:dyDescent="0.2">
      <c r="A133" s="13" t="s">
        <v>9147</v>
      </c>
      <c r="B133" s="13" t="s">
        <v>9147</v>
      </c>
      <c r="C133" s="13">
        <v>2023</v>
      </c>
      <c r="D133" s="13" t="s">
        <v>413</v>
      </c>
      <c r="E133" s="13" t="s">
        <v>2470</v>
      </c>
      <c r="F133" s="13">
        <v>6.8769999999999998</v>
      </c>
      <c r="G133" s="13" t="s">
        <v>18</v>
      </c>
      <c r="H133" s="13" t="s">
        <v>9148</v>
      </c>
      <c r="I133" s="13" t="s">
        <v>9149</v>
      </c>
      <c r="J133" s="9" t="s">
        <v>9150</v>
      </c>
      <c r="K133" s="13">
        <v>317</v>
      </c>
    </row>
    <row r="134" spans="1:11" ht="15" customHeight="1" x14ac:dyDescent="0.2">
      <c r="A134" s="13" t="s">
        <v>9151</v>
      </c>
      <c r="B134" s="13" t="s">
        <v>9151</v>
      </c>
      <c r="C134" s="13">
        <v>2017</v>
      </c>
      <c r="D134" s="13" t="s">
        <v>2729</v>
      </c>
      <c r="E134" s="13" t="s">
        <v>259</v>
      </c>
      <c r="F134" s="13">
        <v>5.6619999999999999</v>
      </c>
      <c r="G134" s="13" t="s">
        <v>46</v>
      </c>
      <c r="H134" s="13" t="s">
        <v>9152</v>
      </c>
      <c r="I134" s="13" t="s">
        <v>9153</v>
      </c>
      <c r="J134" s="9" t="s">
        <v>9154</v>
      </c>
      <c r="K134" s="13">
        <v>576</v>
      </c>
    </row>
    <row r="135" spans="1:11" ht="15" customHeight="1" x14ac:dyDescent="0.2">
      <c r="A135" s="13" t="s">
        <v>9155</v>
      </c>
      <c r="B135" s="13" t="s">
        <v>9155</v>
      </c>
      <c r="C135" s="13">
        <v>2017</v>
      </c>
      <c r="D135" s="13" t="s">
        <v>9156</v>
      </c>
      <c r="E135" s="13" t="s">
        <v>2374</v>
      </c>
      <c r="F135" s="13">
        <v>6.9770000000000003</v>
      </c>
      <c r="G135" s="13" t="s">
        <v>18</v>
      </c>
      <c r="H135" s="13" t="s">
        <v>9157</v>
      </c>
      <c r="I135" s="13" t="s">
        <v>9158</v>
      </c>
      <c r="J135" s="9" t="s">
        <v>9159</v>
      </c>
      <c r="K135" s="13">
        <v>1408</v>
      </c>
    </row>
    <row r="136" spans="1:11" ht="15" customHeight="1" x14ac:dyDescent="0.2">
      <c r="A136" s="13" t="s">
        <v>9160</v>
      </c>
      <c r="B136" s="13" t="s">
        <v>9161</v>
      </c>
      <c r="C136" s="13">
        <v>1990</v>
      </c>
      <c r="D136" s="13" t="s">
        <v>413</v>
      </c>
      <c r="E136" s="13" t="s">
        <v>2271</v>
      </c>
      <c r="F136" s="13">
        <v>6.2530000000000001</v>
      </c>
      <c r="G136" s="13" t="s">
        <v>46</v>
      </c>
      <c r="H136" s="13" t="s">
        <v>9162</v>
      </c>
      <c r="I136" s="13" t="s">
        <v>9163</v>
      </c>
      <c r="J136" s="9" t="s">
        <v>9164</v>
      </c>
      <c r="K136" s="13">
        <v>398</v>
      </c>
    </row>
    <row r="137" spans="1:11" ht="15" customHeight="1" x14ac:dyDescent="0.2">
      <c r="A137" s="13" t="s">
        <v>9165</v>
      </c>
      <c r="B137" s="13" t="s">
        <v>9166</v>
      </c>
      <c r="C137" s="13">
        <v>2011</v>
      </c>
      <c r="D137" s="13" t="s">
        <v>478</v>
      </c>
      <c r="E137" s="13" t="s">
        <v>2042</v>
      </c>
      <c r="F137" s="13">
        <v>6.2960000000000003</v>
      </c>
      <c r="G137" s="13" t="s">
        <v>46</v>
      </c>
      <c r="H137" s="13" t="s">
        <v>9167</v>
      </c>
      <c r="I137" s="13" t="s">
        <v>9168</v>
      </c>
      <c r="J137" s="9" t="s">
        <v>9169</v>
      </c>
      <c r="K137" s="13">
        <v>4872</v>
      </c>
    </row>
    <row r="138" spans="1:11" ht="15" customHeight="1" x14ac:dyDescent="0.2">
      <c r="A138" s="13" t="s">
        <v>9170</v>
      </c>
      <c r="B138" s="13" t="s">
        <v>9170</v>
      </c>
      <c r="C138" s="13">
        <v>2008</v>
      </c>
      <c r="D138" s="13" t="s">
        <v>413</v>
      </c>
      <c r="E138" s="13" t="s">
        <v>1900</v>
      </c>
      <c r="F138" s="13">
        <v>6.6</v>
      </c>
      <c r="G138" s="13" t="s">
        <v>18</v>
      </c>
      <c r="H138" s="13" t="s">
        <v>9171</v>
      </c>
      <c r="I138" s="13" t="s">
        <v>9172</v>
      </c>
      <c r="J138" s="9" t="s">
        <v>9173</v>
      </c>
      <c r="K138" s="13">
        <v>339</v>
      </c>
    </row>
    <row r="139" spans="1:11" ht="15" customHeight="1" x14ac:dyDescent="0.2">
      <c r="A139" s="13" t="s">
        <v>9174</v>
      </c>
      <c r="B139" s="13" t="s">
        <v>9175</v>
      </c>
      <c r="C139" s="13">
        <v>2018</v>
      </c>
      <c r="D139" s="13" t="s">
        <v>413</v>
      </c>
      <c r="E139" s="13" t="s">
        <v>531</v>
      </c>
      <c r="F139" s="13">
        <v>6.1</v>
      </c>
      <c r="G139" s="13" t="s">
        <v>46</v>
      </c>
      <c r="H139" s="13" t="s">
        <v>9176</v>
      </c>
      <c r="I139" s="13" t="s">
        <v>9177</v>
      </c>
      <c r="J139" s="9" t="s">
        <v>9178</v>
      </c>
      <c r="K139" s="13">
        <v>526</v>
      </c>
    </row>
    <row r="140" spans="1:11" ht="15" customHeight="1" x14ac:dyDescent="0.2">
      <c r="A140" s="13" t="s">
        <v>9179</v>
      </c>
      <c r="B140" s="13" t="s">
        <v>2746</v>
      </c>
      <c r="C140" s="13">
        <v>2012</v>
      </c>
      <c r="D140" s="13" t="s">
        <v>478</v>
      </c>
      <c r="E140" s="13" t="s">
        <v>928</v>
      </c>
      <c r="F140" s="13">
        <v>5.4870000000000001</v>
      </c>
      <c r="G140" s="13" t="s">
        <v>28</v>
      </c>
      <c r="H140" s="13" t="s">
        <v>9180</v>
      </c>
      <c r="I140" s="13" t="s">
        <v>9181</v>
      </c>
      <c r="J140" s="9" t="s">
        <v>9182</v>
      </c>
      <c r="K140" s="13">
        <v>704</v>
      </c>
    </row>
    <row r="141" spans="1:11" ht="15" customHeight="1" x14ac:dyDescent="0.2">
      <c r="A141" s="15" t="s">
        <v>9183</v>
      </c>
      <c r="B141" s="15" t="s">
        <v>9184</v>
      </c>
      <c r="C141" s="15">
        <v>2017</v>
      </c>
      <c r="D141" s="15" t="s">
        <v>413</v>
      </c>
      <c r="E141" s="15" t="s">
        <v>9185</v>
      </c>
      <c r="F141" s="15">
        <v>5.4020000000000001</v>
      </c>
      <c r="G141" s="15" t="s">
        <v>28</v>
      </c>
      <c r="H141" s="15" t="s">
        <v>9186</v>
      </c>
      <c r="I141" s="15" t="s">
        <v>9187</v>
      </c>
      <c r="J141" s="10" t="s">
        <v>9188</v>
      </c>
      <c r="K141" s="15">
        <v>143</v>
      </c>
    </row>
    <row r="142" spans="1:11" ht="15" customHeight="1" x14ac:dyDescent="0.2">
      <c r="A142" s="13" t="s">
        <v>9189</v>
      </c>
      <c r="B142" s="13" t="s">
        <v>9190</v>
      </c>
      <c r="C142" s="13">
        <v>2017</v>
      </c>
      <c r="D142" s="13" t="s">
        <v>413</v>
      </c>
      <c r="E142" s="13" t="s">
        <v>531</v>
      </c>
      <c r="F142" s="13">
        <v>6.8</v>
      </c>
      <c r="G142" s="13" t="s">
        <v>18</v>
      </c>
      <c r="H142" s="13" t="s">
        <v>9191</v>
      </c>
      <c r="I142" s="13" t="s">
        <v>9192</v>
      </c>
      <c r="J142" s="9" t="s">
        <v>9193</v>
      </c>
      <c r="K142" s="13">
        <v>270</v>
      </c>
    </row>
    <row r="143" spans="1:11" ht="15" customHeight="1" x14ac:dyDescent="0.2">
      <c r="A143" s="13" t="s">
        <v>9194</v>
      </c>
      <c r="B143" s="13" t="s">
        <v>9194</v>
      </c>
      <c r="C143" s="13">
        <v>2016</v>
      </c>
      <c r="D143" s="13" t="s">
        <v>530</v>
      </c>
      <c r="E143" s="13" t="s">
        <v>9195</v>
      </c>
      <c r="F143" s="13"/>
      <c r="G143" s="13"/>
      <c r="H143" s="13" t="s">
        <v>9196</v>
      </c>
      <c r="I143" s="13" t="s">
        <v>9197</v>
      </c>
      <c r="J143" s="9" t="s">
        <v>9198</v>
      </c>
      <c r="K143" s="13"/>
    </row>
    <row r="144" spans="1:11" ht="15" customHeight="1" x14ac:dyDescent="0.2">
      <c r="A144" s="13" t="s">
        <v>9199</v>
      </c>
      <c r="B144" s="13" t="s">
        <v>9200</v>
      </c>
      <c r="C144" s="13">
        <v>2022</v>
      </c>
      <c r="D144" s="13" t="s">
        <v>49</v>
      </c>
      <c r="E144" s="13" t="s">
        <v>49</v>
      </c>
      <c r="F144" s="13">
        <v>7.0389999999999997</v>
      </c>
      <c r="G144" s="13" t="s">
        <v>18</v>
      </c>
      <c r="H144" s="13" t="s">
        <v>9201</v>
      </c>
      <c r="I144" s="13" t="s">
        <v>49</v>
      </c>
      <c r="J144" s="9" t="s">
        <v>9202</v>
      </c>
      <c r="K144" s="13">
        <v>6260</v>
      </c>
    </row>
    <row r="145" spans="1:11" ht="15" customHeight="1" x14ac:dyDescent="0.2">
      <c r="A145" s="13" t="s">
        <v>889</v>
      </c>
      <c r="B145" s="13" t="s">
        <v>889</v>
      </c>
      <c r="C145" s="13">
        <v>1992</v>
      </c>
      <c r="D145" s="13" t="s">
        <v>413</v>
      </c>
      <c r="E145" s="13" t="s">
        <v>890</v>
      </c>
      <c r="F145" s="13">
        <v>7.3259999999999996</v>
      </c>
      <c r="G145" s="13" t="s">
        <v>18</v>
      </c>
      <c r="H145" s="13" t="s">
        <v>891</v>
      </c>
      <c r="I145" s="13" t="s">
        <v>892</v>
      </c>
      <c r="J145" s="9" t="s">
        <v>893</v>
      </c>
      <c r="K145" s="13">
        <v>1528</v>
      </c>
    </row>
    <row r="146" spans="1:11" ht="15" customHeight="1" x14ac:dyDescent="0.2">
      <c r="A146" s="13" t="s">
        <v>9203</v>
      </c>
      <c r="B146" s="13" t="s">
        <v>9204</v>
      </c>
      <c r="C146" s="13">
        <v>1980</v>
      </c>
      <c r="D146" s="13" t="s">
        <v>413</v>
      </c>
      <c r="E146" s="13" t="s">
        <v>531</v>
      </c>
      <c r="F146" s="13">
        <v>6.9</v>
      </c>
      <c r="G146" s="13" t="s">
        <v>18</v>
      </c>
      <c r="H146" s="13" t="s">
        <v>9205</v>
      </c>
      <c r="I146" s="13" t="s">
        <v>9206</v>
      </c>
      <c r="J146" s="9" t="s">
        <v>9207</v>
      </c>
      <c r="K146" s="13">
        <v>256</v>
      </c>
    </row>
    <row r="147" spans="1:11" ht="15" customHeight="1" x14ac:dyDescent="0.2">
      <c r="A147" s="13" t="s">
        <v>9208</v>
      </c>
      <c r="B147" s="13" t="s">
        <v>9208</v>
      </c>
      <c r="C147" s="13">
        <v>2016</v>
      </c>
      <c r="D147" s="13" t="s">
        <v>413</v>
      </c>
      <c r="E147" s="13" t="s">
        <v>750</v>
      </c>
      <c r="F147" s="13">
        <v>6.62</v>
      </c>
      <c r="G147" s="13" t="s">
        <v>18</v>
      </c>
      <c r="H147" s="13" t="s">
        <v>9209</v>
      </c>
      <c r="I147" s="13" t="s">
        <v>9210</v>
      </c>
      <c r="J147" s="9" t="s">
        <v>9211</v>
      </c>
      <c r="K147" s="13">
        <v>1704</v>
      </c>
    </row>
    <row r="148" spans="1:11" ht="15" customHeight="1" x14ac:dyDescent="0.2">
      <c r="A148" s="13" t="s">
        <v>9212</v>
      </c>
      <c r="B148" s="13" t="s">
        <v>9213</v>
      </c>
      <c r="C148" s="13">
        <v>2022</v>
      </c>
      <c r="D148" s="13" t="s">
        <v>413</v>
      </c>
      <c r="E148" s="13" t="s">
        <v>1578</v>
      </c>
      <c r="F148" s="13">
        <v>5.5369999999999999</v>
      </c>
      <c r="G148" s="13" t="s">
        <v>46</v>
      </c>
      <c r="H148" s="13" t="s">
        <v>9214</v>
      </c>
      <c r="I148" s="13" t="s">
        <v>9215</v>
      </c>
      <c r="J148" s="9" t="s">
        <v>9216</v>
      </c>
      <c r="K148" s="13">
        <v>150</v>
      </c>
    </row>
    <row r="149" spans="1:11" ht="15" customHeight="1" x14ac:dyDescent="0.2">
      <c r="A149" s="13" t="s">
        <v>9217</v>
      </c>
      <c r="B149" s="13" t="s">
        <v>9218</v>
      </c>
      <c r="C149" s="13">
        <v>2015</v>
      </c>
      <c r="D149" s="13" t="s">
        <v>413</v>
      </c>
      <c r="E149" s="13" t="s">
        <v>9219</v>
      </c>
      <c r="F149" s="13">
        <v>5.9649999999999999</v>
      </c>
      <c r="G149" s="13" t="s">
        <v>46</v>
      </c>
      <c r="H149" s="13" t="s">
        <v>9220</v>
      </c>
      <c r="I149" s="13" t="s">
        <v>9221</v>
      </c>
      <c r="J149" s="9" t="s">
        <v>9222</v>
      </c>
      <c r="K149" s="13">
        <v>583</v>
      </c>
    </row>
    <row r="150" spans="1:11" ht="15" customHeight="1" x14ac:dyDescent="0.2">
      <c r="A150" s="13" t="s">
        <v>9223</v>
      </c>
      <c r="B150" s="13" t="s">
        <v>9223</v>
      </c>
      <c r="C150" s="13">
        <v>2017</v>
      </c>
      <c r="D150" s="13" t="s">
        <v>413</v>
      </c>
      <c r="E150" s="13" t="s">
        <v>2470</v>
      </c>
      <c r="F150" s="13">
        <v>7.2089999999999996</v>
      </c>
      <c r="G150" s="13" t="s">
        <v>18</v>
      </c>
      <c r="H150" s="13" t="s">
        <v>9224</v>
      </c>
      <c r="I150" s="13" t="s">
        <v>9225</v>
      </c>
      <c r="J150" s="9" t="s">
        <v>9226</v>
      </c>
      <c r="K150" s="13">
        <v>3002</v>
      </c>
    </row>
    <row r="151" spans="1:11" ht="15" customHeight="1" x14ac:dyDescent="0.2">
      <c r="A151" s="15" t="s">
        <v>9227</v>
      </c>
      <c r="B151" s="15" t="s">
        <v>9227</v>
      </c>
      <c r="C151" s="15">
        <v>2014</v>
      </c>
      <c r="D151" s="15" t="s">
        <v>939</v>
      </c>
      <c r="E151" s="15" t="s">
        <v>5711</v>
      </c>
      <c r="F151" s="15">
        <v>6.67</v>
      </c>
      <c r="G151" s="15" t="s">
        <v>18</v>
      </c>
      <c r="H151" s="15" t="s">
        <v>9228</v>
      </c>
      <c r="I151" s="15" t="s">
        <v>9229</v>
      </c>
      <c r="J151" s="10" t="s">
        <v>9230</v>
      </c>
      <c r="K151" s="15">
        <v>1660</v>
      </c>
    </row>
    <row r="152" spans="1:11" ht="15" customHeight="1" x14ac:dyDescent="0.2">
      <c r="A152" s="13" t="s">
        <v>9231</v>
      </c>
      <c r="B152" s="13" t="s">
        <v>9232</v>
      </c>
      <c r="C152" s="13">
        <v>1995</v>
      </c>
      <c r="D152" s="13" t="s">
        <v>413</v>
      </c>
      <c r="E152" s="13" t="s">
        <v>531</v>
      </c>
      <c r="F152" s="13">
        <v>6.3869999999999996</v>
      </c>
      <c r="G152" s="13" t="s">
        <v>46</v>
      </c>
      <c r="H152" s="13" t="s">
        <v>9233</v>
      </c>
      <c r="I152" s="13" t="s">
        <v>9234</v>
      </c>
      <c r="J152" s="9" t="s">
        <v>9235</v>
      </c>
      <c r="K152" s="13">
        <v>1399</v>
      </c>
    </row>
    <row r="153" spans="1:11" ht="15" customHeight="1" x14ac:dyDescent="0.2">
      <c r="A153" s="13" t="s">
        <v>9236</v>
      </c>
      <c r="B153" s="13" t="s">
        <v>9237</v>
      </c>
      <c r="C153" s="13">
        <v>2017</v>
      </c>
      <c r="D153" s="13" t="s">
        <v>413</v>
      </c>
      <c r="E153" s="13" t="s">
        <v>2093</v>
      </c>
      <c r="F153" s="13">
        <v>5.819</v>
      </c>
      <c r="G153" s="13" t="s">
        <v>46</v>
      </c>
      <c r="H153" s="13" t="s">
        <v>9238</v>
      </c>
      <c r="I153" s="13" t="s">
        <v>9239</v>
      </c>
      <c r="J153" s="9" t="s">
        <v>9240</v>
      </c>
      <c r="K153" s="13">
        <v>625</v>
      </c>
    </row>
    <row r="154" spans="1:11" ht="15" customHeight="1" x14ac:dyDescent="0.2">
      <c r="A154" s="13" t="s">
        <v>9241</v>
      </c>
      <c r="B154" s="13" t="s">
        <v>9241</v>
      </c>
      <c r="C154" s="13">
        <v>2001</v>
      </c>
      <c r="D154" s="13" t="s">
        <v>9242</v>
      </c>
      <c r="E154" s="13" t="s">
        <v>2470</v>
      </c>
      <c r="F154" s="13">
        <v>6.7670000000000003</v>
      </c>
      <c r="G154" s="13" t="s">
        <v>18</v>
      </c>
      <c r="H154" s="13" t="s">
        <v>9243</v>
      </c>
      <c r="I154" s="13" t="s">
        <v>9244</v>
      </c>
      <c r="J154" s="9" t="s">
        <v>9245</v>
      </c>
      <c r="K154" s="13">
        <v>5011</v>
      </c>
    </row>
    <row r="155" spans="1:11" ht="15" customHeight="1" x14ac:dyDescent="0.2">
      <c r="A155" s="13" t="s">
        <v>9246</v>
      </c>
      <c r="B155" s="13" t="s">
        <v>9246</v>
      </c>
      <c r="C155" s="13">
        <v>2014</v>
      </c>
      <c r="D155" s="13" t="s">
        <v>8589</v>
      </c>
      <c r="E155" s="13" t="s">
        <v>2470</v>
      </c>
      <c r="F155" s="13">
        <v>5.2</v>
      </c>
      <c r="G155" s="13" t="s">
        <v>28</v>
      </c>
      <c r="H155" s="13" t="s">
        <v>9247</v>
      </c>
      <c r="I155" s="13" t="s">
        <v>9248</v>
      </c>
      <c r="J155" s="9" t="s">
        <v>9249</v>
      </c>
      <c r="K155" s="13">
        <v>43</v>
      </c>
    </row>
    <row r="156" spans="1:11" ht="15" customHeight="1" x14ac:dyDescent="0.2">
      <c r="A156" s="13" t="s">
        <v>9250</v>
      </c>
      <c r="B156" s="13" t="s">
        <v>9250</v>
      </c>
      <c r="C156" s="13">
        <v>2005</v>
      </c>
      <c r="D156" s="13" t="s">
        <v>413</v>
      </c>
      <c r="E156" s="13" t="s">
        <v>1510</v>
      </c>
      <c r="F156" s="13">
        <v>6.8150000000000004</v>
      </c>
      <c r="G156" s="13" t="s">
        <v>18</v>
      </c>
      <c r="H156" s="13" t="s">
        <v>9251</v>
      </c>
      <c r="I156" s="13" t="s">
        <v>9252</v>
      </c>
      <c r="J156" s="9" t="s">
        <v>9253</v>
      </c>
      <c r="K156" s="13">
        <v>2697</v>
      </c>
    </row>
    <row r="157" spans="1:11" ht="15" customHeight="1" x14ac:dyDescent="0.2">
      <c r="A157" s="13" t="s">
        <v>9254</v>
      </c>
      <c r="B157" s="13" t="s">
        <v>9254</v>
      </c>
      <c r="C157" s="13">
        <v>1998</v>
      </c>
      <c r="D157" s="13" t="s">
        <v>9255</v>
      </c>
      <c r="E157" s="13" t="s">
        <v>456</v>
      </c>
      <c r="F157" s="13">
        <v>5.8570000000000002</v>
      </c>
      <c r="G157" s="13" t="s">
        <v>46</v>
      </c>
      <c r="H157" s="13" t="s">
        <v>9256</v>
      </c>
      <c r="I157" s="13" t="s">
        <v>9257</v>
      </c>
      <c r="J157" s="9" t="s">
        <v>9258</v>
      </c>
      <c r="K157" s="13">
        <v>753</v>
      </c>
    </row>
    <row r="158" spans="1:11" ht="15" customHeight="1" x14ac:dyDescent="0.2">
      <c r="A158" s="13" t="s">
        <v>9259</v>
      </c>
      <c r="B158" s="13" t="s">
        <v>9260</v>
      </c>
      <c r="C158" s="13">
        <v>2003</v>
      </c>
      <c r="D158" s="13" t="s">
        <v>413</v>
      </c>
      <c r="E158" s="13" t="s">
        <v>531</v>
      </c>
      <c r="F158" s="13">
        <v>7.1470000000000002</v>
      </c>
      <c r="G158" s="13" t="s">
        <v>18</v>
      </c>
      <c r="H158" s="13" t="s">
        <v>9261</v>
      </c>
      <c r="I158" s="13" t="s">
        <v>9262</v>
      </c>
      <c r="J158" s="9" t="s">
        <v>9263</v>
      </c>
      <c r="K158" s="13">
        <v>811</v>
      </c>
    </row>
    <row r="159" spans="1:11" ht="15" customHeight="1" x14ac:dyDescent="0.2">
      <c r="A159" s="13" t="s">
        <v>9264</v>
      </c>
      <c r="B159" s="13" t="s">
        <v>9265</v>
      </c>
      <c r="C159" s="13">
        <v>2011</v>
      </c>
      <c r="D159" s="13" t="s">
        <v>9266</v>
      </c>
      <c r="E159" s="13" t="s">
        <v>9267</v>
      </c>
      <c r="F159" s="13">
        <v>5.7130000000000001</v>
      </c>
      <c r="G159" s="13" t="s">
        <v>46</v>
      </c>
      <c r="H159" s="13" t="s">
        <v>9268</v>
      </c>
      <c r="I159" s="13" t="s">
        <v>9269</v>
      </c>
      <c r="J159" s="9" t="s">
        <v>9270</v>
      </c>
      <c r="K159" s="13">
        <v>1439</v>
      </c>
    </row>
    <row r="160" spans="1:11" ht="15" customHeight="1" x14ac:dyDescent="0.2">
      <c r="A160" s="13" t="s">
        <v>894</v>
      </c>
      <c r="B160" s="13" t="s">
        <v>894</v>
      </c>
      <c r="C160" s="13">
        <v>1995</v>
      </c>
      <c r="D160" s="13" t="s">
        <v>413</v>
      </c>
      <c r="E160" s="13" t="s">
        <v>456</v>
      </c>
      <c r="F160" s="13">
        <v>7.9</v>
      </c>
      <c r="G160" s="13" t="s">
        <v>77</v>
      </c>
      <c r="H160" s="13" t="s">
        <v>895</v>
      </c>
      <c r="I160" s="13" t="s">
        <v>896</v>
      </c>
      <c r="J160" s="9" t="s">
        <v>897</v>
      </c>
      <c r="K160" s="13">
        <v>7949</v>
      </c>
    </row>
    <row r="161" spans="1:11" ht="15" customHeight="1" x14ac:dyDescent="0.2">
      <c r="A161" s="15" t="s">
        <v>9271</v>
      </c>
      <c r="B161" s="15" t="s">
        <v>9272</v>
      </c>
      <c r="C161" s="15">
        <v>2018</v>
      </c>
      <c r="D161" s="15" t="s">
        <v>413</v>
      </c>
      <c r="E161" s="15" t="s">
        <v>5711</v>
      </c>
      <c r="F161" s="15">
        <v>7.2910000000000004</v>
      </c>
      <c r="G161" s="15" t="s">
        <v>18</v>
      </c>
      <c r="H161" s="15" t="s">
        <v>9273</v>
      </c>
      <c r="I161" s="15" t="s">
        <v>9274</v>
      </c>
      <c r="J161" s="10" t="s">
        <v>9275</v>
      </c>
      <c r="K161" s="15">
        <v>8258</v>
      </c>
    </row>
    <row r="162" spans="1:11" ht="15" customHeight="1" x14ac:dyDescent="0.2">
      <c r="A162" s="13" t="s">
        <v>9276</v>
      </c>
      <c r="B162" s="13" t="s">
        <v>9277</v>
      </c>
      <c r="C162" s="13">
        <v>2012</v>
      </c>
      <c r="D162" s="13" t="s">
        <v>9278</v>
      </c>
      <c r="E162" s="13" t="s">
        <v>531</v>
      </c>
      <c r="F162" s="13">
        <v>6.8170000000000002</v>
      </c>
      <c r="G162" s="13" t="s">
        <v>18</v>
      </c>
      <c r="H162" s="13" t="s">
        <v>9279</v>
      </c>
      <c r="I162" s="13" t="s">
        <v>9280</v>
      </c>
      <c r="J162" s="9" t="s">
        <v>9281</v>
      </c>
      <c r="K162" s="13">
        <v>282</v>
      </c>
    </row>
    <row r="163" spans="1:11" ht="15" customHeight="1" x14ac:dyDescent="0.2">
      <c r="A163" s="13" t="s">
        <v>9282</v>
      </c>
      <c r="B163" s="13" t="s">
        <v>9282</v>
      </c>
      <c r="C163" s="13">
        <v>2020</v>
      </c>
      <c r="D163" s="13" t="s">
        <v>413</v>
      </c>
      <c r="E163" s="13" t="s">
        <v>456</v>
      </c>
      <c r="F163" s="13">
        <v>6.4850000000000003</v>
      </c>
      <c r="G163" s="13" t="s">
        <v>46</v>
      </c>
      <c r="H163" s="13" t="s">
        <v>9283</v>
      </c>
      <c r="I163" s="13" t="s">
        <v>9284</v>
      </c>
      <c r="J163" s="9" t="s">
        <v>9285</v>
      </c>
      <c r="K163" s="13">
        <v>1832</v>
      </c>
    </row>
    <row r="164" spans="1:11" ht="15" customHeight="1" x14ac:dyDescent="0.2">
      <c r="A164" s="13" t="s">
        <v>9286</v>
      </c>
      <c r="B164" s="13" t="s">
        <v>9286</v>
      </c>
      <c r="C164" s="13">
        <v>2010</v>
      </c>
      <c r="D164" s="13" t="s">
        <v>483</v>
      </c>
      <c r="E164" s="13" t="s">
        <v>259</v>
      </c>
      <c r="F164" s="13">
        <v>7.7960000000000003</v>
      </c>
      <c r="G164" s="13" t="s">
        <v>77</v>
      </c>
      <c r="H164" s="13" t="s">
        <v>9287</v>
      </c>
      <c r="I164" s="13" t="s">
        <v>9288</v>
      </c>
      <c r="J164" s="9" t="s">
        <v>9289</v>
      </c>
      <c r="K164" s="13">
        <v>2857</v>
      </c>
    </row>
    <row r="165" spans="1:11" ht="15" customHeight="1" x14ac:dyDescent="0.2">
      <c r="A165" s="13" t="s">
        <v>9290</v>
      </c>
      <c r="B165" s="13" t="s">
        <v>9290</v>
      </c>
      <c r="C165" s="13">
        <v>2023</v>
      </c>
      <c r="D165" s="13" t="s">
        <v>413</v>
      </c>
      <c r="E165" s="13" t="s">
        <v>531</v>
      </c>
      <c r="F165" s="13">
        <v>4.8239999999999998</v>
      </c>
      <c r="G165" s="13" t="s">
        <v>28</v>
      </c>
      <c r="H165" s="13" t="s">
        <v>9291</v>
      </c>
      <c r="I165" s="13" t="s">
        <v>9292</v>
      </c>
      <c r="J165" s="9" t="s">
        <v>9293</v>
      </c>
      <c r="K165" s="13">
        <v>17</v>
      </c>
    </row>
    <row r="166" spans="1:11" ht="15" customHeight="1" x14ac:dyDescent="0.2">
      <c r="A166" s="13" t="s">
        <v>9294</v>
      </c>
      <c r="B166" s="13" t="s">
        <v>9295</v>
      </c>
      <c r="C166" s="13">
        <v>1997</v>
      </c>
      <c r="D166" s="13" t="s">
        <v>619</v>
      </c>
      <c r="E166" s="13" t="s">
        <v>531</v>
      </c>
      <c r="F166" s="13">
        <v>4.3</v>
      </c>
      <c r="G166" s="13"/>
      <c r="H166" s="13" t="s">
        <v>9296</v>
      </c>
      <c r="I166" s="13" t="s">
        <v>9297</v>
      </c>
      <c r="J166" s="9"/>
      <c r="K166" s="13">
        <v>9</v>
      </c>
    </row>
    <row r="167" spans="1:11" ht="15" customHeight="1" x14ac:dyDescent="0.2">
      <c r="A167" s="13" t="s">
        <v>9298</v>
      </c>
      <c r="B167" s="13" t="s">
        <v>9299</v>
      </c>
      <c r="C167" s="13">
        <v>1987</v>
      </c>
      <c r="D167" s="13" t="s">
        <v>9300</v>
      </c>
      <c r="E167" s="13" t="s">
        <v>9301</v>
      </c>
      <c r="F167" s="13">
        <v>3.7</v>
      </c>
      <c r="G167" s="13" t="s">
        <v>86</v>
      </c>
      <c r="H167" s="13" t="s">
        <v>9302</v>
      </c>
      <c r="I167" s="13" t="s">
        <v>9303</v>
      </c>
      <c r="J167" s="9"/>
      <c r="K167" s="13">
        <v>10</v>
      </c>
    </row>
    <row r="168" spans="1:11" ht="15" customHeight="1" x14ac:dyDescent="0.2">
      <c r="A168" s="13" t="s">
        <v>9304</v>
      </c>
      <c r="B168" s="13" t="s">
        <v>9305</v>
      </c>
      <c r="C168" s="13">
        <v>2007</v>
      </c>
      <c r="D168" s="13" t="s">
        <v>9306</v>
      </c>
      <c r="E168" s="13" t="s">
        <v>566</v>
      </c>
      <c r="F168" s="13">
        <v>5.9</v>
      </c>
      <c r="G168" s="13" t="s">
        <v>46</v>
      </c>
      <c r="H168" s="13" t="s">
        <v>9307</v>
      </c>
      <c r="I168" s="13" t="s">
        <v>9308</v>
      </c>
      <c r="J168" s="9" t="s">
        <v>9309</v>
      </c>
      <c r="K168" s="13">
        <v>15</v>
      </c>
    </row>
    <row r="169" spans="1:11" ht="15" customHeight="1" x14ac:dyDescent="0.2">
      <c r="A169" s="13" t="s">
        <v>2461</v>
      </c>
      <c r="B169" s="13" t="s">
        <v>9310</v>
      </c>
      <c r="C169" s="13">
        <v>1966</v>
      </c>
      <c r="D169" s="13" t="s">
        <v>9311</v>
      </c>
      <c r="E169" s="13" t="s">
        <v>2707</v>
      </c>
      <c r="F169" s="13">
        <v>6.3</v>
      </c>
      <c r="G169" s="13" t="s">
        <v>46</v>
      </c>
      <c r="H169" s="13" t="s">
        <v>9312</v>
      </c>
      <c r="I169" s="13" t="s">
        <v>9313</v>
      </c>
      <c r="J169" s="9" t="s">
        <v>9314</v>
      </c>
      <c r="K169" s="13">
        <v>12</v>
      </c>
    </row>
    <row r="170" spans="1:11" ht="15" customHeight="1" x14ac:dyDescent="0.2">
      <c r="A170" s="13" t="s">
        <v>9315</v>
      </c>
      <c r="B170" s="13" t="s">
        <v>9316</v>
      </c>
      <c r="C170" s="13">
        <v>1949</v>
      </c>
      <c r="D170" s="13" t="s">
        <v>413</v>
      </c>
      <c r="E170" s="13" t="s">
        <v>5265</v>
      </c>
      <c r="F170" s="13">
        <v>6.0449999999999999</v>
      </c>
      <c r="G170" s="13" t="s">
        <v>46</v>
      </c>
      <c r="H170" s="13" t="s">
        <v>9317</v>
      </c>
      <c r="I170" s="13" t="s">
        <v>9318</v>
      </c>
      <c r="J170" s="9" t="s">
        <v>9319</v>
      </c>
      <c r="K170" s="13">
        <v>22</v>
      </c>
    </row>
    <row r="171" spans="1:11" ht="15" customHeight="1" x14ac:dyDescent="0.2">
      <c r="A171" s="15" t="s">
        <v>2316</v>
      </c>
      <c r="B171" s="15" t="s">
        <v>2317</v>
      </c>
      <c r="C171" s="15">
        <v>2002</v>
      </c>
      <c r="D171" s="15" t="s">
        <v>9320</v>
      </c>
      <c r="E171" s="15" t="s">
        <v>531</v>
      </c>
      <c r="F171" s="15">
        <v>6.532</v>
      </c>
      <c r="G171" s="15" t="s">
        <v>18</v>
      </c>
      <c r="H171" s="15" t="s">
        <v>2319</v>
      </c>
      <c r="I171" s="15" t="s">
        <v>2320</v>
      </c>
      <c r="J171" s="10" t="s">
        <v>2321</v>
      </c>
      <c r="K171" s="15">
        <v>901</v>
      </c>
    </row>
    <row r="172" spans="1:11" ht="15" customHeight="1" x14ac:dyDescent="0.2">
      <c r="A172" s="13" t="s">
        <v>9321</v>
      </c>
      <c r="B172" s="13" t="s">
        <v>9322</v>
      </c>
      <c r="C172" s="13">
        <v>2008</v>
      </c>
      <c r="D172" s="13" t="s">
        <v>939</v>
      </c>
      <c r="E172" s="13" t="s">
        <v>531</v>
      </c>
      <c r="F172" s="13">
        <v>5.65</v>
      </c>
      <c r="G172" s="13" t="s">
        <v>46</v>
      </c>
      <c r="H172" s="13" t="s">
        <v>9323</v>
      </c>
      <c r="I172" s="13" t="s">
        <v>9324</v>
      </c>
      <c r="J172" s="9" t="s">
        <v>9325</v>
      </c>
      <c r="K172" s="13">
        <v>30</v>
      </c>
    </row>
    <row r="173" spans="1:11" ht="15" customHeight="1" x14ac:dyDescent="0.2">
      <c r="A173" s="13" t="s">
        <v>9326</v>
      </c>
      <c r="B173" s="13" t="s">
        <v>9327</v>
      </c>
      <c r="C173" s="13">
        <v>1995</v>
      </c>
      <c r="D173" s="13" t="s">
        <v>413</v>
      </c>
      <c r="E173" s="13" t="s">
        <v>531</v>
      </c>
      <c r="F173" s="13">
        <v>4.3</v>
      </c>
      <c r="G173" s="13" t="s">
        <v>86</v>
      </c>
      <c r="H173" s="13" t="s">
        <v>9328</v>
      </c>
      <c r="I173" s="13" t="s">
        <v>9329</v>
      </c>
      <c r="J173" s="9"/>
      <c r="K173" s="13">
        <v>3</v>
      </c>
    </row>
    <row r="174" spans="1:11" ht="15" customHeight="1" x14ac:dyDescent="0.2">
      <c r="A174" s="13" t="s">
        <v>9330</v>
      </c>
      <c r="B174" s="13" t="s">
        <v>9331</v>
      </c>
      <c r="C174" s="13">
        <v>2012</v>
      </c>
      <c r="D174" s="13" t="s">
        <v>9332</v>
      </c>
      <c r="E174" s="13" t="s">
        <v>9333</v>
      </c>
      <c r="F174" s="13">
        <v>6.9</v>
      </c>
      <c r="G174" s="13" t="s">
        <v>18</v>
      </c>
      <c r="H174" s="13" t="s">
        <v>9334</v>
      </c>
      <c r="I174" s="13" t="s">
        <v>9335</v>
      </c>
      <c r="J174" s="9" t="s">
        <v>9336</v>
      </c>
      <c r="K174" s="13">
        <v>7</v>
      </c>
    </row>
    <row r="175" spans="1:11" ht="15" customHeight="1" x14ac:dyDescent="0.2">
      <c r="A175" s="13" t="s">
        <v>9337</v>
      </c>
      <c r="B175" s="13" t="s">
        <v>9338</v>
      </c>
      <c r="C175" s="13">
        <v>2011</v>
      </c>
      <c r="D175" s="13" t="s">
        <v>9339</v>
      </c>
      <c r="E175" s="13" t="s">
        <v>566</v>
      </c>
      <c r="F175" s="13">
        <v>7.48</v>
      </c>
      <c r="G175" s="13" t="s">
        <v>18</v>
      </c>
      <c r="H175" s="13" t="s">
        <v>9340</v>
      </c>
      <c r="I175" s="13" t="s">
        <v>9341</v>
      </c>
      <c r="J175" s="9" t="s">
        <v>9342</v>
      </c>
      <c r="K175" s="13">
        <v>480</v>
      </c>
    </row>
    <row r="176" spans="1:11" ht="15" customHeight="1" x14ac:dyDescent="0.2">
      <c r="A176" s="13" t="s">
        <v>9343</v>
      </c>
      <c r="B176" s="13" t="s">
        <v>9343</v>
      </c>
      <c r="C176" s="13">
        <v>2002</v>
      </c>
      <c r="D176" s="13" t="s">
        <v>880</v>
      </c>
      <c r="E176" s="13" t="s">
        <v>2177</v>
      </c>
      <c r="F176" s="13">
        <v>6.0410000000000004</v>
      </c>
      <c r="G176" s="13" t="s">
        <v>46</v>
      </c>
      <c r="H176" s="13" t="s">
        <v>9344</v>
      </c>
      <c r="I176" s="13" t="s">
        <v>9345</v>
      </c>
      <c r="J176" s="9" t="s">
        <v>9346</v>
      </c>
      <c r="K176" s="13">
        <v>135</v>
      </c>
    </row>
    <row r="177" spans="1:11" ht="15" customHeight="1" x14ac:dyDescent="0.2">
      <c r="A177" s="13" t="s">
        <v>9347</v>
      </c>
      <c r="B177" s="13" t="s">
        <v>9348</v>
      </c>
      <c r="C177" s="13">
        <v>2023</v>
      </c>
      <c r="D177" s="13" t="s">
        <v>413</v>
      </c>
      <c r="E177" s="13" t="s">
        <v>531</v>
      </c>
      <c r="F177" s="13">
        <v>6.2</v>
      </c>
      <c r="G177" s="13" t="s">
        <v>46</v>
      </c>
      <c r="H177" s="13" t="s">
        <v>9349</v>
      </c>
      <c r="I177" s="13" t="s">
        <v>9350</v>
      </c>
      <c r="J177" s="9" t="s">
        <v>9351</v>
      </c>
      <c r="K177" s="13">
        <v>300</v>
      </c>
    </row>
    <row r="178" spans="1:11" ht="15" customHeight="1" x14ac:dyDescent="0.2">
      <c r="A178" s="13" t="s">
        <v>9352</v>
      </c>
      <c r="B178" s="13" t="s">
        <v>9353</v>
      </c>
      <c r="C178" s="13">
        <v>2020</v>
      </c>
      <c r="D178" s="13" t="s">
        <v>478</v>
      </c>
      <c r="E178" s="13" t="s">
        <v>8715</v>
      </c>
      <c r="F178" s="13">
        <v>6.34</v>
      </c>
      <c r="G178" s="13" t="s">
        <v>46</v>
      </c>
      <c r="H178" s="13" t="s">
        <v>9354</v>
      </c>
      <c r="I178" s="13" t="s">
        <v>9355</v>
      </c>
      <c r="J178" s="9" t="s">
        <v>9356</v>
      </c>
      <c r="K178" s="13">
        <v>705</v>
      </c>
    </row>
    <row r="179" spans="1:11" ht="15" customHeight="1" x14ac:dyDescent="0.2">
      <c r="A179" s="13" t="s">
        <v>9357</v>
      </c>
      <c r="B179" s="13" t="s">
        <v>905</v>
      </c>
      <c r="C179" s="13">
        <v>1997</v>
      </c>
      <c r="D179" s="13" t="s">
        <v>8654</v>
      </c>
      <c r="E179" s="13" t="s">
        <v>8813</v>
      </c>
      <c r="F179" s="13">
        <v>7.0179999999999998</v>
      </c>
      <c r="G179" s="13" t="s">
        <v>18</v>
      </c>
      <c r="H179" s="13" t="s">
        <v>9358</v>
      </c>
      <c r="I179" s="13" t="s">
        <v>9359</v>
      </c>
      <c r="J179" s="9" t="s">
        <v>9360</v>
      </c>
      <c r="K179" s="13">
        <v>300</v>
      </c>
    </row>
    <row r="180" spans="1:11" ht="15" customHeight="1" x14ac:dyDescent="0.2">
      <c r="A180" s="13" t="s">
        <v>9361</v>
      </c>
      <c r="B180" s="13" t="s">
        <v>905</v>
      </c>
      <c r="C180" s="13">
        <v>2002</v>
      </c>
      <c r="D180" s="13" t="s">
        <v>478</v>
      </c>
      <c r="E180" s="13" t="s">
        <v>906</v>
      </c>
      <c r="F180" s="13">
        <v>6.9550000000000001</v>
      </c>
      <c r="G180" s="13" t="s">
        <v>18</v>
      </c>
      <c r="H180" s="13" t="s">
        <v>907</v>
      </c>
      <c r="I180" s="13" t="s">
        <v>908</v>
      </c>
      <c r="J180" s="9" t="s">
        <v>909</v>
      </c>
      <c r="K180" s="13">
        <v>5061</v>
      </c>
    </row>
    <row r="181" spans="1:11" ht="15" customHeight="1" x14ac:dyDescent="0.2">
      <c r="A181" s="15" t="s">
        <v>9362</v>
      </c>
      <c r="B181" s="15" t="s">
        <v>9362</v>
      </c>
      <c r="C181" s="15">
        <v>2017</v>
      </c>
      <c r="D181" s="15" t="s">
        <v>413</v>
      </c>
      <c r="E181" s="15" t="s">
        <v>8642</v>
      </c>
      <c r="F181" s="15">
        <v>5.8620000000000001</v>
      </c>
      <c r="G181" s="15" t="s">
        <v>46</v>
      </c>
      <c r="H181" s="15" t="s">
        <v>9363</v>
      </c>
      <c r="I181" s="15" t="s">
        <v>9364</v>
      </c>
      <c r="J181" s="10" t="s">
        <v>9365</v>
      </c>
      <c r="K181" s="15">
        <v>2546</v>
      </c>
    </row>
    <row r="182" spans="1:11" ht="15" customHeight="1" x14ac:dyDescent="0.2">
      <c r="A182" s="13" t="s">
        <v>9366</v>
      </c>
      <c r="B182" s="13" t="s">
        <v>9367</v>
      </c>
      <c r="C182" s="13">
        <v>2017</v>
      </c>
      <c r="D182" s="13" t="s">
        <v>577</v>
      </c>
      <c r="E182" s="13" t="s">
        <v>531</v>
      </c>
      <c r="F182" s="13">
        <v>6.8</v>
      </c>
      <c r="G182" s="13" t="s">
        <v>18</v>
      </c>
      <c r="H182" s="13" t="s">
        <v>9368</v>
      </c>
      <c r="I182" s="13" t="s">
        <v>9369</v>
      </c>
      <c r="J182" s="9" t="s">
        <v>9370</v>
      </c>
      <c r="K182" s="13">
        <v>109</v>
      </c>
    </row>
    <row r="183" spans="1:11" ht="15" customHeight="1" x14ac:dyDescent="0.2">
      <c r="A183" s="13" t="s">
        <v>9371</v>
      </c>
      <c r="B183" s="13" t="s">
        <v>9372</v>
      </c>
      <c r="C183" s="13">
        <v>1990</v>
      </c>
      <c r="D183" s="13" t="s">
        <v>413</v>
      </c>
      <c r="E183" s="13" t="s">
        <v>9373</v>
      </c>
      <c r="F183" s="13">
        <v>7.3529999999999998</v>
      </c>
      <c r="G183" s="13" t="s">
        <v>18</v>
      </c>
      <c r="H183" s="13" t="s">
        <v>9374</v>
      </c>
      <c r="I183" s="13" t="s">
        <v>9375</v>
      </c>
      <c r="J183" s="9" t="s">
        <v>9376</v>
      </c>
      <c r="K183" s="13">
        <v>1802</v>
      </c>
    </row>
    <row r="184" spans="1:11" ht="15" customHeight="1" x14ac:dyDescent="0.2">
      <c r="A184" s="13" t="s">
        <v>9377</v>
      </c>
      <c r="B184" s="13" t="s">
        <v>9378</v>
      </c>
      <c r="C184" s="13">
        <v>2014</v>
      </c>
      <c r="D184" s="13" t="s">
        <v>413</v>
      </c>
      <c r="E184" s="13" t="s">
        <v>881</v>
      </c>
      <c r="F184" s="13">
        <v>5</v>
      </c>
      <c r="G184" s="13" t="s">
        <v>28</v>
      </c>
      <c r="H184" s="13" t="s">
        <v>9379</v>
      </c>
      <c r="I184" s="13" t="s">
        <v>9380</v>
      </c>
      <c r="J184" s="9"/>
      <c r="K184" s="13">
        <v>2</v>
      </c>
    </row>
    <row r="185" spans="1:11" ht="15" customHeight="1" x14ac:dyDescent="0.2">
      <c r="A185" s="13" t="s">
        <v>9381</v>
      </c>
      <c r="B185" s="13" t="s">
        <v>9381</v>
      </c>
      <c r="C185" s="13">
        <v>2021</v>
      </c>
      <c r="D185" s="13" t="s">
        <v>413</v>
      </c>
      <c r="E185" s="13" t="s">
        <v>9382</v>
      </c>
      <c r="F185" s="13">
        <v>5.3</v>
      </c>
      <c r="G185" s="13" t="s">
        <v>28</v>
      </c>
      <c r="H185" s="13" t="s">
        <v>9383</v>
      </c>
      <c r="I185" s="13" t="s">
        <v>9384</v>
      </c>
      <c r="J185" s="9" t="s">
        <v>9385</v>
      </c>
      <c r="K185" s="13">
        <v>148</v>
      </c>
    </row>
    <row r="186" spans="1:11" ht="15" customHeight="1" x14ac:dyDescent="0.2">
      <c r="A186" s="13" t="s">
        <v>9386</v>
      </c>
      <c r="B186" s="13" t="s">
        <v>9386</v>
      </c>
      <c r="C186" s="13">
        <v>2010</v>
      </c>
      <c r="D186" s="13" t="s">
        <v>9387</v>
      </c>
      <c r="E186" s="13" t="s">
        <v>5711</v>
      </c>
      <c r="F186" s="13">
        <v>6.6520000000000001</v>
      </c>
      <c r="G186" s="13" t="s">
        <v>18</v>
      </c>
      <c r="H186" s="13" t="s">
        <v>9388</v>
      </c>
      <c r="I186" s="13" t="s">
        <v>9389</v>
      </c>
      <c r="J186" s="9" t="s">
        <v>9390</v>
      </c>
      <c r="K186" s="13">
        <v>830</v>
      </c>
    </row>
    <row r="187" spans="1:11" ht="15" customHeight="1" x14ac:dyDescent="0.2">
      <c r="A187" s="13" t="s">
        <v>9391</v>
      </c>
      <c r="B187" s="13" t="s">
        <v>9392</v>
      </c>
      <c r="C187" s="13">
        <v>2024</v>
      </c>
      <c r="D187" s="13" t="s">
        <v>413</v>
      </c>
      <c r="E187" s="13" t="s">
        <v>890</v>
      </c>
      <c r="F187" s="13">
        <v>6.8760000000000003</v>
      </c>
      <c r="G187" s="13" t="s">
        <v>18</v>
      </c>
      <c r="H187" s="13" t="s">
        <v>9393</v>
      </c>
      <c r="I187" s="13" t="s">
        <v>9394</v>
      </c>
      <c r="J187" s="9" t="s">
        <v>9395</v>
      </c>
      <c r="K187" s="13">
        <v>2240</v>
      </c>
    </row>
    <row r="188" spans="1:11" ht="15" customHeight="1" x14ac:dyDescent="0.2">
      <c r="A188" s="13" t="s">
        <v>9396</v>
      </c>
      <c r="B188" s="13" t="s">
        <v>9397</v>
      </c>
      <c r="C188" s="13">
        <v>2010</v>
      </c>
      <c r="D188" s="13" t="s">
        <v>530</v>
      </c>
      <c r="E188" s="13" t="s">
        <v>531</v>
      </c>
      <c r="F188" s="13">
        <v>3.3</v>
      </c>
      <c r="G188" s="13" t="s">
        <v>169</v>
      </c>
      <c r="H188" s="13" t="s">
        <v>9398</v>
      </c>
      <c r="I188" s="13" t="s">
        <v>9399</v>
      </c>
      <c r="J188" s="9" t="s">
        <v>9400</v>
      </c>
      <c r="K188" s="13">
        <v>5</v>
      </c>
    </row>
    <row r="189" spans="1:11" ht="15" customHeight="1" x14ac:dyDescent="0.2">
      <c r="A189" s="13" t="s">
        <v>9401</v>
      </c>
      <c r="B189" s="13" t="s">
        <v>9402</v>
      </c>
      <c r="C189" s="13">
        <v>1992</v>
      </c>
      <c r="D189" s="13" t="s">
        <v>8311</v>
      </c>
      <c r="E189" s="13" t="s">
        <v>1578</v>
      </c>
      <c r="F189" s="13">
        <v>5.7640000000000002</v>
      </c>
      <c r="G189" s="13" t="s">
        <v>46</v>
      </c>
      <c r="H189" s="13" t="s">
        <v>9403</v>
      </c>
      <c r="I189" s="13" t="s">
        <v>9404</v>
      </c>
      <c r="J189" s="9" t="s">
        <v>9405</v>
      </c>
      <c r="K189" s="13">
        <v>233</v>
      </c>
    </row>
    <row r="190" spans="1:11" ht="15" customHeight="1" x14ac:dyDescent="0.2">
      <c r="A190" s="13" t="s">
        <v>9406</v>
      </c>
      <c r="B190" s="13" t="s">
        <v>9406</v>
      </c>
      <c r="C190" s="13">
        <v>2023</v>
      </c>
      <c r="D190" s="13" t="s">
        <v>413</v>
      </c>
      <c r="E190" s="13" t="s">
        <v>675</v>
      </c>
      <c r="F190" s="13">
        <v>6.95</v>
      </c>
      <c r="G190" s="13" t="s">
        <v>18</v>
      </c>
      <c r="H190" s="13" t="s">
        <v>9407</v>
      </c>
      <c r="I190" s="13" t="s">
        <v>9408</v>
      </c>
      <c r="J190" s="9" t="s">
        <v>9409</v>
      </c>
      <c r="K190" s="13">
        <v>448</v>
      </c>
    </row>
    <row r="191" spans="1:11" ht="15" customHeight="1" x14ac:dyDescent="0.2">
      <c r="A191" s="15" t="s">
        <v>9410</v>
      </c>
      <c r="B191" s="15" t="s">
        <v>9411</v>
      </c>
      <c r="C191" s="15">
        <v>2022</v>
      </c>
      <c r="D191" s="15" t="s">
        <v>9412</v>
      </c>
      <c r="E191" s="15" t="s">
        <v>531</v>
      </c>
      <c r="F191" s="15">
        <v>6.3390000000000004</v>
      </c>
      <c r="G191" s="15" t="s">
        <v>46</v>
      </c>
      <c r="H191" s="15" t="s">
        <v>9413</v>
      </c>
      <c r="I191" s="15" t="s">
        <v>9414</v>
      </c>
      <c r="J191" s="10" t="s">
        <v>9415</v>
      </c>
      <c r="K191" s="15">
        <v>273</v>
      </c>
    </row>
    <row r="192" spans="1:11" ht="15" customHeight="1" x14ac:dyDescent="0.2">
      <c r="A192" s="13" t="s">
        <v>9416</v>
      </c>
      <c r="B192" s="13" t="s">
        <v>9417</v>
      </c>
      <c r="C192" s="13">
        <v>2023</v>
      </c>
      <c r="D192" s="13" t="s">
        <v>413</v>
      </c>
      <c r="E192" s="13" t="s">
        <v>531</v>
      </c>
      <c r="F192" s="13">
        <v>7.069</v>
      </c>
      <c r="G192" s="13" t="s">
        <v>18</v>
      </c>
      <c r="H192" s="13" t="s">
        <v>9418</v>
      </c>
      <c r="I192" s="13" t="s">
        <v>9419</v>
      </c>
      <c r="J192" s="9" t="s">
        <v>9420</v>
      </c>
      <c r="K192" s="13">
        <v>576</v>
      </c>
    </row>
    <row r="193" spans="1:11" ht="15" customHeight="1" x14ac:dyDescent="0.2">
      <c r="A193" s="13" t="s">
        <v>9421</v>
      </c>
      <c r="B193" s="13" t="s">
        <v>9421</v>
      </c>
      <c r="C193" s="13">
        <v>2008</v>
      </c>
      <c r="D193" s="13" t="s">
        <v>413</v>
      </c>
      <c r="E193" s="13" t="s">
        <v>2470</v>
      </c>
      <c r="F193" s="13">
        <v>5.97</v>
      </c>
      <c r="G193" s="13" t="s">
        <v>46</v>
      </c>
      <c r="H193" s="13" t="s">
        <v>9422</v>
      </c>
      <c r="I193" s="13" t="s">
        <v>9423</v>
      </c>
      <c r="J193" s="9" t="s">
        <v>9424</v>
      </c>
      <c r="K193" s="13">
        <v>1120</v>
      </c>
    </row>
    <row r="194" spans="1:11" ht="15" customHeight="1" x14ac:dyDescent="0.2">
      <c r="A194" s="13" t="s">
        <v>9425</v>
      </c>
      <c r="B194" s="13" t="s">
        <v>4629</v>
      </c>
      <c r="C194" s="13">
        <v>2022</v>
      </c>
      <c r="D194" s="13" t="s">
        <v>413</v>
      </c>
      <c r="E194" s="13" t="s">
        <v>566</v>
      </c>
      <c r="F194" s="13">
        <v>7</v>
      </c>
      <c r="G194" s="13" t="s">
        <v>18</v>
      </c>
      <c r="H194" s="13" t="s">
        <v>4630</v>
      </c>
      <c r="I194" s="13" t="s">
        <v>9426</v>
      </c>
      <c r="J194" s="9" t="s">
        <v>4632</v>
      </c>
      <c r="K194" s="13">
        <v>124</v>
      </c>
    </row>
    <row r="195" spans="1:11" ht="15" customHeight="1" x14ac:dyDescent="0.2">
      <c r="A195" s="13" t="s">
        <v>9427</v>
      </c>
      <c r="B195" s="13" t="s">
        <v>9428</v>
      </c>
      <c r="C195" s="13">
        <v>2013</v>
      </c>
      <c r="D195" s="13" t="s">
        <v>619</v>
      </c>
      <c r="E195" s="13" t="s">
        <v>531</v>
      </c>
      <c r="F195" s="13">
        <v>5.5</v>
      </c>
      <c r="G195" s="13" t="s">
        <v>46</v>
      </c>
      <c r="H195" s="13" t="s">
        <v>9429</v>
      </c>
      <c r="I195" s="13" t="s">
        <v>9430</v>
      </c>
      <c r="J195" s="9" t="s">
        <v>9431</v>
      </c>
      <c r="K195" s="13">
        <v>166</v>
      </c>
    </row>
    <row r="196" spans="1:11" ht="15" customHeight="1" x14ac:dyDescent="0.2">
      <c r="A196" s="13" t="s">
        <v>9432</v>
      </c>
      <c r="B196" s="13" t="s">
        <v>9433</v>
      </c>
      <c r="C196" s="13">
        <v>2023</v>
      </c>
      <c r="D196" s="13" t="s">
        <v>1163</v>
      </c>
      <c r="E196" s="13" t="s">
        <v>881</v>
      </c>
      <c r="F196" s="13">
        <v>0</v>
      </c>
      <c r="G196" s="13"/>
      <c r="H196" s="13" t="s">
        <v>9434</v>
      </c>
      <c r="I196" s="13" t="s">
        <v>9435</v>
      </c>
      <c r="J196" s="9"/>
      <c r="K196" s="13">
        <v>0</v>
      </c>
    </row>
    <row r="197" spans="1:11" ht="15" customHeight="1" x14ac:dyDescent="0.2">
      <c r="A197" s="13" t="s">
        <v>9436</v>
      </c>
      <c r="B197" s="13" t="s">
        <v>9436</v>
      </c>
      <c r="C197" s="13">
        <v>2016</v>
      </c>
      <c r="D197" s="13" t="s">
        <v>413</v>
      </c>
      <c r="E197" s="13" t="s">
        <v>9437</v>
      </c>
      <c r="F197" s="13">
        <v>6.3650000000000002</v>
      </c>
      <c r="G197" s="13" t="s">
        <v>46</v>
      </c>
      <c r="H197" s="13" t="s">
        <v>9438</v>
      </c>
      <c r="I197" s="13" t="s">
        <v>9439</v>
      </c>
      <c r="J197" s="9" t="s">
        <v>9440</v>
      </c>
      <c r="K197" s="13">
        <v>4026</v>
      </c>
    </row>
    <row r="198" spans="1:11" ht="15" customHeight="1" x14ac:dyDescent="0.2">
      <c r="A198" s="13" t="s">
        <v>9441</v>
      </c>
      <c r="B198" s="13" t="s">
        <v>9441</v>
      </c>
      <c r="C198" s="13">
        <v>2025</v>
      </c>
      <c r="D198" s="13" t="s">
        <v>560</v>
      </c>
      <c r="E198" s="13" t="s">
        <v>531</v>
      </c>
      <c r="F198" s="13">
        <v>6.2350000000000003</v>
      </c>
      <c r="G198" s="13" t="s">
        <v>46</v>
      </c>
      <c r="H198" s="13" t="s">
        <v>9442</v>
      </c>
      <c r="I198" s="13" t="s">
        <v>9443</v>
      </c>
      <c r="J198" s="9" t="s">
        <v>9444</v>
      </c>
      <c r="K198" s="13">
        <v>444</v>
      </c>
    </row>
    <row r="199" spans="1:11" ht="15" customHeight="1" x14ac:dyDescent="0.2">
      <c r="A199" s="13" t="s">
        <v>9445</v>
      </c>
      <c r="B199" s="13" t="s">
        <v>9445</v>
      </c>
      <c r="C199" s="13">
        <v>1996</v>
      </c>
      <c r="D199" s="13" t="s">
        <v>413</v>
      </c>
      <c r="E199" s="13" t="s">
        <v>9446</v>
      </c>
      <c r="F199" s="13">
        <v>7.0140000000000002</v>
      </c>
      <c r="G199" s="13" t="s">
        <v>18</v>
      </c>
      <c r="H199" s="13" t="s">
        <v>9447</v>
      </c>
      <c r="I199" s="13" t="s">
        <v>9448</v>
      </c>
      <c r="J199" s="9" t="s">
        <v>9449</v>
      </c>
      <c r="K199" s="13">
        <v>390</v>
      </c>
    </row>
    <row r="200" spans="1:11" ht="15" customHeight="1" x14ac:dyDescent="0.2">
      <c r="A200" s="13" t="s">
        <v>9450</v>
      </c>
      <c r="B200" s="13" t="s">
        <v>9450</v>
      </c>
      <c r="C200" s="13">
        <v>2022</v>
      </c>
      <c r="D200" s="13" t="s">
        <v>413</v>
      </c>
      <c r="E200" s="13" t="s">
        <v>2707</v>
      </c>
      <c r="F200" s="13">
        <v>6.5119999999999996</v>
      </c>
      <c r="G200" s="13" t="s">
        <v>18</v>
      </c>
      <c r="H200" s="13" t="s">
        <v>9451</v>
      </c>
      <c r="I200" s="13" t="s">
        <v>9452</v>
      </c>
      <c r="J200" s="9" t="s">
        <v>9453</v>
      </c>
      <c r="K200" s="13">
        <v>730</v>
      </c>
    </row>
    <row r="201" spans="1:11" ht="15" customHeight="1" x14ac:dyDescent="0.2">
      <c r="A201" s="15" t="s">
        <v>9454</v>
      </c>
      <c r="B201" s="15" t="s">
        <v>9455</v>
      </c>
      <c r="C201" s="15">
        <v>2019</v>
      </c>
      <c r="D201" s="15" t="s">
        <v>495</v>
      </c>
      <c r="E201" s="15" t="s">
        <v>2204</v>
      </c>
      <c r="F201" s="15">
        <v>5.82</v>
      </c>
      <c r="G201" s="15" t="s">
        <v>46</v>
      </c>
      <c r="H201" s="15" t="s">
        <v>9456</v>
      </c>
      <c r="I201" s="15" t="s">
        <v>9457</v>
      </c>
      <c r="J201" s="10" t="s">
        <v>9458</v>
      </c>
      <c r="K201" s="15">
        <v>2368</v>
      </c>
    </row>
    <row r="202" spans="1:11" ht="15" customHeight="1" x14ac:dyDescent="0.2">
      <c r="A202" s="13" t="s">
        <v>9459</v>
      </c>
      <c r="B202" s="13" t="s">
        <v>9459</v>
      </c>
      <c r="C202" s="13">
        <v>2020</v>
      </c>
      <c r="D202" s="13" t="s">
        <v>530</v>
      </c>
      <c r="E202" s="13" t="s">
        <v>1111</v>
      </c>
      <c r="F202" s="13">
        <v>2</v>
      </c>
      <c r="G202" s="13" t="s">
        <v>1310</v>
      </c>
      <c r="H202" s="13" t="s">
        <v>9460</v>
      </c>
      <c r="I202" s="13" t="s">
        <v>9461</v>
      </c>
      <c r="J202" s="9" t="s">
        <v>9462</v>
      </c>
      <c r="K202" s="13">
        <v>1</v>
      </c>
    </row>
    <row r="203" spans="1:11" ht="15" customHeight="1" x14ac:dyDescent="0.2">
      <c r="A203" s="13" t="s">
        <v>9463</v>
      </c>
      <c r="B203" s="13" t="s">
        <v>9464</v>
      </c>
      <c r="C203" s="13">
        <v>2021</v>
      </c>
      <c r="D203" s="13" t="s">
        <v>5234</v>
      </c>
      <c r="E203" s="13" t="s">
        <v>531</v>
      </c>
      <c r="F203" s="13">
        <v>6.2690000000000001</v>
      </c>
      <c r="G203" s="13" t="s">
        <v>46</v>
      </c>
      <c r="H203" s="13" t="s">
        <v>9465</v>
      </c>
      <c r="I203" s="13" t="s">
        <v>9466</v>
      </c>
      <c r="J203" s="9" t="s">
        <v>9467</v>
      </c>
      <c r="K203" s="13">
        <v>78</v>
      </c>
    </row>
    <row r="204" spans="1:11" ht="15" customHeight="1" x14ac:dyDescent="0.2">
      <c r="A204" s="13" t="s">
        <v>9468</v>
      </c>
      <c r="B204" s="13" t="s">
        <v>9468</v>
      </c>
      <c r="C204" s="13">
        <v>2024</v>
      </c>
      <c r="D204" s="13" t="s">
        <v>9469</v>
      </c>
      <c r="E204" s="13" t="s">
        <v>2470</v>
      </c>
      <c r="F204" s="13">
        <v>6.4589999999999996</v>
      </c>
      <c r="G204" s="13" t="s">
        <v>46</v>
      </c>
      <c r="H204" s="13" t="s">
        <v>9470</v>
      </c>
      <c r="I204" s="13" t="s">
        <v>9471</v>
      </c>
      <c r="J204" s="9" t="s">
        <v>9472</v>
      </c>
      <c r="K204" s="13">
        <v>73</v>
      </c>
    </row>
    <row r="205" spans="1:11" ht="15" customHeight="1" x14ac:dyDescent="0.2">
      <c r="A205" s="13" t="s">
        <v>9473</v>
      </c>
      <c r="B205" s="13" t="s">
        <v>9474</v>
      </c>
      <c r="C205" s="13">
        <v>1993</v>
      </c>
      <c r="D205" s="13" t="s">
        <v>8589</v>
      </c>
      <c r="E205" s="13" t="s">
        <v>531</v>
      </c>
      <c r="F205" s="13">
        <v>6.2619999999999996</v>
      </c>
      <c r="G205" s="13" t="s">
        <v>46</v>
      </c>
      <c r="H205" s="13" t="s">
        <v>9475</v>
      </c>
      <c r="I205" s="13" t="s">
        <v>9476</v>
      </c>
      <c r="J205" s="9" t="s">
        <v>9477</v>
      </c>
      <c r="K205" s="13">
        <v>493</v>
      </c>
    </row>
    <row r="206" spans="1:11" ht="15" customHeight="1" x14ac:dyDescent="0.2">
      <c r="A206" s="13" t="s">
        <v>9478</v>
      </c>
      <c r="B206" s="13" t="s">
        <v>9478</v>
      </c>
      <c r="C206" s="13">
        <v>2016</v>
      </c>
      <c r="D206" s="13" t="s">
        <v>413</v>
      </c>
      <c r="E206" s="13" t="s">
        <v>890</v>
      </c>
      <c r="F206" s="13">
        <v>5.9139999999999997</v>
      </c>
      <c r="G206" s="13" t="s">
        <v>46</v>
      </c>
      <c r="H206" s="13" t="s">
        <v>9479</v>
      </c>
      <c r="I206" s="13" t="s">
        <v>9480</v>
      </c>
      <c r="J206" s="9" t="s">
        <v>9481</v>
      </c>
      <c r="K206" s="13">
        <v>405</v>
      </c>
    </row>
    <row r="207" spans="1:11" ht="15" customHeight="1" x14ac:dyDescent="0.2">
      <c r="A207" s="13" t="s">
        <v>9482</v>
      </c>
      <c r="B207" s="13" t="s">
        <v>9478</v>
      </c>
      <c r="C207" s="13">
        <v>2016</v>
      </c>
      <c r="D207" s="13" t="s">
        <v>413</v>
      </c>
      <c r="E207" s="13" t="s">
        <v>531</v>
      </c>
      <c r="F207" s="13">
        <v>5.9139999999999997</v>
      </c>
      <c r="G207" s="13" t="s">
        <v>46</v>
      </c>
      <c r="H207" s="13" t="s">
        <v>9479</v>
      </c>
      <c r="I207" s="13" t="s">
        <v>9483</v>
      </c>
      <c r="J207" s="9" t="s">
        <v>9481</v>
      </c>
      <c r="K207" s="13">
        <v>405</v>
      </c>
    </row>
    <row r="208" spans="1:11" ht="15" customHeight="1" x14ac:dyDescent="0.2">
      <c r="A208" s="13" t="s">
        <v>9484</v>
      </c>
      <c r="B208" s="13" t="s">
        <v>9484</v>
      </c>
      <c r="C208" s="13">
        <v>2019</v>
      </c>
      <c r="D208" s="13" t="s">
        <v>619</v>
      </c>
      <c r="E208" s="13" t="s">
        <v>531</v>
      </c>
      <c r="F208" s="13">
        <v>5.5</v>
      </c>
      <c r="G208" s="13"/>
      <c r="H208" s="13" t="s">
        <v>9485</v>
      </c>
      <c r="I208" s="13" t="s">
        <v>9486</v>
      </c>
      <c r="J208" s="9" t="s">
        <v>9487</v>
      </c>
      <c r="K208" s="13">
        <v>119</v>
      </c>
    </row>
    <row r="209" spans="1:11" ht="15" customHeight="1" x14ac:dyDescent="0.2">
      <c r="A209" s="13" t="s">
        <v>9488</v>
      </c>
      <c r="B209" s="13" t="s">
        <v>9489</v>
      </c>
      <c r="C209" s="13">
        <v>1986</v>
      </c>
      <c r="D209" s="13" t="s">
        <v>413</v>
      </c>
      <c r="E209" s="13" t="s">
        <v>8715</v>
      </c>
      <c r="F209" s="13">
        <v>7.0170000000000003</v>
      </c>
      <c r="G209" s="13" t="s">
        <v>18</v>
      </c>
      <c r="H209" s="13" t="s">
        <v>9490</v>
      </c>
      <c r="I209" s="13" t="s">
        <v>9491</v>
      </c>
      <c r="J209" s="9" t="s">
        <v>9492</v>
      </c>
      <c r="K209" s="13">
        <v>1463</v>
      </c>
    </row>
    <row r="210" spans="1:11" ht="15" customHeight="1" x14ac:dyDescent="0.2">
      <c r="A210" s="13" t="s">
        <v>9493</v>
      </c>
      <c r="B210" s="13" t="s">
        <v>9494</v>
      </c>
      <c r="C210" s="13">
        <v>1985</v>
      </c>
      <c r="D210" s="13" t="s">
        <v>413</v>
      </c>
      <c r="E210" s="13" t="s">
        <v>531</v>
      </c>
      <c r="F210" s="13">
        <v>5.6</v>
      </c>
      <c r="G210" s="13" t="s">
        <v>46</v>
      </c>
      <c r="H210" s="13" t="s">
        <v>9495</v>
      </c>
      <c r="I210" s="13" t="s">
        <v>9496</v>
      </c>
      <c r="J210" s="9"/>
      <c r="K210" s="13">
        <v>22</v>
      </c>
    </row>
    <row r="211" spans="1:11" ht="15" customHeight="1" x14ac:dyDescent="0.2">
      <c r="A211" s="15" t="s">
        <v>9497</v>
      </c>
      <c r="B211" s="15" t="s">
        <v>9497</v>
      </c>
      <c r="C211" s="15">
        <v>2003</v>
      </c>
      <c r="D211" s="15" t="s">
        <v>483</v>
      </c>
      <c r="E211" s="15" t="s">
        <v>890</v>
      </c>
      <c r="F211" s="15">
        <v>8.0530000000000008</v>
      </c>
      <c r="G211" s="15" t="s">
        <v>77</v>
      </c>
      <c r="H211" s="15" t="s">
        <v>9498</v>
      </c>
      <c r="I211" s="15" t="s">
        <v>9499</v>
      </c>
      <c r="J211" s="10" t="s">
        <v>9500</v>
      </c>
      <c r="K211" s="15">
        <v>4317</v>
      </c>
    </row>
    <row r="212" spans="1:11" ht="15" customHeight="1" x14ac:dyDescent="0.2">
      <c r="A212" s="13" t="s">
        <v>9501</v>
      </c>
      <c r="B212" s="13" t="s">
        <v>635</v>
      </c>
      <c r="C212" s="13">
        <v>2018</v>
      </c>
      <c r="D212" s="13" t="s">
        <v>636</v>
      </c>
      <c r="E212" s="13" t="s">
        <v>2650</v>
      </c>
      <c r="F212" s="13">
        <v>5.07</v>
      </c>
      <c r="G212" s="13" t="s">
        <v>28</v>
      </c>
      <c r="H212" s="13" t="s">
        <v>637</v>
      </c>
      <c r="I212" s="13" t="s">
        <v>9502</v>
      </c>
      <c r="J212" s="9" t="s">
        <v>639</v>
      </c>
      <c r="K212" s="13">
        <v>79</v>
      </c>
    </row>
    <row r="213" spans="1:11" ht="15" customHeight="1" x14ac:dyDescent="0.2">
      <c r="A213" s="13" t="s">
        <v>9503</v>
      </c>
      <c r="B213" s="13" t="s">
        <v>9503</v>
      </c>
      <c r="C213" s="13">
        <v>2021</v>
      </c>
      <c r="D213" s="13" t="s">
        <v>483</v>
      </c>
      <c r="E213" s="13" t="s">
        <v>675</v>
      </c>
      <c r="F213" s="13">
        <v>7.181</v>
      </c>
      <c r="G213" s="13" t="s">
        <v>18</v>
      </c>
      <c r="H213" s="13" t="s">
        <v>9504</v>
      </c>
      <c r="I213" s="13" t="s">
        <v>9505</v>
      </c>
      <c r="J213" s="9" t="s">
        <v>9506</v>
      </c>
      <c r="K213" s="13">
        <v>299</v>
      </c>
    </row>
    <row r="214" spans="1:11" ht="15" customHeight="1" x14ac:dyDescent="0.2">
      <c r="A214" s="13" t="s">
        <v>9507</v>
      </c>
      <c r="B214" s="13" t="s">
        <v>9508</v>
      </c>
      <c r="C214" s="13">
        <v>2021</v>
      </c>
      <c r="D214" s="13" t="s">
        <v>413</v>
      </c>
      <c r="E214" s="13" t="s">
        <v>531</v>
      </c>
      <c r="F214" s="13">
        <v>5.8230000000000004</v>
      </c>
      <c r="G214" s="13" t="s">
        <v>46</v>
      </c>
      <c r="H214" s="13" t="s">
        <v>9509</v>
      </c>
      <c r="I214" s="13" t="s">
        <v>9510</v>
      </c>
      <c r="J214" s="9" t="s">
        <v>9506</v>
      </c>
      <c r="K214" s="13">
        <v>466</v>
      </c>
    </row>
    <row r="215" spans="1:11" ht="15" customHeight="1" x14ac:dyDescent="0.2">
      <c r="A215" s="13" t="s">
        <v>9511</v>
      </c>
      <c r="B215" s="13" t="s">
        <v>9512</v>
      </c>
      <c r="C215" s="13">
        <v>2015</v>
      </c>
      <c r="D215" s="13" t="s">
        <v>9513</v>
      </c>
      <c r="E215" s="13" t="s">
        <v>531</v>
      </c>
      <c r="F215" s="13"/>
      <c r="G215" s="13"/>
      <c r="H215" s="13" t="s">
        <v>9514</v>
      </c>
      <c r="I215" s="13" t="s">
        <v>9515</v>
      </c>
      <c r="J215" s="9"/>
      <c r="K215" s="13"/>
    </row>
    <row r="216" spans="1:11" ht="15" customHeight="1" x14ac:dyDescent="0.2">
      <c r="A216" s="13" t="s">
        <v>9516</v>
      </c>
      <c r="B216" s="13" t="s">
        <v>9516</v>
      </c>
      <c r="C216" s="13">
        <v>2024</v>
      </c>
      <c r="D216" s="13" t="s">
        <v>9517</v>
      </c>
      <c r="E216" s="13" t="s">
        <v>507</v>
      </c>
      <c r="F216" s="13">
        <v>6.8890000000000002</v>
      </c>
      <c r="G216" s="13" t="s">
        <v>18</v>
      </c>
      <c r="H216" s="13" t="s">
        <v>9518</v>
      </c>
      <c r="I216" s="13" t="s">
        <v>9519</v>
      </c>
      <c r="J216" s="9" t="s">
        <v>9520</v>
      </c>
      <c r="K216" s="13">
        <v>1270</v>
      </c>
    </row>
    <row r="217" spans="1:11" ht="15" customHeight="1" x14ac:dyDescent="0.2">
      <c r="A217" s="13" t="s">
        <v>9521</v>
      </c>
      <c r="B217" s="13" t="s">
        <v>9521</v>
      </c>
      <c r="C217" s="13">
        <v>2021</v>
      </c>
      <c r="D217" s="13" t="s">
        <v>8286</v>
      </c>
      <c r="E217" s="13" t="s">
        <v>5711</v>
      </c>
      <c r="F217" s="13">
        <v>6.1319999999999997</v>
      </c>
      <c r="G217" s="13" t="s">
        <v>46</v>
      </c>
      <c r="H217" s="13" t="s">
        <v>9522</v>
      </c>
      <c r="I217" s="13" t="s">
        <v>9523</v>
      </c>
      <c r="J217" s="9" t="s">
        <v>9524</v>
      </c>
      <c r="K217" s="13">
        <v>53</v>
      </c>
    </row>
    <row r="218" spans="1:11" ht="15" customHeight="1" x14ac:dyDescent="0.2">
      <c r="A218" s="13" t="s">
        <v>9525</v>
      </c>
      <c r="B218" s="13" t="s">
        <v>9526</v>
      </c>
      <c r="C218" s="13">
        <v>2024</v>
      </c>
      <c r="D218" s="13" t="s">
        <v>9527</v>
      </c>
      <c r="E218" s="13" t="s">
        <v>1510</v>
      </c>
      <c r="F218" s="13">
        <v>6.899</v>
      </c>
      <c r="G218" s="13" t="s">
        <v>18</v>
      </c>
      <c r="H218" s="13" t="s">
        <v>9528</v>
      </c>
      <c r="I218" s="13" t="s">
        <v>9529</v>
      </c>
      <c r="J218" s="9" t="s">
        <v>9530</v>
      </c>
      <c r="K218" s="13">
        <v>583</v>
      </c>
    </row>
    <row r="219" spans="1:11" ht="15" customHeight="1" x14ac:dyDescent="0.2">
      <c r="A219" s="13" t="s">
        <v>9531</v>
      </c>
      <c r="B219" s="13" t="s">
        <v>9531</v>
      </c>
      <c r="C219" s="13">
        <v>2005</v>
      </c>
      <c r="D219" s="13" t="s">
        <v>413</v>
      </c>
      <c r="E219" s="13" t="s">
        <v>418</v>
      </c>
      <c r="F219" s="13">
        <v>6.6870000000000003</v>
      </c>
      <c r="G219" s="13" t="s">
        <v>18</v>
      </c>
      <c r="H219" s="13" t="s">
        <v>9532</v>
      </c>
      <c r="I219" s="13" t="s">
        <v>9533</v>
      </c>
      <c r="J219" s="9" t="s">
        <v>9534</v>
      </c>
      <c r="K219" s="13">
        <v>10913</v>
      </c>
    </row>
    <row r="220" spans="1:11" ht="15" customHeight="1" x14ac:dyDescent="0.2">
      <c r="A220" s="13" t="s">
        <v>9535</v>
      </c>
      <c r="B220" s="13" t="s">
        <v>9536</v>
      </c>
      <c r="C220" s="13">
        <v>2007</v>
      </c>
      <c r="D220" s="13" t="s">
        <v>413</v>
      </c>
      <c r="E220" s="13" t="s">
        <v>1863</v>
      </c>
      <c r="F220" s="13">
        <v>6.9249999999999998</v>
      </c>
      <c r="G220" s="13" t="s">
        <v>18</v>
      </c>
      <c r="H220" s="13" t="s">
        <v>9537</v>
      </c>
      <c r="I220" s="13" t="s">
        <v>9538</v>
      </c>
      <c r="J220" s="9" t="s">
        <v>9539</v>
      </c>
      <c r="K220" s="13">
        <v>1805</v>
      </c>
    </row>
    <row r="221" spans="1:11" ht="15" customHeight="1" x14ac:dyDescent="0.2">
      <c r="A221" s="15" t="s">
        <v>9540</v>
      </c>
      <c r="B221" s="15" t="s">
        <v>9540</v>
      </c>
      <c r="C221" s="15">
        <v>1995</v>
      </c>
      <c r="D221" s="15" t="s">
        <v>1179</v>
      </c>
      <c r="E221" s="15" t="s">
        <v>1510</v>
      </c>
      <c r="F221" s="15">
        <v>7.1</v>
      </c>
      <c r="G221" s="15" t="s">
        <v>18</v>
      </c>
      <c r="H221" s="15" t="s">
        <v>9541</v>
      </c>
      <c r="I221" s="15" t="s">
        <v>9542</v>
      </c>
      <c r="J221" s="10" t="s">
        <v>9543</v>
      </c>
      <c r="K221" s="15">
        <v>591</v>
      </c>
    </row>
    <row r="222" spans="1:11" ht="15" customHeight="1" x14ac:dyDescent="0.2">
      <c r="A222" s="13" t="s">
        <v>9544</v>
      </c>
      <c r="B222" s="13" t="s">
        <v>9544</v>
      </c>
      <c r="C222" s="13">
        <v>2023</v>
      </c>
      <c r="D222" s="13" t="s">
        <v>413</v>
      </c>
      <c r="E222" s="13" t="s">
        <v>324</v>
      </c>
      <c r="F222" s="13">
        <v>6.391</v>
      </c>
      <c r="G222" s="13" t="s">
        <v>46</v>
      </c>
      <c r="H222" s="13" t="s">
        <v>9545</v>
      </c>
      <c r="I222" s="13" t="s">
        <v>9546</v>
      </c>
      <c r="J222" s="9" t="s">
        <v>9547</v>
      </c>
      <c r="K222" s="13">
        <v>1875</v>
      </c>
    </row>
    <row r="223" spans="1:11" ht="15" customHeight="1" x14ac:dyDescent="0.2">
      <c r="A223" s="13" t="s">
        <v>9548</v>
      </c>
      <c r="B223" s="13" t="s">
        <v>9549</v>
      </c>
      <c r="C223" s="13">
        <v>1989</v>
      </c>
      <c r="D223" s="13" t="s">
        <v>413</v>
      </c>
      <c r="E223" s="13" t="s">
        <v>9550</v>
      </c>
      <c r="F223" s="13">
        <v>7.1</v>
      </c>
      <c r="G223" s="13" t="s">
        <v>18</v>
      </c>
      <c r="H223" s="13" t="s">
        <v>9551</v>
      </c>
      <c r="I223" s="13" t="s">
        <v>9552</v>
      </c>
      <c r="J223" s="9" t="s">
        <v>9553</v>
      </c>
      <c r="K223" s="13">
        <v>172</v>
      </c>
    </row>
    <row r="224" spans="1:11" ht="15" customHeight="1" x14ac:dyDescent="0.2">
      <c r="A224" s="13" t="s">
        <v>9554</v>
      </c>
      <c r="B224" s="13" t="s">
        <v>9555</v>
      </c>
      <c r="C224" s="13">
        <v>2023</v>
      </c>
      <c r="D224" s="13" t="s">
        <v>413</v>
      </c>
      <c r="E224" s="13" t="s">
        <v>531</v>
      </c>
      <c r="F224" s="13">
        <v>6.4829999999999997</v>
      </c>
      <c r="G224" s="13" t="s">
        <v>46</v>
      </c>
      <c r="H224" s="13" t="s">
        <v>9556</v>
      </c>
      <c r="I224" s="13" t="s">
        <v>9557</v>
      </c>
      <c r="J224" s="9" t="s">
        <v>9558</v>
      </c>
      <c r="K224" s="13">
        <v>319</v>
      </c>
    </row>
    <row r="225" spans="1:11" ht="15" customHeight="1" x14ac:dyDescent="0.2">
      <c r="A225" s="13" t="s">
        <v>9559</v>
      </c>
      <c r="B225" s="13" t="s">
        <v>9560</v>
      </c>
      <c r="C225" s="13">
        <v>2022</v>
      </c>
      <c r="D225" s="13" t="s">
        <v>413</v>
      </c>
      <c r="E225" s="13" t="s">
        <v>531</v>
      </c>
      <c r="F225" s="13">
        <v>5.7</v>
      </c>
      <c r="G225" s="13" t="s">
        <v>46</v>
      </c>
      <c r="H225" s="13" t="s">
        <v>9561</v>
      </c>
      <c r="I225" s="13" t="s">
        <v>9562</v>
      </c>
      <c r="J225" s="9" t="s">
        <v>9563</v>
      </c>
      <c r="K225" s="13">
        <v>14</v>
      </c>
    </row>
    <row r="226" spans="1:11" ht="15" customHeight="1" x14ac:dyDescent="0.2">
      <c r="A226" s="13" t="s">
        <v>9564</v>
      </c>
      <c r="B226" s="13" t="s">
        <v>9564</v>
      </c>
      <c r="C226" s="13">
        <v>2003</v>
      </c>
      <c r="D226" s="13" t="s">
        <v>9565</v>
      </c>
      <c r="E226" s="13" t="s">
        <v>890</v>
      </c>
      <c r="F226" s="13">
        <v>7.7</v>
      </c>
      <c r="G226" s="13" t="s">
        <v>77</v>
      </c>
      <c r="H226" s="13" t="s">
        <v>9566</v>
      </c>
      <c r="I226" s="13" t="s">
        <v>9567</v>
      </c>
      <c r="J226" s="9" t="s">
        <v>9568</v>
      </c>
      <c r="K226" s="13">
        <v>7170</v>
      </c>
    </row>
    <row r="227" spans="1:11" ht="15" customHeight="1" x14ac:dyDescent="0.2">
      <c r="A227" s="13" t="s">
        <v>9569</v>
      </c>
      <c r="B227" s="13" t="s">
        <v>9570</v>
      </c>
      <c r="C227" s="13">
        <v>2013</v>
      </c>
      <c r="D227" s="13" t="s">
        <v>413</v>
      </c>
      <c r="E227" s="13" t="s">
        <v>531</v>
      </c>
      <c r="F227" s="13">
        <v>7.4</v>
      </c>
      <c r="G227" s="13" t="s">
        <v>18</v>
      </c>
      <c r="H227" s="13" t="s">
        <v>9571</v>
      </c>
      <c r="I227" s="13" t="s">
        <v>9572</v>
      </c>
      <c r="J227" s="9" t="s">
        <v>9573</v>
      </c>
      <c r="K227" s="13">
        <v>1377</v>
      </c>
    </row>
    <row r="228" spans="1:11" ht="15" customHeight="1" x14ac:dyDescent="0.2">
      <c r="A228" s="13" t="s">
        <v>9574</v>
      </c>
      <c r="B228" s="13" t="s">
        <v>9575</v>
      </c>
      <c r="C228" s="13">
        <v>1984</v>
      </c>
      <c r="D228" s="13" t="s">
        <v>413</v>
      </c>
      <c r="E228" s="13" t="s">
        <v>890</v>
      </c>
      <c r="F228" s="13">
        <v>5.3</v>
      </c>
      <c r="G228" s="13" t="s">
        <v>28</v>
      </c>
      <c r="H228" s="13" t="s">
        <v>9576</v>
      </c>
      <c r="I228" s="13" t="s">
        <v>9577</v>
      </c>
      <c r="J228" s="9" t="s">
        <v>9578</v>
      </c>
      <c r="K228" s="13">
        <v>99</v>
      </c>
    </row>
    <row r="229" spans="1:11" ht="15" customHeight="1" x14ac:dyDescent="0.2">
      <c r="A229" s="13" t="s">
        <v>9579</v>
      </c>
      <c r="B229" s="13" t="s">
        <v>9580</v>
      </c>
      <c r="C229" s="13">
        <v>1990</v>
      </c>
      <c r="D229" s="13" t="s">
        <v>413</v>
      </c>
      <c r="E229" s="13" t="s">
        <v>9581</v>
      </c>
      <c r="F229" s="13">
        <v>6.4</v>
      </c>
      <c r="G229" s="13" t="s">
        <v>46</v>
      </c>
      <c r="H229" s="13" t="s">
        <v>9582</v>
      </c>
      <c r="I229" s="13" t="s">
        <v>9583</v>
      </c>
      <c r="J229" s="9" t="s">
        <v>9584</v>
      </c>
      <c r="K229" s="13">
        <v>215</v>
      </c>
    </row>
    <row r="230" spans="1:11" ht="15" customHeight="1" x14ac:dyDescent="0.2">
      <c r="A230" s="13" t="s">
        <v>9585</v>
      </c>
      <c r="B230" s="13" t="s">
        <v>9585</v>
      </c>
      <c r="C230" s="13">
        <v>2025</v>
      </c>
      <c r="D230" s="13" t="s">
        <v>478</v>
      </c>
      <c r="E230" s="13" t="s">
        <v>2470</v>
      </c>
      <c r="F230" s="13">
        <v>6</v>
      </c>
      <c r="G230" s="13" t="s">
        <v>46</v>
      </c>
      <c r="H230" s="13" t="s">
        <v>9586</v>
      </c>
      <c r="I230" s="13" t="s">
        <v>9587</v>
      </c>
      <c r="J230" s="9" t="s">
        <v>9588</v>
      </c>
      <c r="K230" s="13">
        <v>217</v>
      </c>
    </row>
    <row r="231" spans="1:11" ht="15" customHeight="1" x14ac:dyDescent="0.2">
      <c r="A231" s="15" t="s">
        <v>9589</v>
      </c>
      <c r="B231" s="15" t="s">
        <v>9589</v>
      </c>
      <c r="C231" s="15">
        <v>2023</v>
      </c>
      <c r="D231" s="15" t="s">
        <v>413</v>
      </c>
      <c r="E231" s="15" t="s">
        <v>5711</v>
      </c>
      <c r="F231" s="15">
        <v>5.2</v>
      </c>
      <c r="G231" s="15" t="s">
        <v>28</v>
      </c>
      <c r="H231" s="15" t="s">
        <v>9590</v>
      </c>
      <c r="I231" s="15" t="s">
        <v>9591</v>
      </c>
      <c r="J231" s="10" t="s">
        <v>9592</v>
      </c>
      <c r="K231" s="15">
        <v>33</v>
      </c>
    </row>
    <row r="232" spans="1:11" ht="15" customHeight="1" x14ac:dyDescent="0.2">
      <c r="A232" s="13" t="s">
        <v>9593</v>
      </c>
      <c r="B232" s="13" t="s">
        <v>9593</v>
      </c>
      <c r="C232" s="13">
        <v>2021</v>
      </c>
      <c r="D232" s="13" t="s">
        <v>9594</v>
      </c>
      <c r="E232" s="13" t="s">
        <v>2470</v>
      </c>
      <c r="F232" s="13">
        <v>6.9649999999999999</v>
      </c>
      <c r="G232" s="13" t="s">
        <v>18</v>
      </c>
      <c r="H232" s="13" t="s">
        <v>9595</v>
      </c>
      <c r="I232" s="13" t="s">
        <v>9596</v>
      </c>
      <c r="J232" s="9" t="s">
        <v>9597</v>
      </c>
      <c r="K232" s="13">
        <v>3214</v>
      </c>
    </row>
    <row r="233" spans="1:11" ht="15" customHeight="1" x14ac:dyDescent="0.2">
      <c r="A233" s="13" t="s">
        <v>9598</v>
      </c>
      <c r="B233" s="13" t="s">
        <v>9598</v>
      </c>
      <c r="C233" s="13">
        <v>2021</v>
      </c>
      <c r="D233" s="13" t="s">
        <v>939</v>
      </c>
      <c r="E233" s="13" t="s">
        <v>934</v>
      </c>
      <c r="F233" s="13">
        <v>0</v>
      </c>
      <c r="G233" s="13"/>
      <c r="H233" s="13" t="s">
        <v>9599</v>
      </c>
      <c r="I233" s="13" t="s">
        <v>9600</v>
      </c>
      <c r="J233" s="9" t="s">
        <v>9601</v>
      </c>
      <c r="K233" s="13">
        <v>0</v>
      </c>
    </row>
    <row r="234" spans="1:11" ht="15" customHeight="1" x14ac:dyDescent="0.2">
      <c r="A234" s="13" t="s">
        <v>9602</v>
      </c>
      <c r="B234" s="13" t="s">
        <v>9602</v>
      </c>
      <c r="C234" s="13">
        <v>2021</v>
      </c>
      <c r="D234" s="13" t="s">
        <v>413</v>
      </c>
      <c r="E234" s="13" t="s">
        <v>890</v>
      </c>
      <c r="F234" s="13">
        <v>6.3739999999999997</v>
      </c>
      <c r="G234" s="13" t="s">
        <v>46</v>
      </c>
      <c r="H234" s="13" t="s">
        <v>9603</v>
      </c>
      <c r="I234" s="13" t="s">
        <v>9604</v>
      </c>
      <c r="J234" s="9" t="s">
        <v>9605</v>
      </c>
      <c r="K234" s="13">
        <v>760</v>
      </c>
    </row>
    <row r="235" spans="1:11" ht="15" customHeight="1" x14ac:dyDescent="0.2">
      <c r="A235" s="13" t="s">
        <v>9606</v>
      </c>
      <c r="B235" s="13" t="s">
        <v>9607</v>
      </c>
      <c r="C235" s="13">
        <v>1987</v>
      </c>
      <c r="D235" s="13" t="s">
        <v>413</v>
      </c>
      <c r="E235" s="13" t="s">
        <v>531</v>
      </c>
      <c r="F235" s="13">
        <v>6.9</v>
      </c>
      <c r="G235" s="13" t="s">
        <v>18</v>
      </c>
      <c r="H235" s="13" t="s">
        <v>9608</v>
      </c>
      <c r="I235" s="13" t="s">
        <v>9609</v>
      </c>
      <c r="J235" s="9" t="s">
        <v>9610</v>
      </c>
      <c r="K235" s="13">
        <v>764</v>
      </c>
    </row>
    <row r="236" spans="1:11" ht="15" customHeight="1" x14ac:dyDescent="0.2">
      <c r="A236" s="13" t="s">
        <v>9611</v>
      </c>
      <c r="B236" s="13" t="s">
        <v>9611</v>
      </c>
      <c r="C236" s="13">
        <v>2016</v>
      </c>
      <c r="D236" s="13" t="s">
        <v>8547</v>
      </c>
      <c r="E236" s="13" t="s">
        <v>1510</v>
      </c>
      <c r="F236" s="13">
        <v>7.4169999999999998</v>
      </c>
      <c r="G236" s="13" t="s">
        <v>18</v>
      </c>
      <c r="H236" s="13" t="s">
        <v>9612</v>
      </c>
      <c r="I236" s="13" t="s">
        <v>9613</v>
      </c>
      <c r="J236" s="9" t="s">
        <v>9614</v>
      </c>
      <c r="K236" s="13">
        <v>8101</v>
      </c>
    </row>
    <row r="237" spans="1:11" ht="15" customHeight="1" x14ac:dyDescent="0.2">
      <c r="A237" s="13" t="s">
        <v>9615</v>
      </c>
      <c r="B237" s="13" t="s">
        <v>9615</v>
      </c>
      <c r="C237" s="13">
        <v>2017</v>
      </c>
      <c r="D237" s="13" t="s">
        <v>413</v>
      </c>
      <c r="E237" s="13" t="s">
        <v>890</v>
      </c>
      <c r="F237" s="13">
        <v>5.3070000000000004</v>
      </c>
      <c r="G237" s="13" t="s">
        <v>28</v>
      </c>
      <c r="H237" s="13" t="s">
        <v>9616</v>
      </c>
      <c r="I237" s="13" t="s">
        <v>9617</v>
      </c>
      <c r="J237" s="9" t="s">
        <v>9618</v>
      </c>
      <c r="K237" s="13">
        <v>672</v>
      </c>
    </row>
    <row r="238" spans="1:11" ht="15" customHeight="1" x14ac:dyDescent="0.2">
      <c r="A238" s="13" t="s">
        <v>9619</v>
      </c>
      <c r="B238" s="13" t="s">
        <v>9619</v>
      </c>
      <c r="C238" s="13">
        <v>2024</v>
      </c>
      <c r="D238" s="13" t="s">
        <v>530</v>
      </c>
      <c r="E238" s="13" t="s">
        <v>531</v>
      </c>
      <c r="F238" s="13"/>
      <c r="G238" s="13"/>
      <c r="H238" s="13" t="s">
        <v>9620</v>
      </c>
      <c r="I238" s="13" t="s">
        <v>9621</v>
      </c>
      <c r="J238" s="9"/>
      <c r="K238" s="13"/>
    </row>
    <row r="239" spans="1:11" ht="15" customHeight="1" x14ac:dyDescent="0.2">
      <c r="A239" s="13" t="s">
        <v>9622</v>
      </c>
      <c r="B239" s="13" t="s">
        <v>9623</v>
      </c>
      <c r="C239" s="13">
        <v>2018</v>
      </c>
      <c r="D239" s="13" t="s">
        <v>9624</v>
      </c>
      <c r="E239" s="13" t="s">
        <v>531</v>
      </c>
      <c r="F239" s="13">
        <v>6.54</v>
      </c>
      <c r="G239" s="13" t="s">
        <v>18</v>
      </c>
      <c r="H239" s="13" t="s">
        <v>9625</v>
      </c>
      <c r="I239" s="13" t="s">
        <v>9626</v>
      </c>
      <c r="J239" s="9" t="s">
        <v>9627</v>
      </c>
      <c r="K239" s="13">
        <v>1014</v>
      </c>
    </row>
    <row r="240" spans="1:11" ht="15" customHeight="1" x14ac:dyDescent="0.2">
      <c r="A240" s="13" t="s">
        <v>9628</v>
      </c>
      <c r="B240" s="13" t="s">
        <v>9628</v>
      </c>
      <c r="C240" s="13">
        <v>2019</v>
      </c>
      <c r="D240" s="13" t="s">
        <v>9629</v>
      </c>
      <c r="E240" s="13" t="s">
        <v>750</v>
      </c>
      <c r="F240" s="13">
        <v>7.2110000000000003</v>
      </c>
      <c r="G240" s="13" t="s">
        <v>18</v>
      </c>
      <c r="H240" s="13" t="s">
        <v>9630</v>
      </c>
      <c r="I240" s="13" t="s">
        <v>9631</v>
      </c>
      <c r="J240" s="9" t="s">
        <v>9632</v>
      </c>
      <c r="K240" s="13">
        <v>1060</v>
      </c>
    </row>
    <row r="241" spans="1:11" ht="15" customHeight="1" x14ac:dyDescent="0.2">
      <c r="A241" s="15" t="s">
        <v>7828</v>
      </c>
      <c r="B241" s="15" t="s">
        <v>7828</v>
      </c>
      <c r="C241" s="15">
        <v>2022</v>
      </c>
      <c r="D241" s="15" t="s">
        <v>413</v>
      </c>
      <c r="E241" s="15" t="s">
        <v>531</v>
      </c>
      <c r="F241" s="15">
        <v>6.1</v>
      </c>
      <c r="G241" s="15" t="s">
        <v>46</v>
      </c>
      <c r="H241" s="15" t="s">
        <v>7829</v>
      </c>
      <c r="I241" s="15" t="s">
        <v>7830</v>
      </c>
      <c r="J241" s="10" t="s">
        <v>7831</v>
      </c>
      <c r="K241" s="15">
        <v>551</v>
      </c>
    </row>
    <row r="242" spans="1:11" ht="15" customHeight="1" x14ac:dyDescent="0.2">
      <c r="A242" s="13" t="s">
        <v>9633</v>
      </c>
      <c r="B242" s="13" t="s">
        <v>9634</v>
      </c>
      <c r="C242" s="13">
        <v>2022</v>
      </c>
      <c r="D242" s="13" t="s">
        <v>8759</v>
      </c>
      <c r="E242" s="13" t="s">
        <v>531</v>
      </c>
      <c r="F242" s="13">
        <v>6.2279999999999998</v>
      </c>
      <c r="G242" s="13" t="s">
        <v>46</v>
      </c>
      <c r="H242" s="13" t="s">
        <v>9635</v>
      </c>
      <c r="I242" s="13" t="s">
        <v>9636</v>
      </c>
      <c r="J242" s="9" t="s">
        <v>9637</v>
      </c>
      <c r="K242" s="13">
        <v>887</v>
      </c>
    </row>
    <row r="243" spans="1:11" ht="15" customHeight="1" x14ac:dyDescent="0.2">
      <c r="A243" s="13" t="s">
        <v>9638</v>
      </c>
      <c r="B243" s="13" t="s">
        <v>9638</v>
      </c>
      <c r="C243" s="13">
        <v>2024</v>
      </c>
      <c r="D243" s="13" t="s">
        <v>560</v>
      </c>
      <c r="E243" s="13" t="s">
        <v>1036</v>
      </c>
      <c r="F243" s="13">
        <v>7.6849999999999996</v>
      </c>
      <c r="G243" s="13" t="s">
        <v>77</v>
      </c>
      <c r="H243" s="13" t="s">
        <v>9639</v>
      </c>
      <c r="I243" s="13" t="s">
        <v>9640</v>
      </c>
      <c r="J243" s="9" t="s">
        <v>9641</v>
      </c>
      <c r="K243" s="13">
        <v>327</v>
      </c>
    </row>
    <row r="244" spans="1:11" ht="15" customHeight="1" x14ac:dyDescent="0.2">
      <c r="A244" s="13" t="s">
        <v>9642</v>
      </c>
      <c r="B244" s="13" t="s">
        <v>9643</v>
      </c>
      <c r="C244" s="13">
        <v>2024</v>
      </c>
      <c r="D244" s="13" t="s">
        <v>8286</v>
      </c>
      <c r="E244" s="13" t="s">
        <v>531</v>
      </c>
      <c r="F244" s="13">
        <v>5.5</v>
      </c>
      <c r="G244" s="13" t="s">
        <v>46</v>
      </c>
      <c r="H244" s="13" t="s">
        <v>9644</v>
      </c>
      <c r="I244" s="13" t="s">
        <v>9645</v>
      </c>
      <c r="J244" s="9" t="s">
        <v>9646</v>
      </c>
      <c r="K244" s="13">
        <v>52</v>
      </c>
    </row>
    <row r="245" spans="1:11" ht="15" customHeight="1" x14ac:dyDescent="0.2">
      <c r="A245" s="13" t="s">
        <v>9647</v>
      </c>
      <c r="B245" s="13" t="s">
        <v>9648</v>
      </c>
      <c r="C245" s="13">
        <v>1954</v>
      </c>
      <c r="D245" s="13" t="s">
        <v>413</v>
      </c>
      <c r="E245" s="13" t="s">
        <v>9649</v>
      </c>
      <c r="F245" s="13">
        <v>2.6</v>
      </c>
      <c r="G245" s="13" t="s">
        <v>169</v>
      </c>
      <c r="H245" s="13" t="s">
        <v>9650</v>
      </c>
      <c r="I245" s="13" t="s">
        <v>9651</v>
      </c>
      <c r="J245" s="9"/>
      <c r="K245" s="13">
        <v>5</v>
      </c>
    </row>
    <row r="246" spans="1:11" ht="15" customHeight="1" x14ac:dyDescent="0.2">
      <c r="A246" s="13" t="s">
        <v>9647</v>
      </c>
      <c r="B246" s="13" t="s">
        <v>9648</v>
      </c>
      <c r="C246" s="13">
        <v>1954</v>
      </c>
      <c r="D246" s="13" t="s">
        <v>413</v>
      </c>
      <c r="E246" s="13" t="s">
        <v>9649</v>
      </c>
      <c r="F246" s="13">
        <v>2.6</v>
      </c>
      <c r="G246" s="13" t="s">
        <v>169</v>
      </c>
      <c r="H246" s="13" t="s">
        <v>9650</v>
      </c>
      <c r="I246" s="13" t="s">
        <v>9651</v>
      </c>
      <c r="J246" s="9"/>
      <c r="K246" s="13">
        <v>5</v>
      </c>
    </row>
    <row r="247" spans="1:11" ht="15" customHeight="1" x14ac:dyDescent="0.2">
      <c r="A247" s="13" t="s">
        <v>9652</v>
      </c>
      <c r="B247" s="13" t="s">
        <v>9652</v>
      </c>
      <c r="C247" s="13">
        <v>2019</v>
      </c>
      <c r="D247" s="13" t="s">
        <v>483</v>
      </c>
      <c r="E247" s="13" t="s">
        <v>1510</v>
      </c>
      <c r="F247" s="13">
        <v>8.4960000000000004</v>
      </c>
      <c r="G247" s="13" t="s">
        <v>77</v>
      </c>
      <c r="H247" s="13" t="s">
        <v>9653</v>
      </c>
      <c r="I247" s="13" t="s">
        <v>9654</v>
      </c>
      <c r="J247" s="9" t="s">
        <v>9655</v>
      </c>
      <c r="K247" s="13">
        <v>19800</v>
      </c>
    </row>
    <row r="248" spans="1:11" ht="15" customHeight="1" x14ac:dyDescent="0.2">
      <c r="A248" s="13" t="s">
        <v>9652</v>
      </c>
      <c r="B248" s="13" t="s">
        <v>9652</v>
      </c>
      <c r="C248" s="13">
        <v>2019</v>
      </c>
      <c r="D248" s="13" t="s">
        <v>483</v>
      </c>
      <c r="E248" s="13" t="s">
        <v>1510</v>
      </c>
      <c r="F248" s="13">
        <v>8.4960000000000004</v>
      </c>
      <c r="G248" s="13" t="s">
        <v>77</v>
      </c>
      <c r="H248" s="13" t="s">
        <v>9653</v>
      </c>
      <c r="I248" s="13" t="s">
        <v>9654</v>
      </c>
      <c r="J248" s="9" t="s">
        <v>9655</v>
      </c>
      <c r="K248" s="13">
        <v>19800</v>
      </c>
    </row>
    <row r="249" spans="1:11" ht="15" customHeight="1" x14ac:dyDescent="0.2">
      <c r="A249" s="13" t="s">
        <v>9656</v>
      </c>
      <c r="B249" s="13" t="s">
        <v>9657</v>
      </c>
      <c r="C249" s="13">
        <v>2008</v>
      </c>
      <c r="D249" s="13" t="s">
        <v>413</v>
      </c>
      <c r="E249" s="13" t="s">
        <v>531</v>
      </c>
      <c r="F249" s="13">
        <v>5.6929999999999996</v>
      </c>
      <c r="G249" s="13" t="s">
        <v>46</v>
      </c>
      <c r="H249" s="13" t="s">
        <v>9658</v>
      </c>
      <c r="I249" s="13" t="s">
        <v>9659</v>
      </c>
      <c r="J249" s="9" t="s">
        <v>9660</v>
      </c>
      <c r="K249" s="13">
        <v>496</v>
      </c>
    </row>
    <row r="250" spans="1:11" ht="15" customHeight="1" x14ac:dyDescent="0.2">
      <c r="A250" s="13" t="s">
        <v>9661</v>
      </c>
      <c r="B250" s="13" t="s">
        <v>9662</v>
      </c>
      <c r="C250" s="13">
        <v>2006</v>
      </c>
      <c r="D250" s="13" t="s">
        <v>49</v>
      </c>
      <c r="E250" s="13" t="s">
        <v>49</v>
      </c>
      <c r="F250" s="13"/>
      <c r="G250" s="13"/>
      <c r="H250" s="13" t="s">
        <v>9663</v>
      </c>
      <c r="I250" s="13" t="s">
        <v>49</v>
      </c>
      <c r="J250" s="9" t="s">
        <v>9664</v>
      </c>
      <c r="K250" s="13"/>
    </row>
    <row r="251" spans="1:11" ht="15" customHeight="1" x14ac:dyDescent="0.2">
      <c r="A251" s="15" t="s">
        <v>9665</v>
      </c>
      <c r="B251" s="15" t="s">
        <v>9666</v>
      </c>
      <c r="C251" s="15">
        <v>1987</v>
      </c>
      <c r="D251" s="15" t="s">
        <v>781</v>
      </c>
      <c r="E251" s="15" t="s">
        <v>531</v>
      </c>
      <c r="F251" s="15">
        <v>5.79</v>
      </c>
      <c r="G251" s="15" t="s">
        <v>46</v>
      </c>
      <c r="H251" s="15" t="s">
        <v>9667</v>
      </c>
      <c r="I251" s="15" t="s">
        <v>9668</v>
      </c>
      <c r="J251" s="10" t="s">
        <v>9669</v>
      </c>
      <c r="K251" s="15">
        <v>62</v>
      </c>
    </row>
    <row r="252" spans="1:11" ht="15" customHeight="1" x14ac:dyDescent="0.2">
      <c r="A252" s="13" t="s">
        <v>2547</v>
      </c>
      <c r="B252" s="13" t="s">
        <v>9670</v>
      </c>
      <c r="C252" s="13">
        <v>2018</v>
      </c>
      <c r="D252" s="13" t="s">
        <v>413</v>
      </c>
      <c r="E252" s="13" t="s">
        <v>9671</v>
      </c>
      <c r="F252" s="13">
        <v>5.77</v>
      </c>
      <c r="G252" s="13" t="s">
        <v>46</v>
      </c>
      <c r="H252" s="13" t="s">
        <v>9672</v>
      </c>
      <c r="I252" s="13" t="s">
        <v>9673</v>
      </c>
      <c r="J252" s="9"/>
      <c r="K252" s="13">
        <v>63</v>
      </c>
    </row>
    <row r="253" spans="1:11" ht="15" customHeight="1" x14ac:dyDescent="0.2">
      <c r="A253" s="13" t="s">
        <v>9674</v>
      </c>
      <c r="B253" s="13" t="s">
        <v>9675</v>
      </c>
      <c r="C253" s="13">
        <v>2017</v>
      </c>
      <c r="D253" s="13" t="s">
        <v>413</v>
      </c>
      <c r="E253" s="13" t="s">
        <v>9676</v>
      </c>
      <c r="F253" s="13">
        <v>7.3</v>
      </c>
      <c r="G253" s="13" t="s">
        <v>18</v>
      </c>
      <c r="H253" s="13" t="s">
        <v>9677</v>
      </c>
      <c r="I253" s="13" t="s">
        <v>9678</v>
      </c>
      <c r="J253" s="9" t="s">
        <v>9679</v>
      </c>
      <c r="K253" s="13">
        <v>240</v>
      </c>
    </row>
    <row r="254" spans="1:11" ht="15" customHeight="1" x14ac:dyDescent="0.2">
      <c r="A254" s="13" t="s">
        <v>9680</v>
      </c>
      <c r="B254" s="13" t="s">
        <v>9680</v>
      </c>
      <c r="C254" s="13">
        <v>2016</v>
      </c>
      <c r="D254" s="13" t="s">
        <v>577</v>
      </c>
      <c r="E254" s="13" t="s">
        <v>2470</v>
      </c>
      <c r="F254" s="13">
        <v>7.024</v>
      </c>
      <c r="G254" s="13" t="s">
        <v>18</v>
      </c>
      <c r="H254" s="13" t="s">
        <v>9681</v>
      </c>
      <c r="I254" s="13" t="s">
        <v>9682</v>
      </c>
      <c r="J254" s="9" t="s">
        <v>9683</v>
      </c>
      <c r="K254" s="13">
        <v>124</v>
      </c>
    </row>
    <row r="255" spans="1:11" ht="15" customHeight="1" x14ac:dyDescent="0.2">
      <c r="A255" s="13" t="s">
        <v>9684</v>
      </c>
      <c r="B255" s="13" t="s">
        <v>9685</v>
      </c>
      <c r="C255" s="13">
        <v>2022</v>
      </c>
      <c r="D255" s="13" t="s">
        <v>413</v>
      </c>
      <c r="E255" s="13" t="s">
        <v>531</v>
      </c>
      <c r="F255" s="13">
        <v>6.6</v>
      </c>
      <c r="G255" s="13" t="s">
        <v>18</v>
      </c>
      <c r="H255" s="13" t="s">
        <v>9686</v>
      </c>
      <c r="I255" s="13" t="s">
        <v>9687</v>
      </c>
      <c r="J255" s="9" t="s">
        <v>9688</v>
      </c>
      <c r="K255" s="13">
        <v>436</v>
      </c>
    </row>
    <row r="256" spans="1:11" ht="15" customHeight="1" x14ac:dyDescent="0.2">
      <c r="A256" s="13" t="s">
        <v>9689</v>
      </c>
      <c r="B256" s="13" t="s">
        <v>9689</v>
      </c>
      <c r="C256" s="13">
        <v>2011</v>
      </c>
      <c r="D256" s="13" t="s">
        <v>9690</v>
      </c>
      <c r="E256" s="13" t="s">
        <v>9691</v>
      </c>
      <c r="F256" s="13"/>
      <c r="G256" s="13"/>
      <c r="H256" s="13" t="s">
        <v>9692</v>
      </c>
      <c r="I256" s="13" t="s">
        <v>9693</v>
      </c>
      <c r="J256" s="9" t="s">
        <v>9694</v>
      </c>
      <c r="K256" s="13"/>
    </row>
    <row r="257" spans="1:11" ht="15" customHeight="1" x14ac:dyDescent="0.2">
      <c r="A257" s="13" t="s">
        <v>9695</v>
      </c>
      <c r="B257" s="13" t="s">
        <v>9695</v>
      </c>
      <c r="C257" s="13">
        <v>2023</v>
      </c>
      <c r="D257" s="13" t="s">
        <v>413</v>
      </c>
      <c r="E257" s="13" t="s">
        <v>566</v>
      </c>
      <c r="F257" s="13">
        <v>6.4109999999999996</v>
      </c>
      <c r="G257" s="13" t="s">
        <v>46</v>
      </c>
      <c r="H257" s="13" t="s">
        <v>9696</v>
      </c>
      <c r="I257" s="13" t="s">
        <v>9697</v>
      </c>
      <c r="J257" s="9" t="s">
        <v>9698</v>
      </c>
      <c r="K257" s="13">
        <v>539</v>
      </c>
    </row>
    <row r="258" spans="1:11" ht="15" customHeight="1" x14ac:dyDescent="0.2">
      <c r="A258" s="13" t="s">
        <v>9699</v>
      </c>
      <c r="B258" s="13" t="s">
        <v>9699</v>
      </c>
      <c r="C258" s="13">
        <v>2005</v>
      </c>
      <c r="D258" s="13" t="s">
        <v>413</v>
      </c>
      <c r="E258" s="13" t="s">
        <v>531</v>
      </c>
      <c r="F258" s="13">
        <v>6.3970000000000002</v>
      </c>
      <c r="G258" s="13" t="s">
        <v>46</v>
      </c>
      <c r="H258" s="13" t="s">
        <v>9700</v>
      </c>
      <c r="I258" s="13" t="s">
        <v>9701</v>
      </c>
      <c r="J258" s="9" t="s">
        <v>9702</v>
      </c>
      <c r="K258" s="13">
        <v>2443</v>
      </c>
    </row>
    <row r="259" spans="1:11" ht="15" customHeight="1" x14ac:dyDescent="0.2">
      <c r="A259" s="13" t="s">
        <v>9703</v>
      </c>
      <c r="B259" s="13" t="s">
        <v>9703</v>
      </c>
      <c r="C259" s="13">
        <v>2024</v>
      </c>
      <c r="D259" s="13" t="s">
        <v>413</v>
      </c>
      <c r="E259" s="13" t="s">
        <v>259</v>
      </c>
      <c r="F259" s="13">
        <v>6.6680000000000001</v>
      </c>
      <c r="G259" s="13" t="s">
        <v>18</v>
      </c>
      <c r="H259" s="13" t="s">
        <v>9704</v>
      </c>
      <c r="I259" s="13" t="s">
        <v>9705</v>
      </c>
      <c r="J259" s="9" t="s">
        <v>9706</v>
      </c>
      <c r="K259" s="13">
        <v>182</v>
      </c>
    </row>
    <row r="260" spans="1:11" ht="15" customHeight="1" x14ac:dyDescent="0.2">
      <c r="A260" s="13" t="s">
        <v>9707</v>
      </c>
      <c r="B260" s="13" t="s">
        <v>9708</v>
      </c>
      <c r="C260" s="13">
        <v>2013</v>
      </c>
      <c r="D260" s="13" t="s">
        <v>478</v>
      </c>
      <c r="E260" s="13" t="s">
        <v>531</v>
      </c>
      <c r="F260" s="13">
        <v>6.18</v>
      </c>
      <c r="G260" s="13" t="s">
        <v>46</v>
      </c>
      <c r="H260" s="13" t="s">
        <v>9709</v>
      </c>
      <c r="I260" s="13" t="s">
        <v>9710</v>
      </c>
      <c r="J260" s="9" t="s">
        <v>9711</v>
      </c>
      <c r="K260" s="13">
        <v>1804</v>
      </c>
    </row>
    <row r="261" spans="1:11" ht="15" customHeight="1" x14ac:dyDescent="0.2">
      <c r="A261" s="15" t="s">
        <v>9712</v>
      </c>
      <c r="B261" s="15" t="s">
        <v>9713</v>
      </c>
      <c r="C261" s="15">
        <v>2018</v>
      </c>
      <c r="D261" s="15" t="s">
        <v>478</v>
      </c>
      <c r="E261" s="15" t="s">
        <v>484</v>
      </c>
      <c r="F261" s="15">
        <v>5.2130000000000001</v>
      </c>
      <c r="G261" s="15" t="s">
        <v>28</v>
      </c>
      <c r="H261" s="15" t="s">
        <v>9714</v>
      </c>
      <c r="I261" s="15" t="s">
        <v>9715</v>
      </c>
      <c r="J261" s="10" t="s">
        <v>9716</v>
      </c>
      <c r="K261" s="15">
        <v>298</v>
      </c>
    </row>
    <row r="262" spans="1:11" ht="15" customHeight="1" x14ac:dyDescent="0.2">
      <c r="A262" s="13" t="s">
        <v>9717</v>
      </c>
      <c r="B262" s="13" t="s">
        <v>9718</v>
      </c>
      <c r="C262" s="13">
        <v>1992</v>
      </c>
      <c r="D262" s="13" t="s">
        <v>413</v>
      </c>
      <c r="E262" s="13" t="s">
        <v>531</v>
      </c>
      <c r="F262" s="13">
        <v>8.1180000000000003</v>
      </c>
      <c r="G262" s="13" t="s">
        <v>77</v>
      </c>
      <c r="H262" s="13" t="s">
        <v>9719</v>
      </c>
      <c r="I262" s="13" t="s">
        <v>9720</v>
      </c>
      <c r="J262" s="9" t="s">
        <v>9721</v>
      </c>
      <c r="K262" s="13">
        <v>15000</v>
      </c>
    </row>
    <row r="263" spans="1:11" ht="15" customHeight="1" x14ac:dyDescent="0.2">
      <c r="A263" s="13" t="s">
        <v>9722</v>
      </c>
      <c r="B263" s="13" t="s">
        <v>9722</v>
      </c>
      <c r="C263" s="13">
        <v>2022</v>
      </c>
      <c r="D263" s="13" t="s">
        <v>413</v>
      </c>
      <c r="E263" s="13" t="s">
        <v>2208</v>
      </c>
      <c r="F263" s="13">
        <v>5.9779999999999998</v>
      </c>
      <c r="G263" s="13" t="s">
        <v>46</v>
      </c>
      <c r="H263" s="13" t="s">
        <v>9723</v>
      </c>
      <c r="I263" s="13" t="s">
        <v>9724</v>
      </c>
      <c r="J263" s="9" t="s">
        <v>9725</v>
      </c>
      <c r="K263" s="13">
        <v>229</v>
      </c>
    </row>
    <row r="264" spans="1:11" ht="15" customHeight="1" x14ac:dyDescent="0.2">
      <c r="A264" s="13" t="s">
        <v>9726</v>
      </c>
      <c r="B264" s="13" t="s">
        <v>9726</v>
      </c>
      <c r="C264" s="13">
        <v>2015</v>
      </c>
      <c r="D264" s="13" t="s">
        <v>413</v>
      </c>
      <c r="E264" s="13" t="s">
        <v>1510</v>
      </c>
      <c r="F264" s="13">
        <v>6.1189999999999998</v>
      </c>
      <c r="G264" s="13" t="s">
        <v>46</v>
      </c>
      <c r="H264" s="13" t="s">
        <v>9727</v>
      </c>
      <c r="I264" s="13" t="s">
        <v>9728</v>
      </c>
      <c r="J264" s="9" t="s">
        <v>9729</v>
      </c>
      <c r="K264" s="13">
        <v>1240</v>
      </c>
    </row>
    <row r="265" spans="1:11" ht="15" customHeight="1" x14ac:dyDescent="0.2">
      <c r="A265" s="13" t="s">
        <v>9730</v>
      </c>
      <c r="B265" s="13" t="s">
        <v>9730</v>
      </c>
      <c r="C265" s="13">
        <v>2017</v>
      </c>
      <c r="D265" s="13" t="s">
        <v>8714</v>
      </c>
      <c r="E265" s="13" t="s">
        <v>9731</v>
      </c>
      <c r="F265" s="13">
        <v>6.125</v>
      </c>
      <c r="G265" s="13" t="s">
        <v>18</v>
      </c>
      <c r="H265" s="13" t="s">
        <v>9732</v>
      </c>
      <c r="I265" s="13" t="s">
        <v>9733</v>
      </c>
      <c r="J265" s="9" t="s">
        <v>9734</v>
      </c>
      <c r="K265" s="13">
        <v>184</v>
      </c>
    </row>
    <row r="266" spans="1:11" ht="15" customHeight="1" x14ac:dyDescent="0.2">
      <c r="A266" s="13" t="s">
        <v>9735</v>
      </c>
      <c r="B266" s="13" t="s">
        <v>9736</v>
      </c>
      <c r="C266" s="13">
        <v>1971</v>
      </c>
      <c r="D266" s="13" t="s">
        <v>619</v>
      </c>
      <c r="E266" s="13" t="s">
        <v>2470</v>
      </c>
      <c r="F266" s="13">
        <v>5.5629999999999997</v>
      </c>
      <c r="G266" s="13" t="s">
        <v>46</v>
      </c>
      <c r="H266" s="13" t="s">
        <v>9737</v>
      </c>
      <c r="I266" s="13" t="s">
        <v>9738</v>
      </c>
      <c r="J266" s="9"/>
      <c r="K266" s="13">
        <v>24</v>
      </c>
    </row>
    <row r="267" spans="1:11" ht="15" customHeight="1" x14ac:dyDescent="0.2">
      <c r="A267" s="13" t="s">
        <v>9739</v>
      </c>
      <c r="B267" s="13" t="s">
        <v>9739</v>
      </c>
      <c r="C267" s="13">
        <v>2021</v>
      </c>
      <c r="D267" s="13" t="s">
        <v>619</v>
      </c>
      <c r="E267" s="13" t="s">
        <v>890</v>
      </c>
      <c r="F267" s="13">
        <v>6.1029999999999998</v>
      </c>
      <c r="G267" s="13" t="s">
        <v>46</v>
      </c>
      <c r="H267" s="13" t="s">
        <v>9740</v>
      </c>
      <c r="I267" s="13" t="s">
        <v>9741</v>
      </c>
      <c r="J267" s="9" t="s">
        <v>9742</v>
      </c>
      <c r="K267" s="13">
        <v>165</v>
      </c>
    </row>
    <row r="268" spans="1:11" ht="15" customHeight="1" x14ac:dyDescent="0.2">
      <c r="A268" s="13" t="s">
        <v>9743</v>
      </c>
      <c r="B268" s="13" t="s">
        <v>9744</v>
      </c>
      <c r="C268" s="13">
        <v>1964</v>
      </c>
      <c r="D268" s="13" t="s">
        <v>3224</v>
      </c>
      <c r="E268" s="13" t="s">
        <v>49</v>
      </c>
      <c r="F268" s="13"/>
      <c r="G268" s="13"/>
      <c r="H268" s="13" t="s">
        <v>9745</v>
      </c>
      <c r="I268" s="13" t="s">
        <v>9746</v>
      </c>
      <c r="J268" s="9" t="s">
        <v>9747</v>
      </c>
      <c r="K268" s="13"/>
    </row>
    <row r="269" spans="1:11" ht="15" customHeight="1" x14ac:dyDescent="0.2">
      <c r="A269" s="13" t="s">
        <v>9748</v>
      </c>
      <c r="B269" s="13" t="s">
        <v>9748</v>
      </c>
      <c r="C269" s="13">
        <v>2023</v>
      </c>
      <c r="D269" s="13" t="s">
        <v>9749</v>
      </c>
      <c r="E269" s="13" t="s">
        <v>648</v>
      </c>
      <c r="F269" s="13">
        <v>6.306</v>
      </c>
      <c r="G269" s="13" t="s">
        <v>46</v>
      </c>
      <c r="H269" s="13" t="s">
        <v>9750</v>
      </c>
      <c r="I269" s="13" t="s">
        <v>9751</v>
      </c>
      <c r="J269" s="9" t="s">
        <v>9752</v>
      </c>
      <c r="K269" s="13">
        <v>72</v>
      </c>
    </row>
    <row r="270" spans="1:11" ht="15" customHeight="1" x14ac:dyDescent="0.2">
      <c r="A270" s="13" t="s">
        <v>2555</v>
      </c>
      <c r="B270" s="13" t="s">
        <v>2555</v>
      </c>
      <c r="C270" s="13">
        <v>2024</v>
      </c>
      <c r="D270" s="13" t="s">
        <v>413</v>
      </c>
      <c r="E270" s="13" t="s">
        <v>484</v>
      </c>
      <c r="F270" s="13">
        <v>6.9390000000000001</v>
      </c>
      <c r="G270" s="13" t="s">
        <v>18</v>
      </c>
      <c r="H270" s="13" t="s">
        <v>9753</v>
      </c>
      <c r="I270" s="13" t="s">
        <v>9754</v>
      </c>
      <c r="J270" s="9" t="s">
        <v>9755</v>
      </c>
      <c r="K270" s="13">
        <v>2788</v>
      </c>
    </row>
    <row r="271" spans="1:11" ht="15" customHeight="1" x14ac:dyDescent="0.2">
      <c r="A271" s="15" t="s">
        <v>9756</v>
      </c>
      <c r="B271" s="15" t="s">
        <v>9756</v>
      </c>
      <c r="C271" s="15">
        <v>2024</v>
      </c>
      <c r="D271" s="15" t="s">
        <v>9757</v>
      </c>
      <c r="E271" s="15" t="s">
        <v>9758</v>
      </c>
      <c r="F271" s="15">
        <v>5.9480000000000004</v>
      </c>
      <c r="G271" s="15" t="s">
        <v>46</v>
      </c>
      <c r="H271" s="15" t="s">
        <v>9759</v>
      </c>
      <c r="I271" s="15" t="s">
        <v>9760</v>
      </c>
      <c r="J271" s="10" t="s">
        <v>9761</v>
      </c>
      <c r="K271" s="15">
        <v>600</v>
      </c>
    </row>
    <row r="272" spans="1:11" ht="15" customHeight="1" x14ac:dyDescent="0.2">
      <c r="A272" s="13" t="s">
        <v>9762</v>
      </c>
      <c r="B272" s="13" t="s">
        <v>9763</v>
      </c>
      <c r="C272" s="13">
        <v>2019</v>
      </c>
      <c r="D272" s="13" t="s">
        <v>560</v>
      </c>
      <c r="E272" s="13" t="s">
        <v>5172</v>
      </c>
      <c r="F272" s="13">
        <v>6.9850000000000003</v>
      </c>
      <c r="G272" s="13" t="s">
        <v>18</v>
      </c>
      <c r="H272" s="13" t="s">
        <v>9764</v>
      </c>
      <c r="I272" s="13" t="s">
        <v>9765</v>
      </c>
      <c r="J272" s="9" t="s">
        <v>9766</v>
      </c>
      <c r="K272" s="13">
        <v>35</v>
      </c>
    </row>
    <row r="273" spans="1:11" ht="15" customHeight="1" x14ac:dyDescent="0.2">
      <c r="A273" s="13" t="s">
        <v>9767</v>
      </c>
      <c r="B273" s="13" t="s">
        <v>9768</v>
      </c>
      <c r="C273" s="13">
        <v>2000</v>
      </c>
      <c r="D273" s="13" t="s">
        <v>8218</v>
      </c>
      <c r="E273" s="13" t="s">
        <v>531</v>
      </c>
      <c r="F273" s="13">
        <v>6.7</v>
      </c>
      <c r="G273" s="13" t="s">
        <v>18</v>
      </c>
      <c r="H273" s="13" t="s">
        <v>9769</v>
      </c>
      <c r="I273" s="13" t="s">
        <v>9770</v>
      </c>
      <c r="J273" s="9" t="s">
        <v>9771</v>
      </c>
      <c r="K273" s="13">
        <v>255</v>
      </c>
    </row>
    <row r="274" spans="1:11" ht="15" customHeight="1" x14ac:dyDescent="0.2">
      <c r="A274" s="13" t="s">
        <v>9772</v>
      </c>
      <c r="B274" s="13" t="s">
        <v>9773</v>
      </c>
      <c r="C274" s="13">
        <v>2024</v>
      </c>
      <c r="D274" s="13" t="s">
        <v>2919</v>
      </c>
      <c r="E274" s="13" t="s">
        <v>1510</v>
      </c>
      <c r="F274" s="13">
        <v>5.9</v>
      </c>
      <c r="G274" s="13" t="s">
        <v>46</v>
      </c>
      <c r="H274" s="13" t="s">
        <v>9774</v>
      </c>
      <c r="I274" s="13" t="s">
        <v>9775</v>
      </c>
      <c r="J274" s="9" t="s">
        <v>9776</v>
      </c>
      <c r="K274" s="13">
        <v>60</v>
      </c>
    </row>
    <row r="275" spans="1:11" ht="15" customHeight="1" x14ac:dyDescent="0.2">
      <c r="A275" s="13" t="s">
        <v>9777</v>
      </c>
      <c r="B275" s="13" t="s">
        <v>9777</v>
      </c>
      <c r="C275" s="13">
        <v>1985</v>
      </c>
      <c r="D275" s="13" t="s">
        <v>413</v>
      </c>
      <c r="E275" s="13" t="s">
        <v>3084</v>
      </c>
      <c r="F275" s="13">
        <v>6.9640000000000004</v>
      </c>
      <c r="G275" s="13" t="s">
        <v>18</v>
      </c>
      <c r="H275" s="13" t="s">
        <v>9778</v>
      </c>
      <c r="I275" s="13" t="s">
        <v>9779</v>
      </c>
      <c r="J275" s="9" t="s">
        <v>9780</v>
      </c>
      <c r="K275" s="13">
        <v>620</v>
      </c>
    </row>
    <row r="276" spans="1:11" ht="15" customHeight="1" x14ac:dyDescent="0.2">
      <c r="A276" s="13" t="s">
        <v>9781</v>
      </c>
      <c r="B276" s="13" t="s">
        <v>8419</v>
      </c>
      <c r="C276" s="13">
        <v>2013</v>
      </c>
      <c r="D276" s="13" t="s">
        <v>413</v>
      </c>
      <c r="E276" s="13" t="s">
        <v>531</v>
      </c>
      <c r="F276" s="13">
        <v>7.2320000000000002</v>
      </c>
      <c r="G276" s="13" t="s">
        <v>18</v>
      </c>
      <c r="H276" s="13" t="s">
        <v>8421</v>
      </c>
      <c r="I276" s="13" t="s">
        <v>8422</v>
      </c>
      <c r="J276" s="9" t="s">
        <v>8423</v>
      </c>
      <c r="K276" s="13">
        <v>2380</v>
      </c>
    </row>
    <row r="277" spans="1:11" ht="15" customHeight="1" x14ac:dyDescent="0.2">
      <c r="A277" s="13" t="s">
        <v>9782</v>
      </c>
      <c r="B277" s="13" t="s">
        <v>9782</v>
      </c>
      <c r="C277" s="13">
        <v>2010</v>
      </c>
      <c r="D277" s="13" t="s">
        <v>413</v>
      </c>
      <c r="E277" s="13" t="s">
        <v>259</v>
      </c>
      <c r="F277" s="13">
        <v>6.4160000000000004</v>
      </c>
      <c r="G277" s="13" t="s">
        <v>46</v>
      </c>
      <c r="H277" s="13" t="s">
        <v>9783</v>
      </c>
      <c r="I277" s="13" t="s">
        <v>9784</v>
      </c>
      <c r="J277" s="9" t="s">
        <v>9785</v>
      </c>
      <c r="K277" s="13">
        <v>5755</v>
      </c>
    </row>
    <row r="278" spans="1:11" ht="15" customHeight="1" x14ac:dyDescent="0.2">
      <c r="A278" s="13" t="s">
        <v>9786</v>
      </c>
      <c r="B278" s="13" t="s">
        <v>9786</v>
      </c>
      <c r="C278" s="13">
        <v>2023</v>
      </c>
      <c r="D278" s="13" t="s">
        <v>781</v>
      </c>
      <c r="E278" s="13" t="s">
        <v>1510</v>
      </c>
      <c r="F278" s="13">
        <v>6.9640000000000004</v>
      </c>
      <c r="G278" s="13" t="s">
        <v>18</v>
      </c>
      <c r="H278" s="13" t="s">
        <v>9787</v>
      </c>
      <c r="I278" s="13" t="s">
        <v>9788</v>
      </c>
      <c r="J278" s="9" t="s">
        <v>9789</v>
      </c>
      <c r="K278" s="13">
        <v>2728</v>
      </c>
    </row>
    <row r="279" spans="1:11" ht="15" customHeight="1" x14ac:dyDescent="0.2">
      <c r="A279" s="13" t="s">
        <v>9790</v>
      </c>
      <c r="B279" s="13" t="s">
        <v>9790</v>
      </c>
      <c r="C279" s="13">
        <v>1936</v>
      </c>
      <c r="D279" s="13" t="s">
        <v>9791</v>
      </c>
      <c r="E279" s="13" t="s">
        <v>566</v>
      </c>
      <c r="F279" s="13">
        <v>5</v>
      </c>
      <c r="G279" s="13" t="s">
        <v>28</v>
      </c>
      <c r="H279" s="13" t="s">
        <v>9792</v>
      </c>
      <c r="I279" s="13" t="s">
        <v>9793</v>
      </c>
      <c r="J279" s="9"/>
      <c r="K279" s="13">
        <v>2</v>
      </c>
    </row>
    <row r="280" spans="1:11" ht="15" customHeight="1" x14ac:dyDescent="0.2">
      <c r="A280" s="13" t="s">
        <v>9794</v>
      </c>
      <c r="B280" s="13" t="s">
        <v>9795</v>
      </c>
      <c r="C280" s="13">
        <v>2023</v>
      </c>
      <c r="D280" s="13" t="s">
        <v>413</v>
      </c>
      <c r="E280" s="13" t="s">
        <v>890</v>
      </c>
      <c r="F280" s="13">
        <v>4.9550000000000001</v>
      </c>
      <c r="G280" s="13" t="s">
        <v>28</v>
      </c>
      <c r="H280" s="13" t="s">
        <v>9796</v>
      </c>
      <c r="I280" s="13" t="s">
        <v>9797</v>
      </c>
      <c r="J280" s="9" t="s">
        <v>9798</v>
      </c>
      <c r="K280" s="13">
        <v>67</v>
      </c>
    </row>
    <row r="281" spans="1:11" ht="15" customHeight="1" x14ac:dyDescent="0.2">
      <c r="A281" s="15" t="s">
        <v>9799</v>
      </c>
      <c r="B281" s="15" t="s">
        <v>9800</v>
      </c>
      <c r="C281" s="15">
        <v>1983</v>
      </c>
      <c r="D281" s="15" t="s">
        <v>413</v>
      </c>
      <c r="E281" s="15" t="s">
        <v>6333</v>
      </c>
      <c r="F281" s="15">
        <v>4.2</v>
      </c>
      <c r="G281" s="15" t="s">
        <v>86</v>
      </c>
      <c r="H281" s="15" t="s">
        <v>9801</v>
      </c>
      <c r="I281" s="15" t="s">
        <v>9802</v>
      </c>
      <c r="J281" s="10" t="s">
        <v>9803</v>
      </c>
      <c r="K281" s="15">
        <v>54</v>
      </c>
    </row>
    <row r="282" spans="1:11" ht="15" customHeight="1" x14ac:dyDescent="0.2">
      <c r="A282" s="13" t="s">
        <v>9804</v>
      </c>
      <c r="B282" s="13" t="s">
        <v>9800</v>
      </c>
      <c r="C282" s="13">
        <v>1983</v>
      </c>
      <c r="D282" s="13" t="s">
        <v>413</v>
      </c>
      <c r="E282" s="13" t="s">
        <v>6333</v>
      </c>
      <c r="F282" s="13">
        <v>4.2</v>
      </c>
      <c r="G282" s="13" t="s">
        <v>86</v>
      </c>
      <c r="H282" s="13" t="s">
        <v>9801</v>
      </c>
      <c r="I282" s="13" t="s">
        <v>9802</v>
      </c>
      <c r="J282" s="9" t="s">
        <v>9803</v>
      </c>
      <c r="K282" s="13">
        <v>54</v>
      </c>
    </row>
    <row r="283" spans="1:11" ht="15" customHeight="1" x14ac:dyDescent="0.2">
      <c r="A283" s="13" t="s">
        <v>9805</v>
      </c>
      <c r="B283" s="13" t="s">
        <v>9806</v>
      </c>
      <c r="C283" s="13">
        <v>2023</v>
      </c>
      <c r="D283" s="13" t="s">
        <v>880</v>
      </c>
      <c r="E283" s="13" t="s">
        <v>507</v>
      </c>
      <c r="F283" s="13">
        <v>5.8</v>
      </c>
      <c r="G283" s="13" t="s">
        <v>46</v>
      </c>
      <c r="H283" s="13" t="s">
        <v>9807</v>
      </c>
      <c r="I283" s="13" t="s">
        <v>9808</v>
      </c>
      <c r="J283" s="9" t="s">
        <v>9809</v>
      </c>
      <c r="K283" s="13">
        <v>14</v>
      </c>
    </row>
    <row r="284" spans="1:11" ht="15" customHeight="1" x14ac:dyDescent="0.2">
      <c r="A284" s="13" t="s">
        <v>9810</v>
      </c>
      <c r="B284" s="13" t="s">
        <v>9810</v>
      </c>
      <c r="C284" s="13">
        <v>2014</v>
      </c>
      <c r="D284" s="13" t="s">
        <v>483</v>
      </c>
      <c r="E284" s="13" t="s">
        <v>1510</v>
      </c>
      <c r="F284" s="13">
        <v>6.8</v>
      </c>
      <c r="G284" s="13" t="s">
        <v>18</v>
      </c>
      <c r="H284" s="13" t="s">
        <v>9811</v>
      </c>
      <c r="I284" s="13" t="s">
        <v>9812</v>
      </c>
      <c r="J284" s="9" t="s">
        <v>9813</v>
      </c>
      <c r="K284" s="13">
        <v>168</v>
      </c>
    </row>
    <row r="285" spans="1:11" ht="15" customHeight="1" x14ac:dyDescent="0.2">
      <c r="A285" s="13" t="s">
        <v>9814</v>
      </c>
      <c r="B285" s="13" t="s">
        <v>9814</v>
      </c>
      <c r="C285" s="13">
        <v>2018</v>
      </c>
      <c r="D285" s="13" t="s">
        <v>9815</v>
      </c>
      <c r="E285" s="13" t="s">
        <v>2374</v>
      </c>
      <c r="F285" s="13">
        <v>7.57</v>
      </c>
      <c r="G285" s="13" t="s">
        <v>77</v>
      </c>
      <c r="H285" s="13" t="s">
        <v>9816</v>
      </c>
      <c r="I285" s="13" t="s">
        <v>9817</v>
      </c>
      <c r="J285" s="9" t="s">
        <v>9818</v>
      </c>
      <c r="K285" s="13">
        <v>4082</v>
      </c>
    </row>
    <row r="286" spans="1:11" ht="15" customHeight="1" x14ac:dyDescent="0.2">
      <c r="A286" s="13" t="s">
        <v>9819</v>
      </c>
      <c r="B286" s="13" t="s">
        <v>9819</v>
      </c>
      <c r="C286" s="13">
        <v>2021</v>
      </c>
      <c r="D286" s="13" t="s">
        <v>8286</v>
      </c>
      <c r="E286" s="13" t="s">
        <v>2208</v>
      </c>
      <c r="F286" s="13">
        <v>6</v>
      </c>
      <c r="G286" s="13" t="s">
        <v>46</v>
      </c>
      <c r="H286" s="13" t="s">
        <v>9820</v>
      </c>
      <c r="I286" s="13" t="s">
        <v>9821</v>
      </c>
      <c r="J286" s="9" t="s">
        <v>9822</v>
      </c>
      <c r="K286" s="13">
        <v>233</v>
      </c>
    </row>
    <row r="287" spans="1:11" ht="15" customHeight="1" x14ac:dyDescent="0.2">
      <c r="A287" s="13" t="s">
        <v>9823</v>
      </c>
      <c r="B287" s="13" t="s">
        <v>9823</v>
      </c>
      <c r="C287" s="13">
        <v>2023</v>
      </c>
      <c r="D287" s="13" t="s">
        <v>413</v>
      </c>
      <c r="E287" s="13" t="s">
        <v>2470</v>
      </c>
      <c r="F287" s="13">
        <v>6.8689999999999998</v>
      </c>
      <c r="G287" s="13" t="s">
        <v>18</v>
      </c>
      <c r="H287" s="13" t="s">
        <v>9824</v>
      </c>
      <c r="I287" s="13" t="s">
        <v>9825</v>
      </c>
      <c r="J287" s="9" t="s">
        <v>9826</v>
      </c>
      <c r="K287" s="13">
        <v>636</v>
      </c>
    </row>
    <row r="288" spans="1:11" ht="15" customHeight="1" x14ac:dyDescent="0.2">
      <c r="A288" s="13" t="s">
        <v>9827</v>
      </c>
      <c r="B288" s="13" t="s">
        <v>6197</v>
      </c>
      <c r="C288" s="13">
        <v>2022</v>
      </c>
      <c r="D288" s="13" t="s">
        <v>9828</v>
      </c>
      <c r="E288" s="13" t="s">
        <v>531</v>
      </c>
      <c r="F288" s="13">
        <v>5.7549999999999999</v>
      </c>
      <c r="G288" s="13" t="s">
        <v>46</v>
      </c>
      <c r="H288" s="13" t="s">
        <v>9829</v>
      </c>
      <c r="I288" s="13" t="s">
        <v>9830</v>
      </c>
      <c r="J288" s="9" t="s">
        <v>9831</v>
      </c>
      <c r="K288" s="13">
        <v>190</v>
      </c>
    </row>
    <row r="289" spans="1:11" ht="15" customHeight="1" x14ac:dyDescent="0.2">
      <c r="A289" s="13" t="s">
        <v>9832</v>
      </c>
      <c r="B289" s="13" t="s">
        <v>9832</v>
      </c>
      <c r="C289" s="13">
        <v>2016</v>
      </c>
      <c r="D289" s="13" t="s">
        <v>9833</v>
      </c>
      <c r="E289" s="13" t="s">
        <v>8642</v>
      </c>
      <c r="F289" s="13">
        <v>5.2969999999999997</v>
      </c>
      <c r="G289" s="13" t="s">
        <v>28</v>
      </c>
      <c r="H289" s="13" t="s">
        <v>9834</v>
      </c>
      <c r="I289" s="13" t="s">
        <v>9835</v>
      </c>
      <c r="J289" s="9" t="s">
        <v>9836</v>
      </c>
      <c r="K289" s="13">
        <v>717</v>
      </c>
    </row>
    <row r="290" spans="1:11" ht="15" customHeight="1" x14ac:dyDescent="0.2">
      <c r="A290" s="13" t="s">
        <v>9837</v>
      </c>
      <c r="B290" s="13" t="s">
        <v>9838</v>
      </c>
      <c r="C290" s="13">
        <v>2018</v>
      </c>
      <c r="D290" s="13" t="s">
        <v>9839</v>
      </c>
      <c r="E290" s="13" t="s">
        <v>9301</v>
      </c>
      <c r="F290" s="13">
        <v>4.7240000000000002</v>
      </c>
      <c r="G290" s="13" t="s">
        <v>28</v>
      </c>
      <c r="H290" s="13" t="s">
        <v>9840</v>
      </c>
      <c r="I290" s="13" t="s">
        <v>9841</v>
      </c>
      <c r="J290" s="9" t="s">
        <v>9842</v>
      </c>
      <c r="K290" s="13">
        <v>598</v>
      </c>
    </row>
    <row r="291" spans="1:11" ht="15" customHeight="1" x14ac:dyDescent="0.2">
      <c r="A291" s="15" t="s">
        <v>9843</v>
      </c>
      <c r="B291" s="15" t="s">
        <v>9844</v>
      </c>
      <c r="C291" s="15">
        <v>2013</v>
      </c>
      <c r="D291" s="15" t="s">
        <v>413</v>
      </c>
      <c r="E291" s="15" t="s">
        <v>531</v>
      </c>
      <c r="F291" s="15">
        <v>6.609</v>
      </c>
      <c r="G291" s="15" t="s">
        <v>18</v>
      </c>
      <c r="H291" s="15" t="s">
        <v>9845</v>
      </c>
      <c r="I291" s="15" t="s">
        <v>9846</v>
      </c>
      <c r="J291" s="10" t="s">
        <v>9847</v>
      </c>
      <c r="K291" s="15">
        <v>3221</v>
      </c>
    </row>
    <row r="292" spans="1:11" ht="15" customHeight="1" x14ac:dyDescent="0.2">
      <c r="A292" s="13" t="s">
        <v>9848</v>
      </c>
      <c r="B292" s="13" t="s">
        <v>9848</v>
      </c>
      <c r="C292" s="13">
        <v>1973</v>
      </c>
      <c r="D292" s="13" t="s">
        <v>413</v>
      </c>
      <c r="E292" s="13" t="s">
        <v>9849</v>
      </c>
      <c r="F292" s="13">
        <v>6.9</v>
      </c>
      <c r="G292" s="13" t="s">
        <v>18</v>
      </c>
      <c r="H292" s="13" t="s">
        <v>9850</v>
      </c>
      <c r="I292" s="13" t="s">
        <v>9851</v>
      </c>
      <c r="J292" s="9" t="s">
        <v>9852</v>
      </c>
      <c r="K292" s="13">
        <v>816</v>
      </c>
    </row>
    <row r="293" spans="1:11" ht="15" customHeight="1" x14ac:dyDescent="0.2">
      <c r="A293" s="13" t="s">
        <v>9853</v>
      </c>
      <c r="B293" s="13" t="s">
        <v>9853</v>
      </c>
      <c r="C293" s="13">
        <v>2024</v>
      </c>
      <c r="D293" s="13" t="s">
        <v>8632</v>
      </c>
      <c r="E293" s="13" t="s">
        <v>8760</v>
      </c>
      <c r="F293" s="13">
        <v>7</v>
      </c>
      <c r="G293" s="13" t="s">
        <v>18</v>
      </c>
      <c r="H293" s="13" t="s">
        <v>9854</v>
      </c>
      <c r="I293" s="13" t="s">
        <v>9855</v>
      </c>
      <c r="J293" s="9" t="s">
        <v>9856</v>
      </c>
      <c r="K293" s="13">
        <v>526</v>
      </c>
    </row>
    <row r="294" spans="1:11" ht="15" customHeight="1" x14ac:dyDescent="0.2">
      <c r="A294" s="13" t="s">
        <v>9857</v>
      </c>
      <c r="B294" s="13"/>
      <c r="C294" s="13">
        <v>2017</v>
      </c>
      <c r="D294" s="13"/>
      <c r="E294" s="13"/>
      <c r="F294" s="13"/>
      <c r="G294" s="13"/>
      <c r="H294" s="13"/>
      <c r="I294" s="13"/>
      <c r="J294" s="9"/>
      <c r="K294" s="13"/>
    </row>
    <row r="295" spans="1:11" ht="15" customHeight="1" x14ac:dyDescent="0.2">
      <c r="A295" s="13" t="s">
        <v>9858</v>
      </c>
      <c r="B295" s="13" t="s">
        <v>4799</v>
      </c>
      <c r="C295" s="13">
        <v>1996</v>
      </c>
      <c r="D295" s="13" t="s">
        <v>413</v>
      </c>
      <c r="E295" s="13" t="s">
        <v>531</v>
      </c>
      <c r="F295" s="13">
        <v>7.5350000000000001</v>
      </c>
      <c r="G295" s="13" t="s">
        <v>77</v>
      </c>
      <c r="H295" s="13" t="s">
        <v>4800</v>
      </c>
      <c r="I295" s="13" t="s">
        <v>9859</v>
      </c>
      <c r="J295" s="9" t="s">
        <v>4802</v>
      </c>
      <c r="K295" s="13">
        <v>832</v>
      </c>
    </row>
    <row r="296" spans="1:11" ht="15" customHeight="1" x14ac:dyDescent="0.2">
      <c r="A296" s="13" t="s">
        <v>9860</v>
      </c>
      <c r="B296" s="13" t="s">
        <v>9861</v>
      </c>
      <c r="C296" s="13">
        <v>1992</v>
      </c>
      <c r="D296" s="13" t="s">
        <v>413</v>
      </c>
      <c r="E296" s="13" t="s">
        <v>531</v>
      </c>
      <c r="F296" s="13">
        <v>6.9029999999999996</v>
      </c>
      <c r="G296" s="13" t="s">
        <v>18</v>
      </c>
      <c r="H296" s="13" t="s">
        <v>9862</v>
      </c>
      <c r="I296" s="13" t="s">
        <v>9863</v>
      </c>
      <c r="J296" s="9" t="s">
        <v>9864</v>
      </c>
      <c r="K296" s="13">
        <v>1005</v>
      </c>
    </row>
    <row r="297" spans="1:11" ht="15" customHeight="1" x14ac:dyDescent="0.2">
      <c r="A297" s="13" t="s">
        <v>9865</v>
      </c>
      <c r="B297" s="13" t="s">
        <v>9865</v>
      </c>
      <c r="C297" s="13">
        <v>2016</v>
      </c>
      <c r="D297" s="13" t="s">
        <v>530</v>
      </c>
      <c r="E297" s="13" t="s">
        <v>531</v>
      </c>
      <c r="F297" s="13"/>
      <c r="G297" s="13"/>
      <c r="H297" s="13" t="s">
        <v>9866</v>
      </c>
      <c r="I297" s="13" t="s">
        <v>9867</v>
      </c>
      <c r="J297" s="9"/>
      <c r="K297" s="13"/>
    </row>
    <row r="298" spans="1:11" ht="15" customHeight="1" x14ac:dyDescent="0.2">
      <c r="A298" s="13" t="s">
        <v>9868</v>
      </c>
      <c r="B298" s="13" t="s">
        <v>9869</v>
      </c>
      <c r="C298" s="13">
        <v>1996</v>
      </c>
      <c r="D298" s="13" t="s">
        <v>9278</v>
      </c>
      <c r="E298" s="13" t="s">
        <v>6333</v>
      </c>
      <c r="F298" s="13">
        <v>3.3330000000000002</v>
      </c>
      <c r="G298" s="13" t="s">
        <v>46</v>
      </c>
      <c r="H298" s="13" t="s">
        <v>9870</v>
      </c>
      <c r="I298" s="13" t="s">
        <v>9871</v>
      </c>
      <c r="J298" s="9" t="s">
        <v>9872</v>
      </c>
      <c r="K298" s="13">
        <v>6</v>
      </c>
    </row>
    <row r="299" spans="1:11" ht="15" customHeight="1" x14ac:dyDescent="0.2">
      <c r="A299" s="13" t="s">
        <v>9873</v>
      </c>
      <c r="B299" s="13" t="s">
        <v>9874</v>
      </c>
      <c r="C299" s="13">
        <v>2009</v>
      </c>
      <c r="D299" s="13" t="s">
        <v>619</v>
      </c>
      <c r="E299" s="13" t="s">
        <v>1227</v>
      </c>
      <c r="F299" s="13">
        <v>6.4539999999999997</v>
      </c>
      <c r="G299" s="13" t="s">
        <v>46</v>
      </c>
      <c r="H299" s="13" t="s">
        <v>9875</v>
      </c>
      <c r="I299" s="13" t="s">
        <v>9876</v>
      </c>
      <c r="J299" s="9" t="s">
        <v>9877</v>
      </c>
      <c r="K299" s="13">
        <v>571</v>
      </c>
    </row>
    <row r="300" spans="1:11" ht="15" customHeight="1" x14ac:dyDescent="0.2">
      <c r="A300" s="13" t="s">
        <v>765</v>
      </c>
      <c r="B300" s="13" t="s">
        <v>766</v>
      </c>
      <c r="C300" s="13">
        <v>2001</v>
      </c>
      <c r="D300" s="13" t="s">
        <v>767</v>
      </c>
      <c r="E300" s="13" t="s">
        <v>531</v>
      </c>
      <c r="F300" s="13">
        <v>6.9119999999999999</v>
      </c>
      <c r="G300" s="13" t="s">
        <v>18</v>
      </c>
      <c r="H300" s="13" t="s">
        <v>768</v>
      </c>
      <c r="I300" s="13" t="s">
        <v>769</v>
      </c>
      <c r="J300" s="9" t="s">
        <v>770</v>
      </c>
      <c r="K300" s="13">
        <v>2255</v>
      </c>
    </row>
    <row r="301" spans="1:11" ht="15" customHeight="1" x14ac:dyDescent="0.2">
      <c r="A301" s="15" t="s">
        <v>9878</v>
      </c>
      <c r="B301" s="15" t="s">
        <v>9353</v>
      </c>
      <c r="C301" s="15">
        <v>2025</v>
      </c>
      <c r="D301" s="15" t="s">
        <v>413</v>
      </c>
      <c r="E301" s="15" t="s">
        <v>531</v>
      </c>
      <c r="F301" s="15">
        <v>5.9119999999999999</v>
      </c>
      <c r="G301" s="15" t="s">
        <v>46</v>
      </c>
      <c r="H301" s="15" t="s">
        <v>9879</v>
      </c>
      <c r="I301" s="15" t="s">
        <v>9880</v>
      </c>
      <c r="J301" s="10" t="s">
        <v>9881</v>
      </c>
      <c r="K301" s="15">
        <v>57</v>
      </c>
    </row>
    <row r="302" spans="1:11" ht="15" customHeight="1" x14ac:dyDescent="0.2">
      <c r="A302" s="13" t="s">
        <v>9882</v>
      </c>
      <c r="B302" s="13" t="s">
        <v>9883</v>
      </c>
      <c r="C302" s="13">
        <v>2016</v>
      </c>
      <c r="D302" s="13" t="s">
        <v>8589</v>
      </c>
      <c r="E302" s="13" t="s">
        <v>531</v>
      </c>
      <c r="F302" s="13">
        <v>6.0460000000000003</v>
      </c>
      <c r="G302" s="13" t="s">
        <v>46</v>
      </c>
      <c r="H302" s="13" t="s">
        <v>9884</v>
      </c>
      <c r="I302" s="13" t="s">
        <v>9885</v>
      </c>
      <c r="J302" s="9" t="s">
        <v>9886</v>
      </c>
      <c r="K302" s="13">
        <v>329</v>
      </c>
    </row>
    <row r="303" spans="1:11" ht="15" customHeight="1" x14ac:dyDescent="0.2">
      <c r="A303" s="13" t="s">
        <v>9887</v>
      </c>
      <c r="B303" s="13" t="s">
        <v>9887</v>
      </c>
      <c r="C303" s="13">
        <v>2005</v>
      </c>
      <c r="D303" s="13" t="s">
        <v>413</v>
      </c>
      <c r="E303" s="13" t="s">
        <v>2374</v>
      </c>
      <c r="F303" s="13">
        <v>6.5880000000000001</v>
      </c>
      <c r="G303" s="13" t="s">
        <v>18</v>
      </c>
      <c r="H303" s="13" t="s">
        <v>9888</v>
      </c>
      <c r="I303" s="13" t="s">
        <v>9889</v>
      </c>
      <c r="J303" s="9" t="s">
        <v>9890</v>
      </c>
      <c r="K303" s="13">
        <v>1448</v>
      </c>
    </row>
    <row r="304" spans="1:11" ht="15" customHeight="1" x14ac:dyDescent="0.2">
      <c r="A304" s="13" t="s">
        <v>9891</v>
      </c>
      <c r="B304" s="13" t="s">
        <v>9891</v>
      </c>
      <c r="C304" s="13">
        <v>2013</v>
      </c>
      <c r="D304" s="13" t="s">
        <v>781</v>
      </c>
      <c r="E304" s="13" t="s">
        <v>1510</v>
      </c>
      <c r="F304" s="13">
        <v>6.6369999999999996</v>
      </c>
      <c r="G304" s="13" t="s">
        <v>18</v>
      </c>
      <c r="H304" s="13" t="s">
        <v>9892</v>
      </c>
      <c r="I304" s="13" t="s">
        <v>9893</v>
      </c>
      <c r="J304" s="9" t="s">
        <v>9894</v>
      </c>
      <c r="K304" s="13">
        <v>2346</v>
      </c>
    </row>
    <row r="305" spans="1:11" ht="15" customHeight="1" x14ac:dyDescent="0.2">
      <c r="A305" s="13" t="s">
        <v>9895</v>
      </c>
      <c r="B305" s="13" t="s">
        <v>9896</v>
      </c>
      <c r="C305" s="13">
        <v>1959</v>
      </c>
      <c r="D305" s="13" t="s">
        <v>9897</v>
      </c>
      <c r="E305" s="13" t="s">
        <v>1900</v>
      </c>
      <c r="F305" s="13">
        <v>3.9</v>
      </c>
      <c r="G305" s="13" t="s">
        <v>86</v>
      </c>
      <c r="H305" s="13" t="s">
        <v>9898</v>
      </c>
      <c r="I305" s="13" t="s">
        <v>9899</v>
      </c>
      <c r="J305" s="9" t="s">
        <v>9900</v>
      </c>
      <c r="K305" s="13">
        <v>7</v>
      </c>
    </row>
    <row r="306" spans="1:11" ht="15" customHeight="1" x14ac:dyDescent="0.2">
      <c r="A306" s="13" t="s">
        <v>9901</v>
      </c>
      <c r="B306" s="13" t="s">
        <v>9902</v>
      </c>
      <c r="C306" s="13">
        <v>2019</v>
      </c>
      <c r="D306" s="13" t="s">
        <v>9903</v>
      </c>
      <c r="E306" s="13" t="s">
        <v>9904</v>
      </c>
      <c r="F306" s="13">
        <v>6.0739999999999998</v>
      </c>
      <c r="G306" s="13" t="s">
        <v>46</v>
      </c>
      <c r="H306" s="13" t="s">
        <v>9905</v>
      </c>
      <c r="I306" s="13" t="s">
        <v>9906</v>
      </c>
      <c r="J306" s="9" t="s">
        <v>9907</v>
      </c>
      <c r="K306" s="13">
        <v>94</v>
      </c>
    </row>
    <row r="307" spans="1:11" ht="15" customHeight="1" x14ac:dyDescent="0.2">
      <c r="A307" s="13" t="s">
        <v>9908</v>
      </c>
      <c r="B307" s="13" t="s">
        <v>9908</v>
      </c>
      <c r="C307" s="13">
        <v>2002</v>
      </c>
      <c r="D307" s="13" t="s">
        <v>483</v>
      </c>
      <c r="E307" s="13" t="s">
        <v>2470</v>
      </c>
      <c r="F307" s="13">
        <v>7.468</v>
      </c>
      <c r="G307" s="13" t="s">
        <v>18</v>
      </c>
      <c r="H307" s="13" t="s">
        <v>9909</v>
      </c>
      <c r="I307" s="13" t="s">
        <v>9910</v>
      </c>
      <c r="J307" s="9" t="s">
        <v>9911</v>
      </c>
      <c r="K307" s="13">
        <v>1569</v>
      </c>
    </row>
    <row r="308" spans="1:11" ht="15" customHeight="1" x14ac:dyDescent="0.2">
      <c r="A308" s="13" t="s">
        <v>9912</v>
      </c>
      <c r="B308" s="13" t="s">
        <v>9912</v>
      </c>
      <c r="C308" s="13">
        <v>2021</v>
      </c>
      <c r="D308" s="13" t="s">
        <v>413</v>
      </c>
      <c r="E308" s="13" t="s">
        <v>259</v>
      </c>
      <c r="F308" s="13">
        <v>5.9</v>
      </c>
      <c r="G308" s="13" t="s">
        <v>46</v>
      </c>
      <c r="H308" s="13" t="s">
        <v>9913</v>
      </c>
      <c r="I308" s="13" t="s">
        <v>9914</v>
      </c>
      <c r="J308" s="9" t="s">
        <v>9915</v>
      </c>
      <c r="K308" s="13">
        <v>68</v>
      </c>
    </row>
    <row r="309" spans="1:11" ht="15" customHeight="1" x14ac:dyDescent="0.2">
      <c r="A309" s="13" t="s">
        <v>9916</v>
      </c>
      <c r="B309" s="13" t="s">
        <v>9917</v>
      </c>
      <c r="C309" s="13">
        <v>2023</v>
      </c>
      <c r="D309" s="13" t="s">
        <v>619</v>
      </c>
      <c r="E309" s="13" t="s">
        <v>3345</v>
      </c>
      <c r="F309" s="13">
        <v>6.0830000000000002</v>
      </c>
      <c r="G309" s="13" t="s">
        <v>46</v>
      </c>
      <c r="H309" s="13" t="s">
        <v>9918</v>
      </c>
      <c r="I309" s="13" t="s">
        <v>9919</v>
      </c>
      <c r="J309" s="9" t="s">
        <v>9920</v>
      </c>
      <c r="K309" s="13">
        <v>54</v>
      </c>
    </row>
    <row r="310" spans="1:11" ht="15" customHeight="1" x14ac:dyDescent="0.2">
      <c r="A310" s="13" t="s">
        <v>9921</v>
      </c>
      <c r="B310" s="13" t="s">
        <v>9922</v>
      </c>
      <c r="C310" s="13">
        <v>2004</v>
      </c>
      <c r="D310" s="13" t="s">
        <v>413</v>
      </c>
      <c r="E310" s="13" t="s">
        <v>531</v>
      </c>
      <c r="F310" s="13">
        <v>6.4</v>
      </c>
      <c r="G310" s="13" t="s">
        <v>46</v>
      </c>
      <c r="H310" s="13" t="s">
        <v>9923</v>
      </c>
      <c r="I310" s="13" t="s">
        <v>9924</v>
      </c>
      <c r="J310" s="9" t="s">
        <v>9925</v>
      </c>
      <c r="K310" s="13">
        <v>1691</v>
      </c>
    </row>
    <row r="311" spans="1:11" ht="15" customHeight="1" x14ac:dyDescent="0.2">
      <c r="A311" s="15" t="s">
        <v>9926</v>
      </c>
      <c r="B311" s="15" t="s">
        <v>9926</v>
      </c>
      <c r="C311" s="15">
        <v>2016</v>
      </c>
      <c r="D311" s="15" t="s">
        <v>413</v>
      </c>
      <c r="E311" s="15" t="s">
        <v>456</v>
      </c>
      <c r="F311" s="15">
        <v>7.1310000000000002</v>
      </c>
      <c r="G311" s="15" t="s">
        <v>18</v>
      </c>
      <c r="H311" s="15" t="s">
        <v>9927</v>
      </c>
      <c r="I311" s="15" t="s">
        <v>9928</v>
      </c>
      <c r="J311" s="10" t="s">
        <v>9929</v>
      </c>
      <c r="K311" s="15">
        <v>7082</v>
      </c>
    </row>
    <row r="312" spans="1:11" ht="15" customHeight="1" x14ac:dyDescent="0.2">
      <c r="A312" s="13" t="s">
        <v>9930</v>
      </c>
      <c r="B312" s="13" t="s">
        <v>9930</v>
      </c>
      <c r="C312" s="13">
        <v>2025</v>
      </c>
      <c r="D312" s="13" t="s">
        <v>413</v>
      </c>
      <c r="E312" s="13" t="s">
        <v>456</v>
      </c>
      <c r="F312" s="13">
        <v>7.1219999999999999</v>
      </c>
      <c r="G312" s="13" t="s">
        <v>18</v>
      </c>
      <c r="H312" s="13" t="s">
        <v>9931</v>
      </c>
      <c r="I312" s="13" t="s">
        <v>9932</v>
      </c>
      <c r="J312" s="9" t="s">
        <v>9933</v>
      </c>
      <c r="K312" s="13">
        <v>1509</v>
      </c>
    </row>
    <row r="313" spans="1:11" ht="15" customHeight="1" x14ac:dyDescent="0.2">
      <c r="A313" s="13" t="s">
        <v>9934</v>
      </c>
      <c r="B313" s="13" t="s">
        <v>9935</v>
      </c>
      <c r="C313" s="13">
        <v>2022</v>
      </c>
      <c r="D313" s="13" t="s">
        <v>483</v>
      </c>
      <c r="E313" s="13" t="s">
        <v>531</v>
      </c>
      <c r="F313" s="13">
        <v>5.9119999999999999</v>
      </c>
      <c r="G313" s="13" t="s">
        <v>46</v>
      </c>
      <c r="H313" s="13" t="s">
        <v>9936</v>
      </c>
      <c r="I313" s="13" t="s">
        <v>9937</v>
      </c>
      <c r="J313" s="9" t="s">
        <v>9938</v>
      </c>
      <c r="K313" s="13">
        <v>34</v>
      </c>
    </row>
    <row r="314" spans="1:11" ht="15" customHeight="1" x14ac:dyDescent="0.2">
      <c r="A314" s="13" t="s">
        <v>9939</v>
      </c>
      <c r="B314" s="13" t="s">
        <v>9939</v>
      </c>
      <c r="C314" s="13">
        <v>2001</v>
      </c>
      <c r="D314" s="13" t="s">
        <v>500</v>
      </c>
      <c r="E314" s="13" t="s">
        <v>9940</v>
      </c>
      <c r="F314" s="13">
        <v>5.6</v>
      </c>
      <c r="G314" s="13" t="s">
        <v>46</v>
      </c>
      <c r="H314" s="13" t="s">
        <v>9941</v>
      </c>
      <c r="I314" s="13" t="s">
        <v>9942</v>
      </c>
      <c r="J314" s="9" t="s">
        <v>9943</v>
      </c>
      <c r="K314" s="13">
        <v>40</v>
      </c>
    </row>
    <row r="315" spans="1:11" ht="15" customHeight="1" x14ac:dyDescent="0.2">
      <c r="A315" s="13" t="s">
        <v>9944</v>
      </c>
      <c r="B315" s="13" t="s">
        <v>9945</v>
      </c>
      <c r="C315" s="13">
        <v>2012</v>
      </c>
      <c r="D315" s="13" t="s">
        <v>933</v>
      </c>
      <c r="E315" s="13" t="s">
        <v>531</v>
      </c>
      <c r="F315" s="13">
        <v>7.5209999999999999</v>
      </c>
      <c r="G315" s="13" t="s">
        <v>77</v>
      </c>
      <c r="H315" s="13" t="s">
        <v>9946</v>
      </c>
      <c r="I315" s="13" t="s">
        <v>9947</v>
      </c>
      <c r="J315" s="9" t="s">
        <v>9948</v>
      </c>
      <c r="K315" s="13">
        <v>1361</v>
      </c>
    </row>
    <row r="316" spans="1:11" ht="15" customHeight="1" x14ac:dyDescent="0.2">
      <c r="A316" s="13" t="s">
        <v>9949</v>
      </c>
      <c r="B316" s="13" t="s">
        <v>9950</v>
      </c>
      <c r="C316" s="13">
        <v>2021</v>
      </c>
      <c r="D316" s="13" t="s">
        <v>413</v>
      </c>
      <c r="E316" s="13" t="s">
        <v>531</v>
      </c>
      <c r="F316" s="13">
        <v>5.5650000000000004</v>
      </c>
      <c r="G316" s="13" t="s">
        <v>46</v>
      </c>
      <c r="H316" s="13" t="s">
        <v>9951</v>
      </c>
      <c r="I316" s="13" t="s">
        <v>9952</v>
      </c>
      <c r="J316" s="9" t="s">
        <v>9953</v>
      </c>
      <c r="K316" s="13">
        <v>92</v>
      </c>
    </row>
    <row r="317" spans="1:11" ht="15" customHeight="1" x14ac:dyDescent="0.2">
      <c r="A317" s="13" t="s">
        <v>9954</v>
      </c>
      <c r="B317" s="13" t="s">
        <v>9955</v>
      </c>
      <c r="C317" s="13">
        <v>2014</v>
      </c>
      <c r="D317" s="13" t="s">
        <v>8286</v>
      </c>
      <c r="E317" s="13" t="s">
        <v>2118</v>
      </c>
      <c r="F317" s="13">
        <v>5.83</v>
      </c>
      <c r="G317" s="13" t="s">
        <v>46</v>
      </c>
      <c r="H317" s="13" t="s">
        <v>9956</v>
      </c>
      <c r="I317" s="13" t="s">
        <v>9957</v>
      </c>
      <c r="J317" s="9" t="s">
        <v>9958</v>
      </c>
      <c r="K317" s="13">
        <v>1138</v>
      </c>
    </row>
    <row r="318" spans="1:11" ht="15" customHeight="1" x14ac:dyDescent="0.2">
      <c r="A318" s="13" t="s">
        <v>9959</v>
      </c>
      <c r="B318" s="13" t="s">
        <v>9960</v>
      </c>
      <c r="C318" s="13">
        <v>2022</v>
      </c>
      <c r="D318" s="13" t="s">
        <v>9961</v>
      </c>
      <c r="E318" s="13" t="s">
        <v>531</v>
      </c>
      <c r="F318" s="13">
        <v>6.508</v>
      </c>
      <c r="G318" s="13" t="s">
        <v>18</v>
      </c>
      <c r="H318" s="13" t="s">
        <v>9962</v>
      </c>
      <c r="I318" s="13" t="s">
        <v>9963</v>
      </c>
      <c r="J318" s="9" t="s">
        <v>9964</v>
      </c>
      <c r="K318" s="13">
        <v>480</v>
      </c>
    </row>
    <row r="319" spans="1:11" ht="15" customHeight="1" x14ac:dyDescent="0.2">
      <c r="A319" s="13" t="s">
        <v>9965</v>
      </c>
      <c r="B319" s="13" t="s">
        <v>9966</v>
      </c>
      <c r="C319" s="13">
        <v>2019</v>
      </c>
      <c r="D319" s="13" t="s">
        <v>872</v>
      </c>
      <c r="E319" s="13" t="s">
        <v>531</v>
      </c>
      <c r="F319" s="13">
        <v>5.0999999999999996</v>
      </c>
      <c r="G319" s="13" t="s">
        <v>28</v>
      </c>
      <c r="H319" s="13" t="s">
        <v>9967</v>
      </c>
      <c r="I319" s="13" t="s">
        <v>9968</v>
      </c>
      <c r="J319" s="9" t="s">
        <v>9969</v>
      </c>
      <c r="K319" s="13">
        <v>30</v>
      </c>
    </row>
    <row r="320" spans="1:11" ht="15" customHeight="1" x14ac:dyDescent="0.2">
      <c r="A320" s="13" t="s">
        <v>9970</v>
      </c>
      <c r="B320" s="13" t="s">
        <v>9971</v>
      </c>
      <c r="C320" s="13">
        <v>2018</v>
      </c>
      <c r="D320" s="13" t="s">
        <v>9972</v>
      </c>
      <c r="E320" s="13" t="s">
        <v>9973</v>
      </c>
      <c r="F320" s="13">
        <v>6.3659999999999997</v>
      </c>
      <c r="G320" s="13" t="s">
        <v>46</v>
      </c>
      <c r="H320" s="13" t="s">
        <v>9974</v>
      </c>
      <c r="I320" s="13" t="s">
        <v>9975</v>
      </c>
      <c r="J320" s="9" t="s">
        <v>9976</v>
      </c>
      <c r="K320" s="13">
        <v>4526</v>
      </c>
    </row>
    <row r="321" spans="1:11" ht="15" customHeight="1" x14ac:dyDescent="0.2">
      <c r="A321" s="15" t="s">
        <v>9977</v>
      </c>
      <c r="B321" s="15" t="s">
        <v>9977</v>
      </c>
      <c r="C321" s="15">
        <v>2021</v>
      </c>
      <c r="D321" s="15" t="s">
        <v>8714</v>
      </c>
      <c r="E321" s="15" t="s">
        <v>8642</v>
      </c>
      <c r="F321" s="15">
        <v>6</v>
      </c>
      <c r="G321" s="15" t="s">
        <v>46</v>
      </c>
      <c r="H321" s="15" t="s">
        <v>9978</v>
      </c>
      <c r="I321" s="15" t="s">
        <v>9979</v>
      </c>
      <c r="J321" s="10" t="s">
        <v>9980</v>
      </c>
      <c r="K321" s="15">
        <v>1062</v>
      </c>
    </row>
    <row r="322" spans="1:11" ht="15" customHeight="1" x14ac:dyDescent="0.2">
      <c r="A322" s="13" t="s">
        <v>9981</v>
      </c>
      <c r="B322" s="13" t="s">
        <v>9982</v>
      </c>
      <c r="C322" s="13">
        <v>2011</v>
      </c>
      <c r="D322" s="13" t="s">
        <v>9983</v>
      </c>
      <c r="E322" s="13" t="s">
        <v>9984</v>
      </c>
      <c r="F322" s="13">
        <v>5.8109999999999999</v>
      </c>
      <c r="G322" s="13" t="s">
        <v>46</v>
      </c>
      <c r="H322" s="13" t="s">
        <v>9985</v>
      </c>
      <c r="I322" s="13" t="s">
        <v>9986</v>
      </c>
      <c r="J322" s="9" t="s">
        <v>9987</v>
      </c>
      <c r="K322" s="13">
        <v>692</v>
      </c>
    </row>
    <row r="323" spans="1:11" ht="15" customHeight="1" x14ac:dyDescent="0.2">
      <c r="A323" s="13" t="s">
        <v>9988</v>
      </c>
      <c r="B323" s="13" t="s">
        <v>9989</v>
      </c>
      <c r="C323" s="13">
        <v>2015</v>
      </c>
      <c r="D323" s="13" t="s">
        <v>9990</v>
      </c>
      <c r="E323" s="13" t="s">
        <v>531</v>
      </c>
      <c r="F323" s="13">
        <v>6.9939999999999998</v>
      </c>
      <c r="G323" s="13" t="s">
        <v>18</v>
      </c>
      <c r="H323" s="13" t="s">
        <v>9991</v>
      </c>
      <c r="I323" s="13" t="s">
        <v>9992</v>
      </c>
      <c r="J323" s="9" t="s">
        <v>9993</v>
      </c>
      <c r="K323" s="13">
        <v>1720</v>
      </c>
    </row>
    <row r="324" spans="1:11" ht="15" customHeight="1" x14ac:dyDescent="0.2">
      <c r="A324" s="13" t="s">
        <v>9994</v>
      </c>
      <c r="B324" s="13" t="s">
        <v>9995</v>
      </c>
      <c r="C324" s="13">
        <v>2021</v>
      </c>
      <c r="D324" s="13" t="s">
        <v>9996</v>
      </c>
      <c r="E324" s="13" t="s">
        <v>531</v>
      </c>
      <c r="F324" s="13">
        <v>6.8209999999999997</v>
      </c>
      <c r="G324" s="13" t="s">
        <v>18</v>
      </c>
      <c r="H324" s="13" t="s">
        <v>9997</v>
      </c>
      <c r="I324" s="13" t="s">
        <v>9998</v>
      </c>
      <c r="J324" s="9" t="s">
        <v>9999</v>
      </c>
      <c r="K324" s="13">
        <v>772</v>
      </c>
    </row>
    <row r="325" spans="1:11" ht="15" customHeight="1" x14ac:dyDescent="0.2">
      <c r="A325" s="13" t="s">
        <v>10000</v>
      </c>
      <c r="B325" s="13" t="s">
        <v>10001</v>
      </c>
      <c r="C325" s="13">
        <v>2008</v>
      </c>
      <c r="D325" s="13" t="s">
        <v>10002</v>
      </c>
      <c r="E325" s="13" t="s">
        <v>531</v>
      </c>
      <c r="F325" s="13">
        <v>6.2</v>
      </c>
      <c r="G325" s="13" t="s">
        <v>46</v>
      </c>
      <c r="H325" s="13" t="s">
        <v>10003</v>
      </c>
      <c r="I325" s="13" t="s">
        <v>10004</v>
      </c>
      <c r="J325" s="9" t="s">
        <v>10005</v>
      </c>
      <c r="K325" s="13">
        <v>258</v>
      </c>
    </row>
    <row r="326" spans="1:11" ht="15" customHeight="1" x14ac:dyDescent="0.2">
      <c r="A326" s="13" t="s">
        <v>10006</v>
      </c>
      <c r="B326" s="13" t="s">
        <v>10006</v>
      </c>
      <c r="C326" s="13">
        <v>2017</v>
      </c>
      <c r="D326" s="13" t="s">
        <v>10007</v>
      </c>
      <c r="E326" s="13" t="s">
        <v>507</v>
      </c>
      <c r="F326" s="13">
        <v>6.9710000000000001</v>
      </c>
      <c r="G326" s="13" t="s">
        <v>18</v>
      </c>
      <c r="H326" s="13" t="s">
        <v>10008</v>
      </c>
      <c r="I326" s="13" t="s">
        <v>10009</v>
      </c>
      <c r="J326" s="9" t="s">
        <v>10010</v>
      </c>
      <c r="K326" s="13">
        <v>2820</v>
      </c>
    </row>
    <row r="327" spans="1:11" ht="15" customHeight="1" x14ac:dyDescent="0.2">
      <c r="A327" s="13" t="s">
        <v>10011</v>
      </c>
      <c r="B327" s="13" t="s">
        <v>10011</v>
      </c>
      <c r="C327" s="13">
        <v>2021</v>
      </c>
      <c r="D327" s="13" t="s">
        <v>413</v>
      </c>
      <c r="E327" s="13" t="s">
        <v>8642</v>
      </c>
      <c r="F327" s="13">
        <v>5.3</v>
      </c>
      <c r="G327" s="13" t="s">
        <v>28</v>
      </c>
      <c r="H327" s="13" t="s">
        <v>10012</v>
      </c>
      <c r="I327" s="13" t="s">
        <v>10013</v>
      </c>
      <c r="J327" s="9" t="s">
        <v>10014</v>
      </c>
      <c r="K327" s="13">
        <v>62</v>
      </c>
    </row>
    <row r="328" spans="1:11" ht="15" customHeight="1" x14ac:dyDescent="0.2">
      <c r="A328" s="13" t="s">
        <v>10015</v>
      </c>
      <c r="B328" s="13" t="s">
        <v>10015</v>
      </c>
      <c r="C328" s="13">
        <v>2015</v>
      </c>
      <c r="D328" s="13" t="s">
        <v>10016</v>
      </c>
      <c r="E328" s="13" t="s">
        <v>2374</v>
      </c>
      <c r="F328" s="13">
        <v>6.6970000000000001</v>
      </c>
      <c r="G328" s="13" t="s">
        <v>18</v>
      </c>
      <c r="H328" s="13" t="s">
        <v>10017</v>
      </c>
      <c r="I328" s="13" t="s">
        <v>10018</v>
      </c>
      <c r="J328" s="9" t="s">
        <v>10019</v>
      </c>
      <c r="K328" s="13">
        <v>3385</v>
      </c>
    </row>
    <row r="329" spans="1:11" ht="15" customHeight="1" x14ac:dyDescent="0.2">
      <c r="A329" s="13" t="s">
        <v>10020</v>
      </c>
      <c r="B329" s="13" t="s">
        <v>10021</v>
      </c>
      <c r="C329" s="13">
        <v>2019</v>
      </c>
      <c r="D329" s="13" t="s">
        <v>781</v>
      </c>
      <c r="E329" s="13" t="s">
        <v>3345</v>
      </c>
      <c r="F329" s="13">
        <v>6.6829999999999998</v>
      </c>
      <c r="G329" s="13" t="s">
        <v>18</v>
      </c>
      <c r="H329" s="13" t="s">
        <v>10022</v>
      </c>
      <c r="I329" s="13" t="s">
        <v>10023</v>
      </c>
      <c r="J329" s="9" t="s">
        <v>10024</v>
      </c>
      <c r="K329" s="13">
        <v>1230</v>
      </c>
    </row>
    <row r="330" spans="1:11" ht="15" customHeight="1" x14ac:dyDescent="0.2">
      <c r="A330" s="13" t="s">
        <v>10025</v>
      </c>
      <c r="B330" s="13" t="s">
        <v>10025</v>
      </c>
      <c r="C330" s="13">
        <v>2022</v>
      </c>
      <c r="D330" s="13" t="s">
        <v>413</v>
      </c>
      <c r="E330" s="13" t="s">
        <v>750</v>
      </c>
      <c r="F330" s="13">
        <v>6.8760000000000003</v>
      </c>
      <c r="G330" s="13" t="s">
        <v>18</v>
      </c>
      <c r="H330" s="13" t="s">
        <v>10026</v>
      </c>
      <c r="I330" s="13" t="s">
        <v>10027</v>
      </c>
      <c r="J330" s="9" t="s">
        <v>10028</v>
      </c>
      <c r="K330" s="13">
        <v>1359</v>
      </c>
    </row>
    <row r="331" spans="1:11" ht="15" customHeight="1" x14ac:dyDescent="0.2">
      <c r="A331" s="15" t="s">
        <v>10029</v>
      </c>
      <c r="B331" s="15" t="s">
        <v>10029</v>
      </c>
      <c r="C331" s="15">
        <v>2022</v>
      </c>
      <c r="D331" s="15" t="s">
        <v>10030</v>
      </c>
      <c r="E331" s="15" t="s">
        <v>10031</v>
      </c>
      <c r="F331" s="15">
        <v>6.9219999999999997</v>
      </c>
      <c r="G331" s="15" t="s">
        <v>18</v>
      </c>
      <c r="H331" s="15" t="s">
        <v>10032</v>
      </c>
      <c r="I331" s="15" t="s">
        <v>10033</v>
      </c>
      <c r="J331" s="10" t="s">
        <v>10034</v>
      </c>
      <c r="K331" s="15">
        <v>4016</v>
      </c>
    </row>
    <row r="332" spans="1:11" ht="15" customHeight="1" x14ac:dyDescent="0.2">
      <c r="A332" s="13" t="s">
        <v>10035</v>
      </c>
      <c r="B332" s="13" t="s">
        <v>10035</v>
      </c>
      <c r="C332" s="13">
        <v>2004</v>
      </c>
      <c r="D332" s="13" t="s">
        <v>438</v>
      </c>
      <c r="E332" s="13" t="s">
        <v>5711</v>
      </c>
      <c r="F332" s="13">
        <v>5.9169999999999998</v>
      </c>
      <c r="G332" s="13" t="s">
        <v>46</v>
      </c>
      <c r="H332" s="13" t="s">
        <v>10036</v>
      </c>
      <c r="I332" s="13" t="s">
        <v>10037</v>
      </c>
      <c r="J332" s="9" t="s">
        <v>10038</v>
      </c>
      <c r="K332" s="13">
        <v>3089</v>
      </c>
    </row>
    <row r="333" spans="1:11" ht="15" customHeight="1" x14ac:dyDescent="0.2">
      <c r="A333" s="13" t="s">
        <v>10039</v>
      </c>
      <c r="B333" s="13" t="s">
        <v>10039</v>
      </c>
      <c r="C333" s="13">
        <v>2021</v>
      </c>
      <c r="D333" s="13" t="s">
        <v>413</v>
      </c>
      <c r="E333" s="13" t="s">
        <v>2470</v>
      </c>
      <c r="F333" s="13">
        <v>6.4290000000000003</v>
      </c>
      <c r="G333" s="13" t="s">
        <v>46</v>
      </c>
      <c r="H333" s="13" t="s">
        <v>10040</v>
      </c>
      <c r="I333" s="13" t="s">
        <v>10041</v>
      </c>
      <c r="J333" s="9" t="s">
        <v>10042</v>
      </c>
      <c r="K333" s="13">
        <v>2943</v>
      </c>
    </row>
    <row r="334" spans="1:11" ht="15" customHeight="1" x14ac:dyDescent="0.2">
      <c r="A334" s="13" t="s">
        <v>10039</v>
      </c>
      <c r="B334" s="13" t="s">
        <v>10039</v>
      </c>
      <c r="C334" s="13">
        <v>2021</v>
      </c>
      <c r="D334" s="13" t="s">
        <v>413</v>
      </c>
      <c r="E334" s="13" t="s">
        <v>2470</v>
      </c>
      <c r="F334" s="13">
        <v>6.4290000000000003</v>
      </c>
      <c r="G334" s="13" t="s">
        <v>46</v>
      </c>
      <c r="H334" s="13" t="s">
        <v>10040</v>
      </c>
      <c r="I334" s="13" t="s">
        <v>10041</v>
      </c>
      <c r="J334" s="9" t="s">
        <v>10042</v>
      </c>
      <c r="K334" s="13">
        <v>2943</v>
      </c>
    </row>
    <row r="335" spans="1:11" ht="15" customHeight="1" x14ac:dyDescent="0.2">
      <c r="A335" s="13" t="s">
        <v>10043</v>
      </c>
      <c r="B335" s="13" t="s">
        <v>10043</v>
      </c>
      <c r="C335" s="13">
        <v>2022</v>
      </c>
      <c r="D335" s="13" t="s">
        <v>5234</v>
      </c>
      <c r="E335" s="13" t="s">
        <v>890</v>
      </c>
      <c r="F335" s="13">
        <v>5.6</v>
      </c>
      <c r="G335" s="13" t="s">
        <v>46</v>
      </c>
      <c r="H335" s="13" t="s">
        <v>10044</v>
      </c>
      <c r="I335" s="13" t="s">
        <v>10045</v>
      </c>
      <c r="J335" s="9" t="s">
        <v>10046</v>
      </c>
      <c r="K335" s="13">
        <v>82</v>
      </c>
    </row>
    <row r="336" spans="1:11" ht="15" customHeight="1" x14ac:dyDescent="0.2">
      <c r="A336" s="13" t="s">
        <v>10047</v>
      </c>
      <c r="B336" s="13" t="s">
        <v>10047</v>
      </c>
      <c r="C336" s="13">
        <v>2018</v>
      </c>
      <c r="D336" s="13" t="s">
        <v>8547</v>
      </c>
      <c r="E336" s="13" t="s">
        <v>418</v>
      </c>
      <c r="F336" s="13">
        <v>5.8040000000000003</v>
      </c>
      <c r="G336" s="13" t="s">
        <v>46</v>
      </c>
      <c r="H336" s="13" t="s">
        <v>10048</v>
      </c>
      <c r="I336" s="13" t="s">
        <v>10049</v>
      </c>
      <c r="J336" s="9" t="s">
        <v>10050</v>
      </c>
      <c r="K336" s="13">
        <v>1051</v>
      </c>
    </row>
    <row r="337" spans="1:11" ht="15" customHeight="1" x14ac:dyDescent="0.2">
      <c r="A337" s="13" t="s">
        <v>10051</v>
      </c>
      <c r="B337" s="13" t="s">
        <v>10051</v>
      </c>
      <c r="C337" s="13">
        <v>2018</v>
      </c>
      <c r="D337" s="13" t="s">
        <v>413</v>
      </c>
      <c r="E337" s="13" t="s">
        <v>1900</v>
      </c>
      <c r="F337" s="13">
        <v>8.0890000000000004</v>
      </c>
      <c r="G337" s="13" t="s">
        <v>77</v>
      </c>
      <c r="H337" s="13" t="s">
        <v>10052</v>
      </c>
      <c r="I337" s="13" t="s">
        <v>10053</v>
      </c>
      <c r="J337" s="9" t="s">
        <v>10054</v>
      </c>
      <c r="K337" s="13">
        <v>2189</v>
      </c>
    </row>
    <row r="338" spans="1:11" ht="15" customHeight="1" x14ac:dyDescent="0.2">
      <c r="A338" s="13" t="s">
        <v>10055</v>
      </c>
      <c r="B338" s="13" t="s">
        <v>10056</v>
      </c>
      <c r="C338" s="13">
        <v>2012</v>
      </c>
      <c r="D338" s="13" t="s">
        <v>413</v>
      </c>
      <c r="E338" s="13" t="s">
        <v>2204</v>
      </c>
      <c r="F338" s="13">
        <v>3.9039999999999999</v>
      </c>
      <c r="G338" s="13" t="s">
        <v>86</v>
      </c>
      <c r="H338" s="13" t="s">
        <v>10057</v>
      </c>
      <c r="I338" s="13" t="s">
        <v>10058</v>
      </c>
      <c r="J338" s="9" t="s">
        <v>10059</v>
      </c>
      <c r="K338" s="13">
        <v>26</v>
      </c>
    </row>
    <row r="339" spans="1:11" ht="15" customHeight="1" x14ac:dyDescent="0.2">
      <c r="A339" s="13" t="s">
        <v>10060</v>
      </c>
      <c r="B339" s="13" t="s">
        <v>10061</v>
      </c>
      <c r="C339" s="13">
        <v>1980</v>
      </c>
      <c r="D339" s="13" t="s">
        <v>880</v>
      </c>
      <c r="E339" s="13" t="s">
        <v>8642</v>
      </c>
      <c r="F339" s="13">
        <v>5.4</v>
      </c>
      <c r="G339" s="13" t="s">
        <v>28</v>
      </c>
      <c r="H339" s="13" t="s">
        <v>10062</v>
      </c>
      <c r="I339" s="13" t="s">
        <v>10063</v>
      </c>
      <c r="J339" s="9" t="s">
        <v>10064</v>
      </c>
      <c r="K339" s="13">
        <v>86</v>
      </c>
    </row>
    <row r="340" spans="1:11" ht="15" customHeight="1" x14ac:dyDescent="0.2">
      <c r="A340" s="13" t="s">
        <v>10065</v>
      </c>
      <c r="B340" s="13" t="s">
        <v>10066</v>
      </c>
      <c r="C340" s="13">
        <v>2004</v>
      </c>
      <c r="D340" s="13" t="s">
        <v>781</v>
      </c>
      <c r="E340" s="13" t="s">
        <v>531</v>
      </c>
      <c r="F340" s="13">
        <v>5.9349999999999996</v>
      </c>
      <c r="G340" s="13" t="s">
        <v>46</v>
      </c>
      <c r="H340" s="13" t="s">
        <v>10067</v>
      </c>
      <c r="I340" s="13" t="s">
        <v>10068</v>
      </c>
      <c r="J340" s="9" t="s">
        <v>10069</v>
      </c>
      <c r="K340" s="13">
        <v>275</v>
      </c>
    </row>
    <row r="341" spans="1:11" ht="15" customHeight="1" x14ac:dyDescent="0.2">
      <c r="A341" s="15" t="s">
        <v>10070</v>
      </c>
      <c r="B341" s="15" t="s">
        <v>10070</v>
      </c>
      <c r="C341" s="15">
        <v>2012</v>
      </c>
      <c r="D341" s="15" t="s">
        <v>10071</v>
      </c>
      <c r="E341" s="15" t="s">
        <v>10072</v>
      </c>
      <c r="F341" s="15">
        <v>7.367</v>
      </c>
      <c r="G341" s="15" t="s">
        <v>18</v>
      </c>
      <c r="H341" s="15" t="s">
        <v>10073</v>
      </c>
      <c r="I341" s="15" t="s">
        <v>10074</v>
      </c>
      <c r="J341" s="10" t="s">
        <v>10075</v>
      </c>
      <c r="K341" s="15">
        <v>6531</v>
      </c>
    </row>
    <row r="342" spans="1:11" ht="15" customHeight="1" x14ac:dyDescent="0.2">
      <c r="A342" s="13" t="s">
        <v>10076</v>
      </c>
      <c r="B342" s="13" t="s">
        <v>10076</v>
      </c>
      <c r="C342" s="13">
        <v>2016</v>
      </c>
      <c r="D342" s="13" t="s">
        <v>781</v>
      </c>
      <c r="E342" s="13" t="s">
        <v>750</v>
      </c>
      <c r="F342" s="13">
        <v>6.6859999999999999</v>
      </c>
      <c r="G342" s="13" t="s">
        <v>18</v>
      </c>
      <c r="H342" s="13" t="s">
        <v>10077</v>
      </c>
      <c r="I342" s="13" t="s">
        <v>10078</v>
      </c>
      <c r="J342" s="9" t="s">
        <v>10079</v>
      </c>
      <c r="K342" s="13">
        <v>1750</v>
      </c>
    </row>
    <row r="343" spans="1:11" ht="15" customHeight="1" x14ac:dyDescent="0.2">
      <c r="A343" s="13" t="s">
        <v>4881</v>
      </c>
      <c r="B343" s="13" t="s">
        <v>4881</v>
      </c>
      <c r="C343" s="13">
        <v>2023</v>
      </c>
      <c r="D343" s="13" t="s">
        <v>781</v>
      </c>
      <c r="E343" s="13" t="s">
        <v>10080</v>
      </c>
      <c r="F343" s="13">
        <v>7.5259999999999998</v>
      </c>
      <c r="G343" s="13" t="s">
        <v>77</v>
      </c>
      <c r="H343" s="13" t="s">
        <v>4882</v>
      </c>
      <c r="I343" s="13" t="s">
        <v>4883</v>
      </c>
      <c r="J343" s="9" t="s">
        <v>4884</v>
      </c>
      <c r="K343" s="13">
        <v>1122</v>
      </c>
    </row>
    <row r="344" spans="1:11" ht="15" customHeight="1" x14ac:dyDescent="0.2">
      <c r="A344" s="13" t="s">
        <v>10081</v>
      </c>
      <c r="B344" s="13" t="s">
        <v>10081</v>
      </c>
      <c r="C344" s="13">
        <v>2005</v>
      </c>
      <c r="D344" s="13" t="s">
        <v>9320</v>
      </c>
      <c r="E344" s="13" t="s">
        <v>10082</v>
      </c>
      <c r="F344" s="13">
        <v>6.875</v>
      </c>
      <c r="G344" s="13" t="s">
        <v>18</v>
      </c>
      <c r="H344" s="13" t="s">
        <v>10083</v>
      </c>
      <c r="I344" s="13" t="s">
        <v>10084</v>
      </c>
      <c r="J344" s="9" t="s">
        <v>10085</v>
      </c>
      <c r="K344" s="13">
        <v>1608</v>
      </c>
    </row>
    <row r="345" spans="1:11" ht="15" customHeight="1" x14ac:dyDescent="0.2">
      <c r="A345" s="13" t="s">
        <v>10086</v>
      </c>
      <c r="B345" s="13" t="s">
        <v>10086</v>
      </c>
      <c r="C345" s="13">
        <v>2023</v>
      </c>
      <c r="D345" s="13" t="s">
        <v>413</v>
      </c>
      <c r="E345" s="13" t="s">
        <v>10087</v>
      </c>
      <c r="F345" s="13">
        <v>5.9539999999999997</v>
      </c>
      <c r="G345" s="13" t="s">
        <v>46</v>
      </c>
      <c r="H345" s="13" t="s">
        <v>10088</v>
      </c>
      <c r="I345" s="13" t="s">
        <v>10089</v>
      </c>
      <c r="J345" s="9" t="s">
        <v>10090</v>
      </c>
      <c r="K345" s="13">
        <v>273</v>
      </c>
    </row>
    <row r="346" spans="1:11" ht="15" customHeight="1" x14ac:dyDescent="0.2">
      <c r="A346" s="13" t="s">
        <v>10091</v>
      </c>
      <c r="B346" s="13" t="s">
        <v>10091</v>
      </c>
      <c r="C346" s="13">
        <v>2023</v>
      </c>
      <c r="D346" s="13" t="s">
        <v>413</v>
      </c>
      <c r="E346" s="13" t="s">
        <v>2470</v>
      </c>
      <c r="F346" s="13">
        <v>6.9630000000000001</v>
      </c>
      <c r="G346" s="13" t="s">
        <v>18</v>
      </c>
      <c r="H346" s="13" t="s">
        <v>10092</v>
      </c>
      <c r="I346" s="13" t="s">
        <v>10093</v>
      </c>
      <c r="J346" s="9" t="s">
        <v>10094</v>
      </c>
      <c r="K346" s="13">
        <v>295</v>
      </c>
    </row>
    <row r="347" spans="1:11" ht="15" customHeight="1" x14ac:dyDescent="0.2">
      <c r="A347" s="13" t="s">
        <v>10095</v>
      </c>
      <c r="B347" s="13"/>
      <c r="C347" s="13">
        <v>2019</v>
      </c>
      <c r="D347" s="13"/>
      <c r="E347" s="13"/>
      <c r="F347" s="13"/>
      <c r="G347" s="13"/>
      <c r="H347" s="13"/>
      <c r="I347" s="13"/>
      <c r="J347" s="9"/>
      <c r="K347" s="13"/>
    </row>
    <row r="348" spans="1:11" ht="15" customHeight="1" x14ac:dyDescent="0.2">
      <c r="A348" s="13" t="s">
        <v>10096</v>
      </c>
      <c r="B348" s="13" t="s">
        <v>4887</v>
      </c>
      <c r="C348" s="13">
        <v>2020</v>
      </c>
      <c r="D348" s="13" t="s">
        <v>2729</v>
      </c>
      <c r="E348" s="13" t="s">
        <v>531</v>
      </c>
      <c r="F348" s="13">
        <v>6.0990000000000002</v>
      </c>
      <c r="G348" s="13" t="s">
        <v>46</v>
      </c>
      <c r="H348" s="13" t="s">
        <v>4888</v>
      </c>
      <c r="I348" s="13" t="s">
        <v>10097</v>
      </c>
      <c r="J348" s="9" t="s">
        <v>4890</v>
      </c>
      <c r="K348" s="13">
        <v>367</v>
      </c>
    </row>
    <row r="349" spans="1:11" ht="15" customHeight="1" x14ac:dyDescent="0.2">
      <c r="A349" s="13" t="s">
        <v>10098</v>
      </c>
      <c r="B349" s="13" t="s">
        <v>10098</v>
      </c>
      <c r="C349" s="13">
        <v>2020</v>
      </c>
      <c r="D349" s="13" t="s">
        <v>413</v>
      </c>
      <c r="E349" s="13" t="s">
        <v>531</v>
      </c>
      <c r="F349" s="13">
        <v>6.2080000000000002</v>
      </c>
      <c r="G349" s="13" t="s">
        <v>46</v>
      </c>
      <c r="H349" s="13" t="s">
        <v>10099</v>
      </c>
      <c r="I349" s="13" t="s">
        <v>10100</v>
      </c>
      <c r="J349" s="9" t="s">
        <v>10101</v>
      </c>
      <c r="K349" s="13">
        <v>869</v>
      </c>
    </row>
    <row r="350" spans="1:11" ht="15" customHeight="1" x14ac:dyDescent="0.2">
      <c r="A350" s="13" t="s">
        <v>10102</v>
      </c>
      <c r="B350" s="13" t="s">
        <v>10103</v>
      </c>
      <c r="C350" s="13">
        <v>2018</v>
      </c>
      <c r="D350" s="13" t="s">
        <v>10104</v>
      </c>
      <c r="E350" s="13" t="s">
        <v>531</v>
      </c>
      <c r="F350" s="13">
        <v>7.0570000000000004</v>
      </c>
      <c r="G350" s="13" t="s">
        <v>18</v>
      </c>
      <c r="H350" s="13" t="s">
        <v>10105</v>
      </c>
      <c r="I350" s="13" t="s">
        <v>10106</v>
      </c>
      <c r="J350" s="9" t="s">
        <v>10107</v>
      </c>
      <c r="K350" s="13">
        <v>630</v>
      </c>
    </row>
    <row r="351" spans="1:11" ht="15" customHeight="1" x14ac:dyDescent="0.2">
      <c r="A351" s="15" t="s">
        <v>10108</v>
      </c>
      <c r="B351" s="15" t="s">
        <v>10108</v>
      </c>
      <c r="C351" s="15">
        <v>2018</v>
      </c>
      <c r="D351" s="15" t="s">
        <v>8589</v>
      </c>
      <c r="E351" s="15" t="s">
        <v>2204</v>
      </c>
      <c r="F351" s="15">
        <v>3.7010000000000001</v>
      </c>
      <c r="G351" s="15" t="s">
        <v>86</v>
      </c>
      <c r="H351" s="15" t="s">
        <v>10109</v>
      </c>
      <c r="I351" s="15" t="s">
        <v>10110</v>
      </c>
      <c r="J351" s="10" t="s">
        <v>10111</v>
      </c>
      <c r="K351" s="15">
        <v>1416</v>
      </c>
    </row>
    <row r="352" spans="1:11" ht="15" customHeight="1" x14ac:dyDescent="0.2">
      <c r="A352" s="13" t="s">
        <v>10112</v>
      </c>
      <c r="B352" s="13" t="s">
        <v>10112</v>
      </c>
      <c r="C352" s="13">
        <v>2010</v>
      </c>
      <c r="D352" s="13" t="s">
        <v>413</v>
      </c>
      <c r="E352" s="13" t="s">
        <v>399</v>
      </c>
      <c r="F352" s="13">
        <v>3.4</v>
      </c>
      <c r="G352" s="13" t="s">
        <v>169</v>
      </c>
      <c r="H352" s="13" t="s">
        <v>10113</v>
      </c>
      <c r="I352" s="13" t="s">
        <v>10114</v>
      </c>
      <c r="J352" s="9"/>
      <c r="K352" s="13">
        <v>22</v>
      </c>
    </row>
    <row r="353" spans="1:11" ht="15" customHeight="1" x14ac:dyDescent="0.2">
      <c r="A353" s="13" t="s">
        <v>10115</v>
      </c>
      <c r="B353" s="13" t="s">
        <v>10115</v>
      </c>
      <c r="C353" s="13">
        <v>1997</v>
      </c>
      <c r="D353" s="13" t="s">
        <v>560</v>
      </c>
      <c r="E353" s="13" t="s">
        <v>566</v>
      </c>
      <c r="F353" s="13">
        <v>6.5</v>
      </c>
      <c r="G353" s="13" t="s">
        <v>46</v>
      </c>
      <c r="H353" s="13" t="s">
        <v>10116</v>
      </c>
      <c r="I353" s="13" t="s">
        <v>10117</v>
      </c>
      <c r="J353" s="9"/>
      <c r="K353" s="13">
        <v>9</v>
      </c>
    </row>
    <row r="354" spans="1:11" ht="15" customHeight="1" x14ac:dyDescent="0.2">
      <c r="A354" s="13" t="s">
        <v>10118</v>
      </c>
      <c r="B354" s="13" t="s">
        <v>10118</v>
      </c>
      <c r="C354" s="13">
        <v>2015</v>
      </c>
      <c r="D354" s="13" t="s">
        <v>483</v>
      </c>
      <c r="E354" s="13" t="s">
        <v>10119</v>
      </c>
      <c r="F354" s="13">
        <v>6.8230000000000004</v>
      </c>
      <c r="G354" s="13" t="s">
        <v>18</v>
      </c>
      <c r="H354" s="13" t="s">
        <v>10120</v>
      </c>
      <c r="I354" s="13" t="s">
        <v>10121</v>
      </c>
      <c r="J354" s="9" t="s">
        <v>10122</v>
      </c>
      <c r="K354" s="13">
        <v>48</v>
      </c>
    </row>
    <row r="355" spans="1:11" ht="15" customHeight="1" x14ac:dyDescent="0.2">
      <c r="A355" s="13" t="s">
        <v>10123</v>
      </c>
      <c r="B355" s="13" t="s">
        <v>10123</v>
      </c>
      <c r="C355" s="13">
        <v>2012</v>
      </c>
      <c r="D355" s="13" t="s">
        <v>413</v>
      </c>
      <c r="E355" s="13" t="s">
        <v>2470</v>
      </c>
      <c r="F355" s="13">
        <v>6.9829999999999997</v>
      </c>
      <c r="G355" s="13" t="s">
        <v>18</v>
      </c>
      <c r="H355" s="13" t="s">
        <v>10124</v>
      </c>
      <c r="I355" s="13" t="s">
        <v>10125</v>
      </c>
      <c r="J355" s="9" t="s">
        <v>10126</v>
      </c>
      <c r="K355" s="13">
        <v>5051</v>
      </c>
    </row>
    <row r="356" spans="1:11" ht="15" customHeight="1" x14ac:dyDescent="0.2">
      <c r="A356" s="13" t="s">
        <v>10127</v>
      </c>
      <c r="B356" s="13" t="s">
        <v>10128</v>
      </c>
      <c r="C356" s="13">
        <v>2019</v>
      </c>
      <c r="D356" s="13" t="s">
        <v>2156</v>
      </c>
      <c r="E356" s="13" t="s">
        <v>6086</v>
      </c>
      <c r="F356" s="13">
        <v>4.7229999999999999</v>
      </c>
      <c r="G356" s="13" t="s">
        <v>28</v>
      </c>
      <c r="H356" s="13" t="s">
        <v>10129</v>
      </c>
      <c r="I356" s="13" t="s">
        <v>10130</v>
      </c>
      <c r="J356" s="9" t="s">
        <v>10131</v>
      </c>
      <c r="K356" s="13">
        <v>363</v>
      </c>
    </row>
    <row r="357" spans="1:11" ht="15" customHeight="1" x14ac:dyDescent="0.2">
      <c r="A357" s="13" t="s">
        <v>10132</v>
      </c>
      <c r="B357" s="13" t="s">
        <v>10132</v>
      </c>
      <c r="C357" s="13">
        <v>2018</v>
      </c>
      <c r="D357" s="13" t="s">
        <v>10133</v>
      </c>
      <c r="E357" s="13" t="s">
        <v>9731</v>
      </c>
      <c r="F357" s="13">
        <v>5.9</v>
      </c>
      <c r="G357" s="13" t="s">
        <v>46</v>
      </c>
      <c r="H357" s="13" t="s">
        <v>10134</v>
      </c>
      <c r="I357" s="13" t="s">
        <v>10135</v>
      </c>
      <c r="J357" s="9" t="s">
        <v>10136</v>
      </c>
      <c r="K357" s="13">
        <v>358</v>
      </c>
    </row>
    <row r="358" spans="1:11" ht="15" customHeight="1" x14ac:dyDescent="0.2">
      <c r="A358" s="13" t="s">
        <v>10137</v>
      </c>
      <c r="B358" s="13" t="s">
        <v>10137</v>
      </c>
      <c r="C358" s="13">
        <v>2019</v>
      </c>
      <c r="D358" s="13" t="s">
        <v>8589</v>
      </c>
      <c r="E358" s="13" t="s">
        <v>10072</v>
      </c>
      <c r="F358" s="13">
        <v>6.827</v>
      </c>
      <c r="G358" s="13" t="s">
        <v>18</v>
      </c>
      <c r="H358" s="13" t="s">
        <v>10138</v>
      </c>
      <c r="I358" s="13" t="s">
        <v>10139</v>
      </c>
      <c r="J358" s="9" t="s">
        <v>10140</v>
      </c>
      <c r="K358" s="13">
        <v>840</v>
      </c>
    </row>
    <row r="359" spans="1:11" ht="15" customHeight="1" x14ac:dyDescent="0.2">
      <c r="A359" s="13" t="s">
        <v>10141</v>
      </c>
      <c r="B359" s="13" t="s">
        <v>10142</v>
      </c>
      <c r="C359" s="13">
        <v>2011</v>
      </c>
      <c r="D359" s="13" t="s">
        <v>781</v>
      </c>
      <c r="E359" s="13" t="s">
        <v>531</v>
      </c>
      <c r="F359" s="13">
        <v>5.7759999999999998</v>
      </c>
      <c r="G359" s="13" t="s">
        <v>46</v>
      </c>
      <c r="H359" s="13" t="s">
        <v>10143</v>
      </c>
      <c r="I359" s="13" t="s">
        <v>10144</v>
      </c>
      <c r="J359" s="9" t="s">
        <v>10145</v>
      </c>
      <c r="K359" s="13">
        <v>660</v>
      </c>
    </row>
    <row r="360" spans="1:11" ht="15" customHeight="1" x14ac:dyDescent="0.2">
      <c r="A360" s="13" t="s">
        <v>10146</v>
      </c>
      <c r="B360" s="13" t="s">
        <v>10146</v>
      </c>
      <c r="C360" s="13">
        <v>2021</v>
      </c>
      <c r="D360" s="13" t="s">
        <v>413</v>
      </c>
      <c r="E360" s="13" t="s">
        <v>6333</v>
      </c>
      <c r="F360" s="13">
        <v>5.5</v>
      </c>
      <c r="G360" s="13" t="s">
        <v>46</v>
      </c>
      <c r="H360" s="13" t="s">
        <v>10147</v>
      </c>
      <c r="I360" s="13" t="s">
        <v>10148</v>
      </c>
      <c r="J360" s="9" t="s">
        <v>10149</v>
      </c>
      <c r="K360" s="13">
        <v>276</v>
      </c>
    </row>
    <row r="361" spans="1:11" ht="15" customHeight="1" x14ac:dyDescent="0.2">
      <c r="A361" s="15" t="s">
        <v>10150</v>
      </c>
      <c r="B361" s="15" t="s">
        <v>10150</v>
      </c>
      <c r="C361" s="15">
        <v>1997</v>
      </c>
      <c r="D361" s="15" t="s">
        <v>500</v>
      </c>
      <c r="E361" s="15" t="s">
        <v>531</v>
      </c>
      <c r="F361" s="15">
        <v>5.2750000000000004</v>
      </c>
      <c r="G361" s="15" t="s">
        <v>28</v>
      </c>
      <c r="H361" s="15" t="s">
        <v>10151</v>
      </c>
      <c r="I361" s="15" t="s">
        <v>10152</v>
      </c>
      <c r="J361" s="10"/>
      <c r="K361" s="15">
        <v>20</v>
      </c>
    </row>
    <row r="362" spans="1:11" ht="15" customHeight="1" x14ac:dyDescent="0.2">
      <c r="A362" s="13" t="s">
        <v>10153</v>
      </c>
      <c r="B362" s="13" t="s">
        <v>10153</v>
      </c>
      <c r="C362" s="13">
        <v>2021</v>
      </c>
      <c r="D362" s="13" t="s">
        <v>413</v>
      </c>
      <c r="E362" s="13" t="s">
        <v>531</v>
      </c>
      <c r="F362" s="13">
        <v>4</v>
      </c>
      <c r="G362" s="13" t="s">
        <v>86</v>
      </c>
      <c r="H362" s="13" t="s">
        <v>10154</v>
      </c>
      <c r="I362" s="13" t="s">
        <v>10155</v>
      </c>
      <c r="J362" s="9" t="s">
        <v>10156</v>
      </c>
      <c r="K362" s="13">
        <v>9</v>
      </c>
    </row>
    <row r="363" spans="1:11" ht="15" customHeight="1" x14ac:dyDescent="0.2">
      <c r="A363" s="13" t="s">
        <v>10157</v>
      </c>
      <c r="B363" s="13" t="s">
        <v>10157</v>
      </c>
      <c r="C363" s="13">
        <v>2014</v>
      </c>
      <c r="D363" s="13" t="s">
        <v>413</v>
      </c>
      <c r="E363" s="13" t="s">
        <v>10158</v>
      </c>
      <c r="F363" s="13">
        <v>6.02</v>
      </c>
      <c r="G363" s="13" t="s">
        <v>46</v>
      </c>
      <c r="H363" s="13" t="s">
        <v>10159</v>
      </c>
      <c r="I363" s="13" t="s">
        <v>10160</v>
      </c>
      <c r="J363" s="9" t="s">
        <v>10161</v>
      </c>
      <c r="K363" s="13">
        <v>1774</v>
      </c>
    </row>
    <row r="364" spans="1:11" ht="15" customHeight="1" x14ac:dyDescent="0.2">
      <c r="A364" s="13" t="s">
        <v>10162</v>
      </c>
      <c r="B364" s="13" t="s">
        <v>10162</v>
      </c>
      <c r="C364" s="13">
        <v>1999</v>
      </c>
      <c r="D364" s="13" t="s">
        <v>413</v>
      </c>
      <c r="E364" s="13" t="s">
        <v>2374</v>
      </c>
      <c r="F364" s="13">
        <v>7.9470000000000001</v>
      </c>
      <c r="G364" s="13" t="s">
        <v>77</v>
      </c>
      <c r="H364" s="13" t="s">
        <v>10163</v>
      </c>
      <c r="I364" s="13" t="s">
        <v>10164</v>
      </c>
      <c r="J364" s="9" t="s">
        <v>10165</v>
      </c>
      <c r="K364" s="13">
        <v>12425</v>
      </c>
    </row>
    <row r="365" spans="1:11" ht="15" customHeight="1" x14ac:dyDescent="0.2">
      <c r="A365" s="13" t="s">
        <v>10166</v>
      </c>
      <c r="B365" s="13" t="s">
        <v>10166</v>
      </c>
      <c r="C365" s="13">
        <v>2015</v>
      </c>
      <c r="D365" s="13" t="s">
        <v>413</v>
      </c>
      <c r="E365" s="13" t="s">
        <v>900</v>
      </c>
      <c r="F365" s="13">
        <v>6.8</v>
      </c>
      <c r="G365" s="13" t="s">
        <v>18</v>
      </c>
      <c r="H365" s="13" t="s">
        <v>10167</v>
      </c>
      <c r="I365" s="13" t="s">
        <v>10168</v>
      </c>
      <c r="J365" s="9" t="s">
        <v>10169</v>
      </c>
      <c r="K365" s="13">
        <v>969</v>
      </c>
    </row>
    <row r="366" spans="1:11" ht="15" customHeight="1" x14ac:dyDescent="0.2">
      <c r="A366" s="13" t="s">
        <v>10170</v>
      </c>
      <c r="B366" s="13" t="s">
        <v>10170</v>
      </c>
      <c r="C366" s="13">
        <v>2012</v>
      </c>
      <c r="D366" s="13" t="s">
        <v>10171</v>
      </c>
      <c r="E366" s="13" t="s">
        <v>2208</v>
      </c>
      <c r="F366" s="13">
        <v>6.0090000000000003</v>
      </c>
      <c r="G366" s="13" t="s">
        <v>46</v>
      </c>
      <c r="H366" s="13" t="s">
        <v>10172</v>
      </c>
      <c r="I366" s="13" t="s">
        <v>10173</v>
      </c>
      <c r="J366" s="9" t="s">
        <v>10174</v>
      </c>
      <c r="K366" s="13">
        <v>1197</v>
      </c>
    </row>
    <row r="367" spans="1:11" ht="15" customHeight="1" x14ac:dyDescent="0.2">
      <c r="A367" s="13" t="s">
        <v>10175</v>
      </c>
      <c r="B367" s="13" t="s">
        <v>10176</v>
      </c>
      <c r="C367" s="13">
        <v>2011</v>
      </c>
      <c r="D367" s="13" t="s">
        <v>413</v>
      </c>
      <c r="E367" s="13" t="s">
        <v>1111</v>
      </c>
      <c r="F367" s="13"/>
      <c r="G367" s="13"/>
      <c r="H367" s="13" t="s">
        <v>10177</v>
      </c>
      <c r="I367" s="13" t="s">
        <v>10178</v>
      </c>
      <c r="J367" s="9" t="s">
        <v>10179</v>
      </c>
      <c r="K367" s="13"/>
    </row>
    <row r="368" spans="1:11" ht="15" customHeight="1" x14ac:dyDescent="0.2">
      <c r="A368" s="13" t="s">
        <v>10180</v>
      </c>
      <c r="B368" s="13" t="s">
        <v>10180</v>
      </c>
      <c r="C368" s="13">
        <v>2025</v>
      </c>
      <c r="D368" s="13" t="s">
        <v>478</v>
      </c>
      <c r="E368" s="13" t="s">
        <v>9676</v>
      </c>
      <c r="F368" s="13">
        <v>6.64</v>
      </c>
      <c r="G368" s="13" t="s">
        <v>18</v>
      </c>
      <c r="H368" s="13" t="s">
        <v>10181</v>
      </c>
      <c r="I368" s="13" t="s">
        <v>10182</v>
      </c>
      <c r="J368" s="9" t="s">
        <v>10183</v>
      </c>
      <c r="K368" s="13">
        <v>782</v>
      </c>
    </row>
    <row r="369" spans="1:11" ht="15" customHeight="1" x14ac:dyDescent="0.2">
      <c r="A369" s="13" t="s">
        <v>10184</v>
      </c>
      <c r="B369" s="13" t="s">
        <v>10185</v>
      </c>
      <c r="C369" s="13">
        <v>2020</v>
      </c>
      <c r="D369" s="13" t="s">
        <v>413</v>
      </c>
      <c r="E369" s="13" t="s">
        <v>531</v>
      </c>
      <c r="F369" s="13">
        <v>6</v>
      </c>
      <c r="G369" s="13" t="s">
        <v>46</v>
      </c>
      <c r="H369" s="13" t="s">
        <v>10186</v>
      </c>
      <c r="I369" s="13" t="s">
        <v>10187</v>
      </c>
      <c r="J369" s="9" t="s">
        <v>10188</v>
      </c>
      <c r="K369" s="13">
        <v>339</v>
      </c>
    </row>
    <row r="370" spans="1:11" ht="15" customHeight="1" x14ac:dyDescent="0.2">
      <c r="A370" s="13" t="s">
        <v>10189</v>
      </c>
      <c r="B370" s="13" t="s">
        <v>10189</v>
      </c>
      <c r="C370" s="13">
        <v>2017</v>
      </c>
      <c r="D370" s="13" t="s">
        <v>483</v>
      </c>
      <c r="E370" s="13" t="s">
        <v>259</v>
      </c>
      <c r="F370" s="13">
        <v>6.9109999999999996</v>
      </c>
      <c r="G370" s="13" t="s">
        <v>18</v>
      </c>
      <c r="H370" s="13" t="s">
        <v>10190</v>
      </c>
      <c r="I370" s="13" t="s">
        <v>10191</v>
      </c>
      <c r="J370" s="9" t="s">
        <v>10192</v>
      </c>
      <c r="K370" s="13">
        <v>739</v>
      </c>
    </row>
    <row r="371" spans="1:11" ht="15" customHeight="1" x14ac:dyDescent="0.2">
      <c r="A371" s="15" t="s">
        <v>10193</v>
      </c>
      <c r="B371" s="15" t="s">
        <v>10193</v>
      </c>
      <c r="C371" s="15">
        <v>2022</v>
      </c>
      <c r="D371" s="15" t="s">
        <v>478</v>
      </c>
      <c r="E371" s="15" t="s">
        <v>890</v>
      </c>
      <c r="F371" s="15">
        <v>6.0339999999999998</v>
      </c>
      <c r="G371" s="15" t="s">
        <v>46</v>
      </c>
      <c r="H371" s="15" t="s">
        <v>10194</v>
      </c>
      <c r="I371" s="15" t="s">
        <v>10195</v>
      </c>
      <c r="J371" s="10" t="s">
        <v>10196</v>
      </c>
      <c r="K371" s="15">
        <v>772</v>
      </c>
    </row>
    <row r="372" spans="1:11" ht="15" customHeight="1" x14ac:dyDescent="0.2">
      <c r="A372" s="13" t="s">
        <v>10197</v>
      </c>
      <c r="B372" s="13" t="s">
        <v>10198</v>
      </c>
      <c r="C372" s="13">
        <v>2016</v>
      </c>
      <c r="D372" s="13" t="s">
        <v>413</v>
      </c>
      <c r="E372" s="13" t="s">
        <v>531</v>
      </c>
      <c r="F372" s="13">
        <v>6.5389999999999997</v>
      </c>
      <c r="G372" s="13" t="s">
        <v>18</v>
      </c>
      <c r="H372" s="13" t="s">
        <v>10199</v>
      </c>
      <c r="I372" s="13" t="s">
        <v>10200</v>
      </c>
      <c r="J372" s="9" t="s">
        <v>10201</v>
      </c>
      <c r="K372" s="13">
        <v>1236</v>
      </c>
    </row>
    <row r="373" spans="1:11" ht="15" customHeight="1" x14ac:dyDescent="0.2">
      <c r="A373" s="13" t="s">
        <v>10202</v>
      </c>
      <c r="B373" s="13" t="s">
        <v>10203</v>
      </c>
      <c r="C373" s="13">
        <v>2017</v>
      </c>
      <c r="D373" s="13" t="s">
        <v>781</v>
      </c>
      <c r="E373" s="13" t="s">
        <v>7999</v>
      </c>
      <c r="F373" s="13">
        <v>8.0609999999999999</v>
      </c>
      <c r="G373" s="13" t="s">
        <v>77</v>
      </c>
      <c r="H373" s="13" t="s">
        <v>10204</v>
      </c>
      <c r="I373" s="13" t="s">
        <v>10205</v>
      </c>
      <c r="J373" s="9" t="s">
        <v>10206</v>
      </c>
      <c r="K373" s="13">
        <v>10595</v>
      </c>
    </row>
    <row r="374" spans="1:11" ht="15" customHeight="1" x14ac:dyDescent="0.2">
      <c r="A374" s="13" t="s">
        <v>10203</v>
      </c>
      <c r="B374" s="13" t="s">
        <v>10203</v>
      </c>
      <c r="C374" s="13">
        <v>2017</v>
      </c>
      <c r="D374" s="13" t="s">
        <v>781</v>
      </c>
      <c r="E374" s="13" t="s">
        <v>7999</v>
      </c>
      <c r="F374" s="13">
        <v>8.0609999999999999</v>
      </c>
      <c r="G374" s="13" t="s">
        <v>77</v>
      </c>
      <c r="H374" s="13" t="s">
        <v>10204</v>
      </c>
      <c r="I374" s="13" t="s">
        <v>10205</v>
      </c>
      <c r="J374" s="9" t="s">
        <v>10207</v>
      </c>
      <c r="K374" s="13">
        <v>10595</v>
      </c>
    </row>
    <row r="375" spans="1:11" ht="15" customHeight="1" x14ac:dyDescent="0.2">
      <c r="A375" s="13" t="s">
        <v>10208</v>
      </c>
      <c r="B375" s="13"/>
      <c r="C375" s="13"/>
      <c r="D375" s="13"/>
      <c r="E375" s="13"/>
      <c r="F375" s="13"/>
      <c r="G375" s="13"/>
      <c r="H375" s="13"/>
      <c r="I375" s="13"/>
      <c r="J375" s="9"/>
      <c r="K375" s="13"/>
    </row>
    <row r="376" spans="1:11" ht="15" customHeight="1" x14ac:dyDescent="0.2">
      <c r="A376" s="13" t="s">
        <v>10209</v>
      </c>
      <c r="B376" s="13" t="s">
        <v>10210</v>
      </c>
      <c r="C376" s="13">
        <v>2022</v>
      </c>
      <c r="D376" s="13" t="s">
        <v>10211</v>
      </c>
      <c r="E376" s="13" t="s">
        <v>890</v>
      </c>
      <c r="F376" s="13">
        <v>5.82</v>
      </c>
      <c r="G376" s="13" t="s">
        <v>46</v>
      </c>
      <c r="H376" s="13" t="s">
        <v>10212</v>
      </c>
      <c r="I376" s="13" t="s">
        <v>10213</v>
      </c>
      <c r="J376" s="9" t="s">
        <v>10214</v>
      </c>
      <c r="K376" s="13">
        <v>1546</v>
      </c>
    </row>
    <row r="377" spans="1:11" ht="15" customHeight="1" x14ac:dyDescent="0.2">
      <c r="A377" s="13" t="s">
        <v>10215</v>
      </c>
      <c r="B377" s="13" t="s">
        <v>10216</v>
      </c>
      <c r="C377" s="13">
        <v>2016</v>
      </c>
      <c r="D377" s="13" t="s">
        <v>10217</v>
      </c>
      <c r="E377" s="13" t="s">
        <v>484</v>
      </c>
      <c r="F377" s="13">
        <v>4.5999999999999996</v>
      </c>
      <c r="G377" s="13" t="s">
        <v>28</v>
      </c>
      <c r="H377" s="13" t="s">
        <v>10218</v>
      </c>
      <c r="I377" s="13" t="s">
        <v>10219</v>
      </c>
      <c r="J377" s="9" t="s">
        <v>10220</v>
      </c>
      <c r="K377" s="13">
        <v>34</v>
      </c>
    </row>
    <row r="378" spans="1:11" ht="15" customHeight="1" x14ac:dyDescent="0.2">
      <c r="A378" s="13" t="s">
        <v>10221</v>
      </c>
      <c r="B378" s="13" t="s">
        <v>10222</v>
      </c>
      <c r="C378" s="13">
        <v>2021</v>
      </c>
      <c r="D378" s="13" t="s">
        <v>413</v>
      </c>
      <c r="E378" s="13" t="s">
        <v>2204</v>
      </c>
      <c r="F378" s="13">
        <v>6.6849999999999996</v>
      </c>
      <c r="G378" s="13" t="s">
        <v>18</v>
      </c>
      <c r="H378" s="13" t="s">
        <v>10223</v>
      </c>
      <c r="I378" s="13" t="s">
        <v>10224</v>
      </c>
      <c r="J378" s="9" t="s">
        <v>10225</v>
      </c>
      <c r="K378" s="13">
        <v>917</v>
      </c>
    </row>
    <row r="379" spans="1:11" ht="15" customHeight="1" x14ac:dyDescent="0.2">
      <c r="A379" s="13" t="s">
        <v>5417</v>
      </c>
      <c r="B379" s="13" t="s">
        <v>10226</v>
      </c>
      <c r="C379" s="13">
        <v>1989</v>
      </c>
      <c r="D379" s="13" t="s">
        <v>500</v>
      </c>
      <c r="E379" s="13" t="s">
        <v>531</v>
      </c>
      <c r="F379" s="13">
        <v>6.6</v>
      </c>
      <c r="G379" s="13" t="s">
        <v>18</v>
      </c>
      <c r="H379" s="13" t="s">
        <v>5420</v>
      </c>
      <c r="I379" s="13" t="s">
        <v>10227</v>
      </c>
      <c r="J379" s="9" t="s">
        <v>5422</v>
      </c>
      <c r="K379" s="13">
        <v>798</v>
      </c>
    </row>
    <row r="380" spans="1:11" ht="15" customHeight="1" x14ac:dyDescent="0.2">
      <c r="A380" s="13" t="s">
        <v>10228</v>
      </c>
      <c r="B380" s="13" t="s">
        <v>10229</v>
      </c>
      <c r="C380" s="13">
        <v>1999</v>
      </c>
      <c r="D380" s="13" t="s">
        <v>483</v>
      </c>
      <c r="E380" s="13" t="s">
        <v>259</v>
      </c>
      <c r="F380" s="13">
        <v>5.6</v>
      </c>
      <c r="G380" s="13" t="s">
        <v>46</v>
      </c>
      <c r="H380" s="13" t="s">
        <v>10230</v>
      </c>
      <c r="I380" s="13" t="s">
        <v>10231</v>
      </c>
      <c r="J380" s="9" t="s">
        <v>10232</v>
      </c>
      <c r="K380" s="13">
        <v>14</v>
      </c>
    </row>
    <row r="381" spans="1:11" ht="15" customHeight="1" x14ac:dyDescent="0.2">
      <c r="A381" s="15" t="s">
        <v>10233</v>
      </c>
      <c r="B381" s="15" t="s">
        <v>2338</v>
      </c>
      <c r="C381" s="15">
        <v>2015</v>
      </c>
      <c r="D381" s="15" t="s">
        <v>9387</v>
      </c>
      <c r="E381" s="15" t="s">
        <v>6333</v>
      </c>
      <c r="F381" s="15">
        <v>5.6150000000000002</v>
      </c>
      <c r="G381" s="15" t="s">
        <v>46</v>
      </c>
      <c r="H381" s="15" t="s">
        <v>10234</v>
      </c>
      <c r="I381" s="15" t="s">
        <v>10235</v>
      </c>
      <c r="J381" s="10" t="s">
        <v>10236</v>
      </c>
      <c r="K381" s="15">
        <v>192</v>
      </c>
    </row>
    <row r="382" spans="1:11" ht="15" customHeight="1" x14ac:dyDescent="0.2">
      <c r="A382" s="13" t="s">
        <v>10233</v>
      </c>
      <c r="B382" s="13" t="s">
        <v>2338</v>
      </c>
      <c r="C382" s="13">
        <v>2015</v>
      </c>
      <c r="D382" s="13" t="s">
        <v>9387</v>
      </c>
      <c r="E382" s="13" t="s">
        <v>6333</v>
      </c>
      <c r="F382" s="13">
        <v>5.6150000000000002</v>
      </c>
      <c r="G382" s="13" t="s">
        <v>46</v>
      </c>
      <c r="H382" s="13" t="s">
        <v>10234</v>
      </c>
      <c r="I382" s="13" t="s">
        <v>10235</v>
      </c>
      <c r="J382" s="9" t="s">
        <v>10236</v>
      </c>
      <c r="K382" s="13">
        <v>192</v>
      </c>
    </row>
    <row r="383" spans="1:11" ht="15" customHeight="1" x14ac:dyDescent="0.2">
      <c r="A383" s="13" t="s">
        <v>10237</v>
      </c>
      <c r="B383" s="13" t="s">
        <v>10238</v>
      </c>
      <c r="C383" s="13">
        <v>2020</v>
      </c>
      <c r="D383" s="13" t="s">
        <v>530</v>
      </c>
      <c r="E383" s="13" t="s">
        <v>2470</v>
      </c>
      <c r="F383" s="13">
        <v>7</v>
      </c>
      <c r="G383" s="13" t="s">
        <v>18</v>
      </c>
      <c r="H383" s="13" t="s">
        <v>10239</v>
      </c>
      <c r="I383" s="13" t="s">
        <v>10240</v>
      </c>
      <c r="J383" s="9" t="s">
        <v>10241</v>
      </c>
      <c r="K383" s="13">
        <v>3</v>
      </c>
    </row>
    <row r="384" spans="1:11" ht="15" customHeight="1" x14ac:dyDescent="0.2">
      <c r="A384" s="13" t="s">
        <v>10242</v>
      </c>
      <c r="B384" s="13" t="s">
        <v>10243</v>
      </c>
      <c r="C384" s="13">
        <v>1992</v>
      </c>
      <c r="D384" s="13" t="s">
        <v>10244</v>
      </c>
      <c r="E384" s="13" t="s">
        <v>1578</v>
      </c>
      <c r="F384" s="13">
        <v>5</v>
      </c>
      <c r="G384" s="13" t="s">
        <v>28</v>
      </c>
      <c r="H384" s="13" t="s">
        <v>10245</v>
      </c>
      <c r="I384" s="13" t="s">
        <v>10246</v>
      </c>
      <c r="J384" s="9" t="s">
        <v>10247</v>
      </c>
      <c r="K384" s="13">
        <v>8</v>
      </c>
    </row>
    <row r="385" spans="1:11" ht="15" customHeight="1" x14ac:dyDescent="0.2">
      <c r="A385" s="13" t="s">
        <v>10248</v>
      </c>
      <c r="B385" s="13" t="s">
        <v>10248</v>
      </c>
      <c r="C385" s="13">
        <v>2002</v>
      </c>
      <c r="D385" s="13" t="s">
        <v>530</v>
      </c>
      <c r="E385" s="13" t="s">
        <v>8760</v>
      </c>
      <c r="F385" s="13">
        <v>3</v>
      </c>
      <c r="G385" s="13" t="s">
        <v>169</v>
      </c>
      <c r="H385" s="13" t="s">
        <v>10249</v>
      </c>
      <c r="I385" s="13" t="s">
        <v>10250</v>
      </c>
      <c r="J385" s="9" t="s">
        <v>10251</v>
      </c>
      <c r="K385" s="13">
        <v>1</v>
      </c>
    </row>
    <row r="386" spans="1:11" ht="15" customHeight="1" x14ac:dyDescent="0.2">
      <c r="A386" s="13" t="s">
        <v>10252</v>
      </c>
      <c r="B386" s="13" t="s">
        <v>10253</v>
      </c>
      <c r="C386" s="13">
        <v>2019</v>
      </c>
      <c r="D386" s="13" t="s">
        <v>413</v>
      </c>
      <c r="E386" s="13" t="s">
        <v>2204</v>
      </c>
      <c r="F386" s="13">
        <v>5.2</v>
      </c>
      <c r="G386" s="13" t="s">
        <v>28</v>
      </c>
      <c r="H386" s="13" t="s">
        <v>10254</v>
      </c>
      <c r="I386" s="13" t="s">
        <v>10255</v>
      </c>
      <c r="J386" s="9" t="s">
        <v>10256</v>
      </c>
      <c r="K386" s="13">
        <v>139</v>
      </c>
    </row>
    <row r="387" spans="1:11" ht="15" customHeight="1" x14ac:dyDescent="0.2">
      <c r="A387" s="13" t="s">
        <v>10257</v>
      </c>
      <c r="B387" s="13" t="s">
        <v>10258</v>
      </c>
      <c r="C387" s="13">
        <v>2003</v>
      </c>
      <c r="D387" s="13" t="s">
        <v>10259</v>
      </c>
      <c r="E387" s="13" t="s">
        <v>531</v>
      </c>
      <c r="F387" s="13">
        <v>6.72</v>
      </c>
      <c r="G387" s="13" t="s">
        <v>18</v>
      </c>
      <c r="H387" s="13" t="s">
        <v>10260</v>
      </c>
      <c r="I387" s="13" t="s">
        <v>10261</v>
      </c>
      <c r="J387" s="9" t="s">
        <v>10262</v>
      </c>
      <c r="K387" s="13">
        <v>152</v>
      </c>
    </row>
    <row r="388" spans="1:11" ht="15" customHeight="1" x14ac:dyDescent="0.2">
      <c r="A388" s="13" t="s">
        <v>10263</v>
      </c>
      <c r="B388" s="13" t="s">
        <v>10263</v>
      </c>
      <c r="C388" s="13">
        <v>2018</v>
      </c>
      <c r="D388" s="13" t="s">
        <v>413</v>
      </c>
      <c r="E388" s="13" t="s">
        <v>259</v>
      </c>
      <c r="F388" s="13">
        <v>6.1079999999999997</v>
      </c>
      <c r="G388" s="13" t="s">
        <v>46</v>
      </c>
      <c r="H388" s="13" t="s">
        <v>10264</v>
      </c>
      <c r="I388" s="13" t="s">
        <v>10265</v>
      </c>
      <c r="J388" s="9" t="s">
        <v>10266</v>
      </c>
      <c r="K388" s="13">
        <v>469</v>
      </c>
    </row>
    <row r="389" spans="1:11" ht="15" customHeight="1" x14ac:dyDescent="0.2">
      <c r="A389" s="13" t="s">
        <v>10267</v>
      </c>
      <c r="B389" s="13" t="s">
        <v>10268</v>
      </c>
      <c r="C389" s="13">
        <v>2013</v>
      </c>
      <c r="D389" s="13" t="s">
        <v>1018</v>
      </c>
      <c r="E389" s="13" t="s">
        <v>531</v>
      </c>
      <c r="F389" s="13">
        <v>6.617</v>
      </c>
      <c r="G389" s="13" t="s">
        <v>18</v>
      </c>
      <c r="H389" s="13" t="s">
        <v>10269</v>
      </c>
      <c r="I389" s="13" t="s">
        <v>10270</v>
      </c>
      <c r="J389" s="9" t="s">
        <v>10271</v>
      </c>
      <c r="K389" s="13">
        <v>2281</v>
      </c>
    </row>
    <row r="390" spans="1:11" ht="15" customHeight="1" x14ac:dyDescent="0.2">
      <c r="A390" s="13" t="s">
        <v>10272</v>
      </c>
      <c r="B390" s="13" t="s">
        <v>10272</v>
      </c>
      <c r="C390" s="13">
        <v>2016</v>
      </c>
      <c r="D390" s="13" t="s">
        <v>413</v>
      </c>
      <c r="E390" s="13" t="s">
        <v>456</v>
      </c>
      <c r="F390" s="13">
        <v>5.9809999999999999</v>
      </c>
      <c r="G390" s="13" t="s">
        <v>46</v>
      </c>
      <c r="H390" s="13" t="s">
        <v>10273</v>
      </c>
      <c r="I390" s="13" t="s">
        <v>10274</v>
      </c>
      <c r="J390" s="9" t="s">
        <v>10275</v>
      </c>
      <c r="K390" s="13">
        <v>2218</v>
      </c>
    </row>
    <row r="391" spans="1:11" ht="15" customHeight="1" x14ac:dyDescent="0.2">
      <c r="A391" s="15" t="s">
        <v>10276</v>
      </c>
      <c r="B391" s="15" t="s">
        <v>10277</v>
      </c>
      <c r="C391" s="15">
        <v>2023</v>
      </c>
      <c r="D391" s="15" t="s">
        <v>530</v>
      </c>
      <c r="E391" s="15" t="s">
        <v>1510</v>
      </c>
      <c r="F391" s="15">
        <v>6.0629999999999997</v>
      </c>
      <c r="G391" s="15" t="s">
        <v>46</v>
      </c>
      <c r="H391" s="15" t="s">
        <v>10278</v>
      </c>
      <c r="I391" s="15" t="s">
        <v>10279</v>
      </c>
      <c r="J391" s="10" t="s">
        <v>10280</v>
      </c>
      <c r="K391" s="15">
        <v>87</v>
      </c>
    </row>
    <row r="392" spans="1:11" ht="15" customHeight="1" x14ac:dyDescent="0.2">
      <c r="A392" s="13" t="s">
        <v>10281</v>
      </c>
      <c r="B392" s="13" t="s">
        <v>10282</v>
      </c>
      <c r="C392" s="13">
        <v>2017</v>
      </c>
      <c r="D392" s="13" t="s">
        <v>519</v>
      </c>
      <c r="E392" s="13" t="s">
        <v>531</v>
      </c>
      <c r="F392" s="13">
        <v>6.1</v>
      </c>
      <c r="G392" s="13" t="s">
        <v>46</v>
      </c>
      <c r="H392" s="13" t="s">
        <v>10283</v>
      </c>
      <c r="I392" s="13" t="s">
        <v>10284</v>
      </c>
      <c r="J392" s="9" t="s">
        <v>10285</v>
      </c>
      <c r="K392" s="13">
        <v>39</v>
      </c>
    </row>
    <row r="393" spans="1:11" ht="15" customHeight="1" x14ac:dyDescent="0.2">
      <c r="A393" s="13" t="s">
        <v>10286</v>
      </c>
      <c r="B393" s="13" t="s">
        <v>10286</v>
      </c>
      <c r="C393" s="13">
        <v>2018</v>
      </c>
      <c r="D393" s="13" t="s">
        <v>413</v>
      </c>
      <c r="E393" s="13" t="s">
        <v>8760</v>
      </c>
      <c r="F393" s="13">
        <v>6.3659999999999997</v>
      </c>
      <c r="G393" s="13" t="s">
        <v>46</v>
      </c>
      <c r="H393" s="13" t="s">
        <v>10287</v>
      </c>
      <c r="I393" s="13" t="s">
        <v>10288</v>
      </c>
      <c r="J393" s="9" t="s">
        <v>10289</v>
      </c>
      <c r="K393" s="13">
        <v>1528</v>
      </c>
    </row>
    <row r="394" spans="1:11" ht="15" customHeight="1" x14ac:dyDescent="0.2">
      <c r="A394" s="13" t="s">
        <v>10290</v>
      </c>
      <c r="B394" s="13" t="s">
        <v>10290</v>
      </c>
      <c r="C394" s="13">
        <v>2017</v>
      </c>
      <c r="D394" s="13" t="s">
        <v>10291</v>
      </c>
      <c r="E394" s="13" t="s">
        <v>259</v>
      </c>
      <c r="F394" s="13">
        <v>6.2480000000000002</v>
      </c>
      <c r="G394" s="13" t="s">
        <v>46</v>
      </c>
      <c r="H394" s="13" t="s">
        <v>10292</v>
      </c>
      <c r="I394" s="13" t="s">
        <v>10293</v>
      </c>
      <c r="J394" s="9" t="s">
        <v>10294</v>
      </c>
      <c r="K394" s="13">
        <v>1160</v>
      </c>
    </row>
    <row r="395" spans="1:11" ht="15" customHeight="1" x14ac:dyDescent="0.2">
      <c r="A395" s="13" t="s">
        <v>10295</v>
      </c>
      <c r="B395" s="13" t="s">
        <v>10296</v>
      </c>
      <c r="C395" s="13">
        <v>2018</v>
      </c>
      <c r="D395" s="13" t="s">
        <v>413</v>
      </c>
      <c r="E395" s="13" t="s">
        <v>531</v>
      </c>
      <c r="F395" s="13">
        <v>6.2489999999999997</v>
      </c>
      <c r="G395" s="13" t="s">
        <v>46</v>
      </c>
      <c r="H395" s="13" t="s">
        <v>10297</v>
      </c>
      <c r="I395" s="13" t="s">
        <v>10298</v>
      </c>
      <c r="J395" s="9" t="s">
        <v>10299</v>
      </c>
      <c r="K395" s="13">
        <v>1614</v>
      </c>
    </row>
    <row r="396" spans="1:11" ht="15" customHeight="1" x14ac:dyDescent="0.2">
      <c r="A396" s="13" t="s">
        <v>10300</v>
      </c>
      <c r="B396" s="13" t="s">
        <v>10301</v>
      </c>
      <c r="C396" s="13">
        <v>2023</v>
      </c>
      <c r="D396" s="13" t="s">
        <v>530</v>
      </c>
      <c r="E396" s="13" t="s">
        <v>1900</v>
      </c>
      <c r="F396" s="13">
        <v>6</v>
      </c>
      <c r="G396" s="13" t="s">
        <v>46</v>
      </c>
      <c r="H396" s="13" t="s">
        <v>10302</v>
      </c>
      <c r="I396" s="13" t="s">
        <v>10303</v>
      </c>
      <c r="J396" s="9" t="s">
        <v>10304</v>
      </c>
      <c r="K396" s="13">
        <v>1</v>
      </c>
    </row>
    <row r="397" spans="1:11" ht="15" customHeight="1" x14ac:dyDescent="0.2">
      <c r="A397" s="13" t="s">
        <v>10305</v>
      </c>
      <c r="B397" s="13" t="s">
        <v>10305</v>
      </c>
      <c r="C397" s="13">
        <v>2008</v>
      </c>
      <c r="D397" s="13" t="s">
        <v>2594</v>
      </c>
      <c r="E397" s="13" t="s">
        <v>890</v>
      </c>
      <c r="F397" s="13">
        <v>5.9859999999999998</v>
      </c>
      <c r="G397" s="13" t="s">
        <v>46</v>
      </c>
      <c r="H397" s="13" t="s">
        <v>10306</v>
      </c>
      <c r="I397" s="13" t="s">
        <v>10307</v>
      </c>
      <c r="J397" s="9" t="s">
        <v>10308</v>
      </c>
      <c r="K397" s="13">
        <v>346</v>
      </c>
    </row>
    <row r="398" spans="1:11" ht="15" customHeight="1" x14ac:dyDescent="0.2">
      <c r="A398" s="13" t="s">
        <v>10309</v>
      </c>
      <c r="B398" s="13" t="s">
        <v>10310</v>
      </c>
      <c r="C398" s="13">
        <v>2022</v>
      </c>
      <c r="D398" s="13" t="s">
        <v>413</v>
      </c>
      <c r="E398" s="13" t="s">
        <v>259</v>
      </c>
      <c r="F398" s="13">
        <v>6.2</v>
      </c>
      <c r="G398" s="13" t="s">
        <v>46</v>
      </c>
      <c r="H398" s="13" t="s">
        <v>10311</v>
      </c>
      <c r="I398" s="13" t="s">
        <v>10312</v>
      </c>
      <c r="J398" s="9" t="s">
        <v>10313</v>
      </c>
      <c r="K398" s="13">
        <v>265</v>
      </c>
    </row>
    <row r="399" spans="1:11" ht="15" customHeight="1" x14ac:dyDescent="0.2">
      <c r="A399" s="13" t="s">
        <v>10314</v>
      </c>
      <c r="B399" s="13" t="s">
        <v>10315</v>
      </c>
      <c r="C399" s="13">
        <v>2011</v>
      </c>
      <c r="D399" s="13" t="s">
        <v>530</v>
      </c>
      <c r="E399" s="13" t="s">
        <v>885</v>
      </c>
      <c r="F399" s="13">
        <v>6.5</v>
      </c>
      <c r="G399" s="13" t="s">
        <v>46</v>
      </c>
      <c r="H399" s="13" t="s">
        <v>10316</v>
      </c>
      <c r="I399" s="13" t="s">
        <v>10317</v>
      </c>
      <c r="J399" s="9" t="s">
        <v>10318</v>
      </c>
      <c r="K399" s="13">
        <v>2</v>
      </c>
    </row>
    <row r="400" spans="1:11" ht="15" customHeight="1" x14ac:dyDescent="0.2">
      <c r="A400" s="13" t="s">
        <v>10319</v>
      </c>
      <c r="B400" s="13" t="s">
        <v>10320</v>
      </c>
      <c r="C400" s="13">
        <v>2023</v>
      </c>
      <c r="D400" s="13" t="s">
        <v>413</v>
      </c>
      <c r="E400" s="13" t="s">
        <v>881</v>
      </c>
      <c r="F400" s="13">
        <v>7.0629999999999997</v>
      </c>
      <c r="G400" s="13" t="s">
        <v>18</v>
      </c>
      <c r="H400" s="13" t="s">
        <v>10321</v>
      </c>
      <c r="I400" s="13" t="s">
        <v>10322</v>
      </c>
      <c r="J400" s="9" t="s">
        <v>10323</v>
      </c>
      <c r="K400" s="13">
        <v>48</v>
      </c>
    </row>
    <row r="401" spans="1:11" ht="15" customHeight="1" x14ac:dyDescent="0.2">
      <c r="A401" s="15" t="s">
        <v>10324</v>
      </c>
      <c r="B401" s="15" t="s">
        <v>10325</v>
      </c>
      <c r="C401" s="15">
        <v>1999</v>
      </c>
      <c r="D401" s="15" t="s">
        <v>10326</v>
      </c>
      <c r="E401" s="15" t="s">
        <v>10327</v>
      </c>
      <c r="F401" s="15">
        <v>6.2270000000000003</v>
      </c>
      <c r="G401" s="15" t="s">
        <v>46</v>
      </c>
      <c r="H401" s="15" t="s">
        <v>10328</v>
      </c>
      <c r="I401" s="15" t="s">
        <v>10329</v>
      </c>
      <c r="J401" s="10" t="s">
        <v>10330</v>
      </c>
      <c r="K401" s="15">
        <v>2143</v>
      </c>
    </row>
    <row r="402" spans="1:11" ht="15" customHeight="1" x14ac:dyDescent="0.2">
      <c r="A402" s="13" t="s">
        <v>10331</v>
      </c>
      <c r="B402" s="13" t="s">
        <v>10332</v>
      </c>
      <c r="C402" s="13">
        <v>2024</v>
      </c>
      <c r="D402" s="13" t="s">
        <v>5234</v>
      </c>
      <c r="E402" s="13" t="s">
        <v>531</v>
      </c>
      <c r="F402" s="13">
        <v>5.5</v>
      </c>
      <c r="G402" s="13" t="s">
        <v>46</v>
      </c>
      <c r="H402" s="13" t="s">
        <v>10333</v>
      </c>
      <c r="I402" s="13" t="s">
        <v>10334</v>
      </c>
      <c r="J402" s="9" t="s">
        <v>10335</v>
      </c>
      <c r="K402" s="13">
        <v>178</v>
      </c>
    </row>
    <row r="403" spans="1:11" ht="15" customHeight="1" x14ac:dyDescent="0.2">
      <c r="A403" s="13" t="s">
        <v>10336</v>
      </c>
      <c r="B403" s="13" t="s">
        <v>10337</v>
      </c>
      <c r="C403" s="13">
        <v>2006</v>
      </c>
      <c r="D403" s="13" t="s">
        <v>9990</v>
      </c>
      <c r="E403" s="13" t="s">
        <v>531</v>
      </c>
      <c r="F403" s="13">
        <v>6.3</v>
      </c>
      <c r="G403" s="13" t="s">
        <v>46</v>
      </c>
      <c r="H403" s="13" t="s">
        <v>10338</v>
      </c>
      <c r="I403" s="13" t="s">
        <v>10339</v>
      </c>
      <c r="J403" s="9" t="s">
        <v>10340</v>
      </c>
      <c r="K403" s="13">
        <v>122</v>
      </c>
    </row>
    <row r="404" spans="1:11" ht="15" customHeight="1" x14ac:dyDescent="0.2">
      <c r="A404" s="13" t="s">
        <v>10341</v>
      </c>
      <c r="B404" s="13" t="s">
        <v>10342</v>
      </c>
      <c r="C404" s="13">
        <v>2014</v>
      </c>
      <c r="D404" s="13" t="s">
        <v>413</v>
      </c>
      <c r="E404" s="13" t="s">
        <v>6126</v>
      </c>
      <c r="F404" s="13">
        <v>7.5730000000000004</v>
      </c>
      <c r="G404" s="13" t="s">
        <v>77</v>
      </c>
      <c r="H404" s="13" t="s">
        <v>10343</v>
      </c>
      <c r="I404" s="13" t="s">
        <v>10344</v>
      </c>
      <c r="J404" s="9" t="s">
        <v>10345</v>
      </c>
      <c r="K404" s="13">
        <v>3367</v>
      </c>
    </row>
    <row r="405" spans="1:11" ht="15" customHeight="1" x14ac:dyDescent="0.2">
      <c r="A405" s="13" t="s">
        <v>10346</v>
      </c>
      <c r="B405" s="13" t="s">
        <v>10346</v>
      </c>
      <c r="C405" s="13">
        <v>2008</v>
      </c>
      <c r="D405" s="13" t="s">
        <v>10347</v>
      </c>
      <c r="E405" s="13" t="s">
        <v>507</v>
      </c>
      <c r="F405" s="13">
        <v>6.5209999999999999</v>
      </c>
      <c r="G405" s="13" t="s">
        <v>18</v>
      </c>
      <c r="H405" s="13" t="s">
        <v>10348</v>
      </c>
      <c r="I405" s="13" t="s">
        <v>10349</v>
      </c>
      <c r="J405" s="9" t="s">
        <v>10350</v>
      </c>
      <c r="K405" s="13">
        <v>7388</v>
      </c>
    </row>
    <row r="406" spans="1:11" ht="15" customHeight="1" x14ac:dyDescent="0.2">
      <c r="A406" s="13" t="s">
        <v>10351</v>
      </c>
      <c r="B406" s="13" t="s">
        <v>10351</v>
      </c>
      <c r="C406" s="13">
        <v>2016</v>
      </c>
      <c r="D406" s="13" t="s">
        <v>10352</v>
      </c>
      <c r="E406" s="13" t="s">
        <v>10353</v>
      </c>
      <c r="F406" s="13">
        <v>6.9279999999999999</v>
      </c>
      <c r="G406" s="13" t="s">
        <v>18</v>
      </c>
      <c r="H406" s="13" t="s">
        <v>10354</v>
      </c>
      <c r="I406" s="13" t="s">
        <v>10355</v>
      </c>
      <c r="J406" s="9" t="s">
        <v>10356</v>
      </c>
      <c r="K406" s="13">
        <v>5262</v>
      </c>
    </row>
    <row r="407" spans="1:11" ht="15" customHeight="1" x14ac:dyDescent="0.2">
      <c r="A407" s="13" t="s">
        <v>1078</v>
      </c>
      <c r="B407" s="13" t="s">
        <v>10357</v>
      </c>
      <c r="C407" s="13">
        <v>2014</v>
      </c>
      <c r="D407" s="13" t="s">
        <v>413</v>
      </c>
      <c r="E407" s="13" t="s">
        <v>5711</v>
      </c>
      <c r="F407" s="13">
        <v>5.7910000000000004</v>
      </c>
      <c r="G407" s="13" t="s">
        <v>46</v>
      </c>
      <c r="H407" s="13" t="s">
        <v>10358</v>
      </c>
      <c r="I407" s="13" t="s">
        <v>10359</v>
      </c>
      <c r="J407" s="9" t="s">
        <v>10360</v>
      </c>
      <c r="K407" s="13">
        <v>502</v>
      </c>
    </row>
    <row r="408" spans="1:11" ht="15" customHeight="1" x14ac:dyDescent="0.2">
      <c r="A408" s="13" t="s">
        <v>10361</v>
      </c>
      <c r="B408" s="13" t="s">
        <v>10362</v>
      </c>
      <c r="C408" s="13">
        <v>2024</v>
      </c>
      <c r="D408" s="13" t="s">
        <v>530</v>
      </c>
      <c r="E408" s="13" t="s">
        <v>885</v>
      </c>
      <c r="F408" s="13"/>
      <c r="G408" s="13"/>
      <c r="H408" s="13" t="s">
        <v>10363</v>
      </c>
      <c r="I408" s="13" t="s">
        <v>10364</v>
      </c>
      <c r="J408" s="9" t="s">
        <v>10365</v>
      </c>
      <c r="K408" s="13"/>
    </row>
    <row r="409" spans="1:11" ht="15" customHeight="1" x14ac:dyDescent="0.2">
      <c r="A409" s="13" t="s">
        <v>10366</v>
      </c>
      <c r="B409" s="13" t="s">
        <v>10366</v>
      </c>
      <c r="C409" s="13">
        <v>2022</v>
      </c>
      <c r="D409" s="13" t="s">
        <v>10367</v>
      </c>
      <c r="E409" s="13" t="s">
        <v>8642</v>
      </c>
      <c r="F409" s="13">
        <v>6.4729999999999999</v>
      </c>
      <c r="G409" s="13" t="s">
        <v>46</v>
      </c>
      <c r="H409" s="13" t="s">
        <v>10368</v>
      </c>
      <c r="I409" s="13" t="s">
        <v>10369</v>
      </c>
      <c r="J409" s="9" t="s">
        <v>10370</v>
      </c>
      <c r="K409" s="13">
        <v>1085</v>
      </c>
    </row>
    <row r="410" spans="1:11" ht="15" customHeight="1" x14ac:dyDescent="0.2">
      <c r="A410" s="13" t="s">
        <v>10371</v>
      </c>
      <c r="B410" s="13" t="s">
        <v>10372</v>
      </c>
      <c r="C410" s="13">
        <v>2015</v>
      </c>
      <c r="D410" s="13" t="s">
        <v>530</v>
      </c>
      <c r="E410" s="13" t="s">
        <v>1474</v>
      </c>
      <c r="F410" s="13"/>
      <c r="G410" s="13"/>
      <c r="H410" s="13" t="s">
        <v>10373</v>
      </c>
      <c r="I410" s="13" t="s">
        <v>10374</v>
      </c>
      <c r="J410" s="9" t="s">
        <v>10375</v>
      </c>
      <c r="K410" s="13"/>
    </row>
    <row r="411" spans="1:11" ht="15" customHeight="1" x14ac:dyDescent="0.2">
      <c r="A411" s="15" t="s">
        <v>10376</v>
      </c>
      <c r="B411" s="15" t="s">
        <v>10376</v>
      </c>
      <c r="C411" s="15">
        <v>2018</v>
      </c>
      <c r="D411" s="15" t="s">
        <v>933</v>
      </c>
      <c r="E411" s="15" t="s">
        <v>8559</v>
      </c>
      <c r="F411" s="15">
        <v>5.5430000000000001</v>
      </c>
      <c r="G411" s="15" t="s">
        <v>46</v>
      </c>
      <c r="H411" s="15" t="s">
        <v>10377</v>
      </c>
      <c r="I411" s="15" t="s">
        <v>10378</v>
      </c>
      <c r="J411" s="10" t="s">
        <v>10379</v>
      </c>
      <c r="K411" s="15">
        <v>266</v>
      </c>
    </row>
    <row r="412" spans="1:11" ht="15" customHeight="1" x14ac:dyDescent="0.2">
      <c r="A412" s="13" t="s">
        <v>10380</v>
      </c>
      <c r="B412" s="13" t="s">
        <v>10380</v>
      </c>
      <c r="C412" s="13">
        <v>2017</v>
      </c>
      <c r="D412" s="13" t="s">
        <v>10381</v>
      </c>
      <c r="E412" s="13" t="s">
        <v>890</v>
      </c>
      <c r="F412" s="13">
        <v>7.4329999999999998</v>
      </c>
      <c r="G412" s="13" t="s">
        <v>18</v>
      </c>
      <c r="H412" s="13" t="s">
        <v>10382</v>
      </c>
      <c r="I412" s="13" t="s">
        <v>10383</v>
      </c>
      <c r="J412" s="9" t="s">
        <v>10384</v>
      </c>
      <c r="K412" s="13">
        <v>5568</v>
      </c>
    </row>
    <row r="413" spans="1:11" ht="15" customHeight="1" x14ac:dyDescent="0.2">
      <c r="A413" s="13" t="s">
        <v>10385</v>
      </c>
      <c r="B413" s="13" t="s">
        <v>10385</v>
      </c>
      <c r="C413" s="13">
        <v>2022</v>
      </c>
      <c r="D413" s="13" t="s">
        <v>413</v>
      </c>
      <c r="E413" s="13" t="s">
        <v>2470</v>
      </c>
      <c r="F413" s="13">
        <v>5.4809999999999999</v>
      </c>
      <c r="G413" s="13" t="s">
        <v>28</v>
      </c>
      <c r="H413" s="13" t="s">
        <v>10386</v>
      </c>
      <c r="I413" s="13" t="s">
        <v>10387</v>
      </c>
      <c r="J413" s="9" t="s">
        <v>10388</v>
      </c>
      <c r="K413" s="13">
        <v>457</v>
      </c>
    </row>
    <row r="414" spans="1:11" ht="15" customHeight="1" x14ac:dyDescent="0.2">
      <c r="A414" s="13" t="s">
        <v>10389</v>
      </c>
      <c r="B414" s="13" t="s">
        <v>10390</v>
      </c>
      <c r="C414" s="13">
        <v>2018</v>
      </c>
      <c r="D414" s="13" t="s">
        <v>619</v>
      </c>
      <c r="E414" s="13" t="s">
        <v>531</v>
      </c>
      <c r="F414" s="13">
        <v>5.0999999999999996</v>
      </c>
      <c r="G414" s="13" t="s">
        <v>28</v>
      </c>
      <c r="H414" s="13" t="s">
        <v>10391</v>
      </c>
      <c r="I414" s="13" t="s">
        <v>10392</v>
      </c>
      <c r="J414" s="9" t="s">
        <v>10393</v>
      </c>
      <c r="K414" s="13">
        <v>41</v>
      </c>
    </row>
    <row r="415" spans="1:11" ht="15" customHeight="1" x14ac:dyDescent="0.2">
      <c r="A415" s="13" t="s">
        <v>10394</v>
      </c>
      <c r="B415" s="13" t="s">
        <v>10394</v>
      </c>
      <c r="C415" s="13">
        <v>2024</v>
      </c>
      <c r="D415" s="13" t="s">
        <v>781</v>
      </c>
      <c r="E415" s="13" t="s">
        <v>675</v>
      </c>
      <c r="F415" s="13">
        <v>6.5</v>
      </c>
      <c r="G415" s="13" t="s">
        <v>46</v>
      </c>
      <c r="H415" s="13" t="s">
        <v>10395</v>
      </c>
      <c r="I415" s="13" t="s">
        <v>10396</v>
      </c>
      <c r="J415" s="9" t="s">
        <v>10397</v>
      </c>
      <c r="K415" s="13">
        <v>1291</v>
      </c>
    </row>
    <row r="416" spans="1:11" ht="15" customHeight="1" x14ac:dyDescent="0.2">
      <c r="A416" s="13" t="s">
        <v>10398</v>
      </c>
      <c r="B416" s="13" t="s">
        <v>10398</v>
      </c>
      <c r="C416" s="13">
        <v>2023</v>
      </c>
      <c r="D416" s="13" t="s">
        <v>10399</v>
      </c>
      <c r="E416" s="13" t="s">
        <v>5711</v>
      </c>
      <c r="F416" s="13">
        <v>3.5880000000000001</v>
      </c>
      <c r="G416" s="13" t="s">
        <v>86</v>
      </c>
      <c r="H416" s="13" t="s">
        <v>10400</v>
      </c>
      <c r="I416" s="13" t="s">
        <v>10401</v>
      </c>
      <c r="J416" s="9" t="s">
        <v>10402</v>
      </c>
      <c r="K416" s="13">
        <v>17</v>
      </c>
    </row>
    <row r="417" spans="1:11" ht="15" customHeight="1" x14ac:dyDescent="0.2">
      <c r="A417" s="13" t="s">
        <v>10403</v>
      </c>
      <c r="B417" s="13" t="s">
        <v>10404</v>
      </c>
      <c r="C417" s="13">
        <v>2007</v>
      </c>
      <c r="D417" s="13" t="s">
        <v>413</v>
      </c>
      <c r="E417" s="13" t="s">
        <v>8715</v>
      </c>
      <c r="F417" s="13">
        <v>7.5250000000000004</v>
      </c>
      <c r="G417" s="13" t="s">
        <v>77</v>
      </c>
      <c r="H417" s="13" t="s">
        <v>10405</v>
      </c>
      <c r="I417" s="13" t="s">
        <v>10406</v>
      </c>
      <c r="J417" s="9" t="s">
        <v>10407</v>
      </c>
      <c r="K417" s="13">
        <v>11195</v>
      </c>
    </row>
    <row r="418" spans="1:11" ht="15" customHeight="1" x14ac:dyDescent="0.2">
      <c r="A418" s="13" t="s">
        <v>10408</v>
      </c>
      <c r="B418" s="13" t="s">
        <v>10408</v>
      </c>
      <c r="C418" s="13">
        <v>1996</v>
      </c>
      <c r="D418" s="13" t="s">
        <v>413</v>
      </c>
      <c r="E418" s="13" t="s">
        <v>49</v>
      </c>
      <c r="F418" s="13">
        <v>7.657</v>
      </c>
      <c r="G418" s="13" t="s">
        <v>77</v>
      </c>
      <c r="H418" s="13" t="s">
        <v>10409</v>
      </c>
      <c r="I418" s="13" t="s">
        <v>10410</v>
      </c>
      <c r="J418" s="9" t="s">
        <v>10411</v>
      </c>
      <c r="K418" s="13">
        <v>3711</v>
      </c>
    </row>
  </sheetData>
  <dataValidations count="1">
    <dataValidation type="list" allowBlank="1" showDropDown="1" showInputMessage="1" showErrorMessage="1" sqref="D2:D8 D10:D19 D21:D29 D31:D38 D40:D48 D50:D54" xr:uid="{00000000-0002-0000-0B00-000000000000}">
      <formula1>#REF!</formula1>
      <formula2>0</formula2>
    </dataValidation>
  </dataValidations>
  <pageMargins left="0.75" right="0.75" top="1" bottom="1" header="0.511811023622047" footer="0.511811023622047"/>
  <pageSetup orientation="landscape"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Tabelle13"/>
  <dimension ref="A1:AG1000"/>
  <sheetViews>
    <sheetView zoomScaleNormal="100" workbookViewId="0">
      <pane ySplit="1" topLeftCell="A2" activePane="bottomLeft" state="frozen"/>
      <selection pane="bottomLeft" activeCell="B3" sqref="B3"/>
    </sheetView>
  </sheetViews>
  <sheetFormatPr baseColWidth="10" defaultColWidth="12.5703125" defaultRowHeight="15" customHeight="1" x14ac:dyDescent="0.2"/>
  <cols>
    <col min="1" max="1" width="47.42578125" style="2" customWidth="1"/>
    <col min="2" max="2" width="18.5703125" style="2" customWidth="1"/>
    <col min="3" max="3" width="8.140625" style="2" customWidth="1"/>
    <col min="4" max="4" width="7" style="2" customWidth="1"/>
    <col min="5" max="5" width="11.42578125" style="2" customWidth="1"/>
    <col min="6" max="6" width="6.42578125" style="2" customWidth="1"/>
    <col min="7" max="7" width="11.42578125" style="2" customWidth="1"/>
    <col min="8" max="8" width="11.85546875" style="2" customWidth="1"/>
    <col min="9" max="9" width="44.7109375" style="2" customWidth="1"/>
    <col min="10" max="10" width="43" style="2" customWidth="1"/>
    <col min="11" max="11" width="18.5703125" style="2" customWidth="1"/>
    <col min="12" max="12" width="17.28515625" style="2" customWidth="1"/>
    <col min="13" max="13" width="18.140625" style="2" customWidth="1"/>
    <col min="14" max="14" width="11.42578125" style="2" customWidth="1"/>
    <col min="15" max="15" width="24.5703125" style="2" customWidth="1"/>
    <col min="16" max="16" width="25.7109375" style="2" customWidth="1"/>
    <col min="17" max="17" width="11.42578125" style="2" customWidth="1"/>
    <col min="18" max="18" width="19.5703125" style="2" customWidth="1"/>
    <col min="19" max="19" width="17.28515625" style="2" customWidth="1"/>
    <col min="20" max="20" width="17" style="2" customWidth="1"/>
    <col min="21" max="21" width="9.5703125" style="2" customWidth="1"/>
    <col min="22" max="22" width="32" style="2" customWidth="1"/>
    <col min="23" max="23" width="117.5703125" style="2" customWidth="1"/>
    <col min="24" max="24" width="126.5703125" style="2" customWidth="1"/>
    <col min="25" max="25" width="8.140625" style="2" customWidth="1"/>
    <col min="26" max="26" width="32.140625" style="2" customWidth="1"/>
    <col min="27" max="27" width="16.42578125" style="2" customWidth="1"/>
    <col min="28" max="28" width="14.140625" style="2" customWidth="1"/>
    <col min="29" max="29" width="11.42578125" style="2" customWidth="1"/>
    <col min="30" max="30" width="50.140625" style="2" customWidth="1"/>
    <col min="31" max="31" width="26.28515625" style="2" customWidth="1"/>
    <col min="32" max="32" width="11.7109375" style="2" customWidth="1"/>
    <col min="33" max="33" width="12.7109375" style="2" customWidth="1"/>
  </cols>
  <sheetData>
    <row r="1" spans="1:11" ht="16.5" customHeight="1" x14ac:dyDescent="0.2">
      <c r="A1" s="11" t="s">
        <v>0</v>
      </c>
      <c r="B1" s="11" t="s">
        <v>1</v>
      </c>
      <c r="C1" s="11" t="s">
        <v>2</v>
      </c>
      <c r="D1" s="11" t="s">
        <v>3</v>
      </c>
      <c r="E1" s="11" t="s">
        <v>4</v>
      </c>
      <c r="F1" s="11" t="s">
        <v>5</v>
      </c>
      <c r="G1" s="11" t="s">
        <v>6</v>
      </c>
      <c r="H1" s="11" t="s">
        <v>7</v>
      </c>
      <c r="I1" s="11" t="s">
        <v>8</v>
      </c>
      <c r="J1" s="11" t="s">
        <v>9</v>
      </c>
      <c r="K1" s="11" t="s">
        <v>10</v>
      </c>
    </row>
    <row r="2" spans="1:11" ht="15" customHeight="1" x14ac:dyDescent="0.2">
      <c r="A2" s="13" t="s">
        <v>10412</v>
      </c>
      <c r="B2" s="13" t="s">
        <v>10412</v>
      </c>
      <c r="C2" s="13">
        <v>1993</v>
      </c>
      <c r="D2" s="13" t="s">
        <v>10413</v>
      </c>
      <c r="E2" s="13" t="s">
        <v>566</v>
      </c>
      <c r="F2" s="13">
        <v>3</v>
      </c>
      <c r="G2" s="13" t="s">
        <v>169</v>
      </c>
      <c r="H2" s="13" t="s">
        <v>10414</v>
      </c>
      <c r="I2" s="13" t="s">
        <v>10415</v>
      </c>
      <c r="J2" s="9"/>
      <c r="K2" s="13">
        <v>3</v>
      </c>
    </row>
    <row r="3" spans="1:11" ht="15" customHeight="1" x14ac:dyDescent="0.2">
      <c r="A3" s="13" t="s">
        <v>10416</v>
      </c>
      <c r="B3" s="13" t="s">
        <v>10417</v>
      </c>
      <c r="C3" s="13">
        <v>1968</v>
      </c>
      <c r="D3" s="13" t="s">
        <v>10418</v>
      </c>
      <c r="E3" s="13"/>
      <c r="F3" s="13"/>
      <c r="G3" s="13"/>
      <c r="H3" s="13"/>
      <c r="I3" s="13"/>
      <c r="J3" s="9"/>
      <c r="K3" s="13"/>
    </row>
    <row r="4" spans="1:11" ht="15" customHeight="1" x14ac:dyDescent="0.2">
      <c r="A4" s="13" t="s">
        <v>10419</v>
      </c>
      <c r="B4" s="13" t="s">
        <v>10419</v>
      </c>
      <c r="C4" s="13">
        <v>1955</v>
      </c>
      <c r="D4" s="13" t="s">
        <v>10420</v>
      </c>
      <c r="E4" s="13" t="s">
        <v>566</v>
      </c>
      <c r="F4" s="13">
        <v>0</v>
      </c>
      <c r="G4" s="13"/>
      <c r="H4" s="13" t="s">
        <v>10421</v>
      </c>
      <c r="I4" s="13" t="s">
        <v>10422</v>
      </c>
      <c r="J4" s="9"/>
      <c r="K4" s="13">
        <v>0</v>
      </c>
    </row>
    <row r="5" spans="1:11" ht="15" customHeight="1" x14ac:dyDescent="0.2">
      <c r="A5" s="13" t="s">
        <v>10423</v>
      </c>
      <c r="B5" s="13"/>
      <c r="C5" s="13"/>
      <c r="D5" s="13"/>
      <c r="E5" s="13"/>
      <c r="F5" s="13"/>
      <c r="G5" s="13"/>
      <c r="H5" s="13"/>
      <c r="I5" s="13"/>
      <c r="J5" s="9"/>
      <c r="K5" s="13"/>
    </row>
    <row r="6" spans="1:11" ht="15" customHeight="1" x14ac:dyDescent="0.2">
      <c r="A6" s="13" t="s">
        <v>10424</v>
      </c>
      <c r="B6" s="13" t="s">
        <v>10425</v>
      </c>
      <c r="C6" s="13">
        <v>1987</v>
      </c>
      <c r="D6" s="13" t="s">
        <v>3641</v>
      </c>
      <c r="E6" s="13" t="s">
        <v>566</v>
      </c>
      <c r="F6" s="13">
        <v>5.5629999999999997</v>
      </c>
      <c r="G6" s="13" t="s">
        <v>46</v>
      </c>
      <c r="H6" s="13">
        <v>134625</v>
      </c>
      <c r="I6" s="13" t="s">
        <v>10426</v>
      </c>
      <c r="J6" s="9" t="s">
        <v>10427</v>
      </c>
      <c r="K6" s="13">
        <v>16</v>
      </c>
    </row>
    <row r="7" spans="1:11" ht="15" customHeight="1" x14ac:dyDescent="0.2">
      <c r="A7" s="13" t="s">
        <v>5408</v>
      </c>
      <c r="B7" s="13"/>
      <c r="C7" s="13">
        <v>1960</v>
      </c>
      <c r="D7" s="13" t="s">
        <v>10428</v>
      </c>
      <c r="E7" s="13" t="s">
        <v>934</v>
      </c>
      <c r="F7" s="13"/>
      <c r="G7" s="13"/>
      <c r="H7" s="13" t="s">
        <v>5409</v>
      </c>
      <c r="I7" s="13" t="s">
        <v>5410</v>
      </c>
      <c r="J7" s="9"/>
      <c r="K7" s="13"/>
    </row>
    <row r="8" spans="1:11" ht="15" customHeight="1" x14ac:dyDescent="0.2">
      <c r="A8" s="13" t="s">
        <v>10429</v>
      </c>
      <c r="B8" s="13" t="s">
        <v>10430</v>
      </c>
      <c r="C8" s="13">
        <v>1977</v>
      </c>
      <c r="D8" s="13" t="s">
        <v>282</v>
      </c>
      <c r="E8" s="13" t="s">
        <v>6210</v>
      </c>
      <c r="F8" s="13">
        <v>6.1</v>
      </c>
      <c r="G8" s="13" t="s">
        <v>46</v>
      </c>
      <c r="H8" s="13" t="s">
        <v>10431</v>
      </c>
      <c r="I8" s="13" t="s">
        <v>10432</v>
      </c>
      <c r="J8" s="9" t="s">
        <v>10433</v>
      </c>
      <c r="K8" s="13">
        <v>11</v>
      </c>
    </row>
    <row r="9" spans="1:11" ht="15" customHeight="1" x14ac:dyDescent="0.2">
      <c r="A9" s="13" t="s">
        <v>10434</v>
      </c>
      <c r="B9" s="13" t="s">
        <v>10434</v>
      </c>
      <c r="C9" s="13">
        <v>2018</v>
      </c>
      <c r="D9" s="13" t="s">
        <v>3616</v>
      </c>
      <c r="E9" s="13" t="s">
        <v>1589</v>
      </c>
      <c r="F9" s="13">
        <v>0</v>
      </c>
      <c r="G9" s="13"/>
      <c r="H9" s="13" t="s">
        <v>10435</v>
      </c>
      <c r="I9" s="13" t="s">
        <v>10436</v>
      </c>
      <c r="J9" s="9" t="s">
        <v>10437</v>
      </c>
      <c r="K9" s="13">
        <v>1</v>
      </c>
    </row>
    <row r="10" spans="1:11" ht="15" customHeight="1" x14ac:dyDescent="0.2">
      <c r="A10" s="13" t="s">
        <v>10438</v>
      </c>
      <c r="B10" s="13" t="s">
        <v>10439</v>
      </c>
      <c r="C10" s="13">
        <v>1972</v>
      </c>
      <c r="D10" s="13" t="s">
        <v>15</v>
      </c>
      <c r="E10" s="13" t="s">
        <v>3026</v>
      </c>
      <c r="F10" s="13">
        <v>6</v>
      </c>
      <c r="G10" s="13" t="s">
        <v>46</v>
      </c>
      <c r="H10" s="13" t="s">
        <v>10440</v>
      </c>
      <c r="I10" s="13" t="s">
        <v>10441</v>
      </c>
      <c r="J10" s="9"/>
      <c r="K10" s="13">
        <v>3</v>
      </c>
    </row>
    <row r="11" spans="1:11" ht="15" customHeight="1" x14ac:dyDescent="0.2">
      <c r="A11" s="15" t="s">
        <v>10442</v>
      </c>
      <c r="B11" s="15" t="s">
        <v>10442</v>
      </c>
      <c r="C11" s="15">
        <v>1950</v>
      </c>
      <c r="D11" s="15" t="s">
        <v>939</v>
      </c>
      <c r="E11" s="15" t="s">
        <v>566</v>
      </c>
      <c r="F11" s="15">
        <v>2</v>
      </c>
      <c r="G11" s="15" t="s">
        <v>1310</v>
      </c>
      <c r="H11" s="15" t="s">
        <v>10443</v>
      </c>
      <c r="I11" s="15" t="s">
        <v>10444</v>
      </c>
      <c r="J11" s="10"/>
      <c r="K11" s="15">
        <v>1</v>
      </c>
    </row>
    <row r="12" spans="1:11" ht="15" customHeight="1" x14ac:dyDescent="0.2">
      <c r="A12" s="13" t="s">
        <v>10445</v>
      </c>
      <c r="B12" s="13" t="s">
        <v>10445</v>
      </c>
      <c r="C12" s="13">
        <v>1969</v>
      </c>
      <c r="D12" s="13" t="s">
        <v>10420</v>
      </c>
      <c r="E12" s="13" t="s">
        <v>5739</v>
      </c>
      <c r="F12" s="13">
        <v>1</v>
      </c>
      <c r="G12" s="13" t="s">
        <v>2087</v>
      </c>
      <c r="H12" s="13" t="s">
        <v>10446</v>
      </c>
      <c r="I12" s="13" t="s">
        <v>10447</v>
      </c>
      <c r="J12" s="9"/>
      <c r="K12" s="13">
        <v>2</v>
      </c>
    </row>
    <row r="13" spans="1:11" ht="15" customHeight="1" x14ac:dyDescent="0.2">
      <c r="A13" s="13" t="s">
        <v>10448</v>
      </c>
      <c r="B13" s="13" t="s">
        <v>10448</v>
      </c>
      <c r="C13" s="13">
        <v>1982</v>
      </c>
      <c r="D13" s="13" t="s">
        <v>3616</v>
      </c>
      <c r="E13" s="13" t="s">
        <v>531</v>
      </c>
      <c r="F13" s="13">
        <v>5.8</v>
      </c>
      <c r="G13" s="13"/>
      <c r="H13" s="13" t="s">
        <v>10449</v>
      </c>
      <c r="I13" s="13" t="s">
        <v>10450</v>
      </c>
      <c r="J13" s="9" t="s">
        <v>10451</v>
      </c>
      <c r="K13" s="13">
        <v>37</v>
      </c>
    </row>
    <row r="14" spans="1:11" ht="15" customHeight="1" x14ac:dyDescent="0.2">
      <c r="A14" s="13" t="s">
        <v>10452</v>
      </c>
      <c r="B14" s="13" t="s">
        <v>10453</v>
      </c>
      <c r="C14" s="13">
        <v>1955</v>
      </c>
      <c r="D14" s="13" t="s">
        <v>10420</v>
      </c>
      <c r="E14" s="13" t="s">
        <v>10454</v>
      </c>
      <c r="F14" s="13">
        <v>9</v>
      </c>
      <c r="G14" s="13" t="s">
        <v>1813</v>
      </c>
      <c r="H14" s="13" t="s">
        <v>10455</v>
      </c>
      <c r="I14" s="13" t="s">
        <v>10456</v>
      </c>
      <c r="J14" s="9"/>
      <c r="K14" s="13">
        <v>1</v>
      </c>
    </row>
    <row r="15" spans="1:11" ht="15" customHeight="1" x14ac:dyDescent="0.2">
      <c r="A15" s="13" t="s">
        <v>10457</v>
      </c>
      <c r="B15" s="13" t="s">
        <v>10457</v>
      </c>
      <c r="C15" s="13">
        <v>1998</v>
      </c>
      <c r="D15" s="13" t="s">
        <v>10458</v>
      </c>
      <c r="E15" s="13" t="s">
        <v>566</v>
      </c>
      <c r="F15" s="13">
        <v>7</v>
      </c>
      <c r="G15" s="13" t="s">
        <v>18</v>
      </c>
      <c r="H15" s="13" t="s">
        <v>10459</v>
      </c>
      <c r="I15" s="13" t="s">
        <v>10460</v>
      </c>
      <c r="J15" s="9" t="s">
        <v>10461</v>
      </c>
      <c r="K15" s="13">
        <v>1</v>
      </c>
    </row>
    <row r="16" spans="1:11" ht="15" customHeight="1" x14ac:dyDescent="0.2">
      <c r="A16" s="13" t="s">
        <v>10462</v>
      </c>
      <c r="B16" s="13" t="s">
        <v>10462</v>
      </c>
      <c r="C16" s="13">
        <v>1944</v>
      </c>
      <c r="D16" s="13" t="s">
        <v>15</v>
      </c>
      <c r="E16" s="13" t="s">
        <v>9940</v>
      </c>
      <c r="F16" s="13">
        <v>6</v>
      </c>
      <c r="G16" s="13" t="s">
        <v>46</v>
      </c>
      <c r="H16" s="13" t="s">
        <v>10463</v>
      </c>
      <c r="I16" s="13" t="s">
        <v>10464</v>
      </c>
      <c r="J16" s="9" t="s">
        <v>10465</v>
      </c>
      <c r="K16" s="13">
        <v>14</v>
      </c>
    </row>
    <row r="17" spans="1:11" ht="15" customHeight="1" x14ac:dyDescent="0.2">
      <c r="A17" s="13" t="s">
        <v>10466</v>
      </c>
      <c r="B17" s="13" t="s">
        <v>10466</v>
      </c>
      <c r="C17" s="13">
        <v>1970</v>
      </c>
      <c r="D17" s="13" t="s">
        <v>15</v>
      </c>
      <c r="E17" s="13" t="s">
        <v>1358</v>
      </c>
      <c r="F17" s="13">
        <v>5.5</v>
      </c>
      <c r="G17" s="13" t="s">
        <v>46</v>
      </c>
      <c r="H17" s="13" t="s">
        <v>10467</v>
      </c>
      <c r="I17" s="13" t="s">
        <v>10468</v>
      </c>
      <c r="J17" s="9"/>
      <c r="K17" s="13">
        <v>14</v>
      </c>
    </row>
    <row r="18" spans="1:11" ht="15" customHeight="1" x14ac:dyDescent="0.2">
      <c r="A18" s="13" t="s">
        <v>10469</v>
      </c>
      <c r="B18" s="13" t="s">
        <v>10469</v>
      </c>
      <c r="C18" s="13">
        <v>1977</v>
      </c>
      <c r="D18" s="13" t="s">
        <v>10420</v>
      </c>
      <c r="E18" s="13" t="s">
        <v>566</v>
      </c>
      <c r="F18" s="13">
        <v>7</v>
      </c>
      <c r="G18" s="13" t="s">
        <v>18</v>
      </c>
      <c r="H18" s="13" t="s">
        <v>5495</v>
      </c>
      <c r="I18" s="13" t="s">
        <v>10470</v>
      </c>
      <c r="J18" s="9"/>
      <c r="K18" s="13">
        <v>1</v>
      </c>
    </row>
    <row r="19" spans="1:11" ht="15" customHeight="1" x14ac:dyDescent="0.2">
      <c r="A19" s="13" t="s">
        <v>10471</v>
      </c>
      <c r="B19" s="13" t="s">
        <v>10471</v>
      </c>
      <c r="C19" s="13">
        <v>1952</v>
      </c>
      <c r="D19" s="13" t="s">
        <v>15</v>
      </c>
      <c r="E19" s="13" t="s">
        <v>10472</v>
      </c>
      <c r="F19" s="13">
        <v>7</v>
      </c>
      <c r="G19" s="13" t="s">
        <v>18</v>
      </c>
      <c r="H19" s="13" t="s">
        <v>10473</v>
      </c>
      <c r="I19" s="13" t="s">
        <v>10474</v>
      </c>
      <c r="J19" s="9" t="s">
        <v>10475</v>
      </c>
      <c r="K19" s="13">
        <v>112</v>
      </c>
    </row>
    <row r="20" spans="1:11" ht="15" customHeight="1" x14ac:dyDescent="0.2">
      <c r="A20" s="13" t="s">
        <v>10476</v>
      </c>
      <c r="B20" s="13" t="s">
        <v>10476</v>
      </c>
      <c r="C20" s="13">
        <v>1955</v>
      </c>
      <c r="D20" s="13" t="s">
        <v>939</v>
      </c>
      <c r="E20" s="13" t="s">
        <v>399</v>
      </c>
      <c r="F20" s="13">
        <v>7.5</v>
      </c>
      <c r="G20" s="13" t="s">
        <v>77</v>
      </c>
      <c r="H20" s="13" t="s">
        <v>10477</v>
      </c>
      <c r="I20" s="13" t="s">
        <v>10478</v>
      </c>
      <c r="J20" s="9" t="s">
        <v>10479</v>
      </c>
      <c r="K20" s="13">
        <v>32</v>
      </c>
    </row>
    <row r="21" spans="1:11" ht="15" customHeight="1" x14ac:dyDescent="0.2">
      <c r="A21" s="15" t="s">
        <v>10480</v>
      </c>
      <c r="B21" s="15" t="s">
        <v>10481</v>
      </c>
      <c r="C21" s="15">
        <v>1953</v>
      </c>
      <c r="D21" s="15" t="s">
        <v>939</v>
      </c>
      <c r="E21" s="15" t="s">
        <v>9333</v>
      </c>
      <c r="F21" s="15">
        <v>0</v>
      </c>
      <c r="G21" s="15"/>
      <c r="H21" s="15" t="s">
        <v>10482</v>
      </c>
      <c r="I21" s="15" t="s">
        <v>10483</v>
      </c>
      <c r="J21" s="10"/>
      <c r="K21" s="15">
        <v>0</v>
      </c>
    </row>
    <row r="22" spans="1:11" ht="15" customHeight="1" x14ac:dyDescent="0.2">
      <c r="A22" s="13" t="s">
        <v>10484</v>
      </c>
      <c r="B22" s="13" t="s">
        <v>10484</v>
      </c>
      <c r="C22" s="13">
        <v>1946</v>
      </c>
      <c r="D22" s="13" t="s">
        <v>880</v>
      </c>
      <c r="E22" s="13" t="s">
        <v>10485</v>
      </c>
      <c r="F22" s="13">
        <v>5.5</v>
      </c>
      <c r="G22" s="13" t="s">
        <v>46</v>
      </c>
      <c r="H22" s="13" t="s">
        <v>10486</v>
      </c>
      <c r="I22" s="13" t="s">
        <v>10487</v>
      </c>
      <c r="J22" s="9"/>
      <c r="K22" s="13">
        <v>6</v>
      </c>
    </row>
    <row r="23" spans="1:11" ht="15" customHeight="1" x14ac:dyDescent="0.2">
      <c r="A23" s="13" t="s">
        <v>10488</v>
      </c>
      <c r="B23" s="13" t="s">
        <v>3640</v>
      </c>
      <c r="C23" s="13">
        <v>1983</v>
      </c>
      <c r="D23" s="13" t="s">
        <v>880</v>
      </c>
      <c r="E23" s="13" t="s">
        <v>5937</v>
      </c>
      <c r="F23" s="13">
        <v>5.8</v>
      </c>
      <c r="G23" s="13" t="s">
        <v>46</v>
      </c>
      <c r="H23" s="13" t="s">
        <v>3642</v>
      </c>
      <c r="I23" s="13" t="s">
        <v>10489</v>
      </c>
      <c r="J23" s="9" t="s">
        <v>3644</v>
      </c>
      <c r="K23" s="13">
        <v>16</v>
      </c>
    </row>
    <row r="24" spans="1:11" ht="15" customHeight="1" x14ac:dyDescent="0.2">
      <c r="A24" s="13" t="s">
        <v>10490</v>
      </c>
      <c r="B24" s="13" t="s">
        <v>10490</v>
      </c>
      <c r="C24" s="13">
        <v>1963</v>
      </c>
      <c r="D24" s="13" t="s">
        <v>10491</v>
      </c>
      <c r="E24" s="13" t="s">
        <v>399</v>
      </c>
      <c r="F24" s="13">
        <v>0</v>
      </c>
      <c r="G24" s="13"/>
      <c r="H24" s="13" t="s">
        <v>10492</v>
      </c>
      <c r="I24" s="13" t="s">
        <v>10493</v>
      </c>
      <c r="J24" s="9" t="s">
        <v>10494</v>
      </c>
      <c r="K24" s="13">
        <v>0</v>
      </c>
    </row>
    <row r="25" spans="1:11" ht="15" customHeight="1" x14ac:dyDescent="0.2">
      <c r="A25" s="13" t="s">
        <v>10495</v>
      </c>
      <c r="B25" s="13" t="s">
        <v>10495</v>
      </c>
      <c r="C25" s="13">
        <v>1966</v>
      </c>
      <c r="D25" s="13" t="s">
        <v>10420</v>
      </c>
      <c r="E25" s="13" t="s">
        <v>399</v>
      </c>
      <c r="F25" s="13">
        <v>0</v>
      </c>
      <c r="G25" s="13"/>
      <c r="H25" s="13" t="s">
        <v>10496</v>
      </c>
      <c r="I25" s="13" t="s">
        <v>10497</v>
      </c>
      <c r="J25" s="9" t="s">
        <v>10498</v>
      </c>
      <c r="K25" s="13">
        <v>0</v>
      </c>
    </row>
    <row r="26" spans="1:11" ht="15" customHeight="1" x14ac:dyDescent="0.2">
      <c r="A26" s="13" t="s">
        <v>10499</v>
      </c>
      <c r="B26" s="13" t="s">
        <v>10499</v>
      </c>
      <c r="C26" s="13">
        <v>1988</v>
      </c>
      <c r="D26" s="13" t="s">
        <v>15</v>
      </c>
      <c r="E26" s="13" t="s">
        <v>399</v>
      </c>
      <c r="F26" s="13">
        <v>5.7</v>
      </c>
      <c r="G26" s="13" t="s">
        <v>46</v>
      </c>
      <c r="H26" s="13" t="s">
        <v>10500</v>
      </c>
      <c r="I26" s="13" t="s">
        <v>10501</v>
      </c>
      <c r="J26" s="9" t="s">
        <v>10502</v>
      </c>
      <c r="K26" s="13">
        <v>3</v>
      </c>
    </row>
    <row r="27" spans="1:11" ht="15" customHeight="1" x14ac:dyDescent="0.2">
      <c r="A27" s="13" t="s">
        <v>10503</v>
      </c>
      <c r="B27" s="13" t="s">
        <v>10503</v>
      </c>
      <c r="C27" s="13">
        <v>1960</v>
      </c>
      <c r="D27" s="13" t="s">
        <v>10420</v>
      </c>
      <c r="E27" s="13" t="s">
        <v>10504</v>
      </c>
      <c r="F27" s="13">
        <v>0</v>
      </c>
      <c r="G27" s="13"/>
      <c r="H27" s="13" t="s">
        <v>10505</v>
      </c>
      <c r="I27" s="13" t="s">
        <v>10506</v>
      </c>
      <c r="J27" s="9"/>
      <c r="K27" s="13">
        <v>0</v>
      </c>
    </row>
    <row r="28" spans="1:11" ht="15" customHeight="1" x14ac:dyDescent="0.2">
      <c r="A28" s="13" t="s">
        <v>10507</v>
      </c>
      <c r="B28" s="13" t="s">
        <v>10508</v>
      </c>
      <c r="C28" s="13">
        <v>1937</v>
      </c>
      <c r="D28" s="13" t="s">
        <v>10509</v>
      </c>
      <c r="E28" s="13" t="s">
        <v>1375</v>
      </c>
      <c r="F28" s="13">
        <v>6.8109999999999999</v>
      </c>
      <c r="G28" s="13" t="s">
        <v>18</v>
      </c>
      <c r="H28" s="13" t="s">
        <v>10510</v>
      </c>
      <c r="I28" s="13" t="s">
        <v>10511</v>
      </c>
      <c r="J28" s="9" t="s">
        <v>10512</v>
      </c>
      <c r="K28" s="13">
        <v>37</v>
      </c>
    </row>
    <row r="29" spans="1:11" ht="15" customHeight="1" x14ac:dyDescent="0.2">
      <c r="A29" s="13" t="s">
        <v>10513</v>
      </c>
      <c r="B29" s="13" t="s">
        <v>10514</v>
      </c>
      <c r="C29" s="13">
        <v>1970</v>
      </c>
      <c r="D29" s="13" t="s">
        <v>15</v>
      </c>
      <c r="E29" s="13" t="s">
        <v>10515</v>
      </c>
      <c r="F29" s="13">
        <v>6.68</v>
      </c>
      <c r="G29" s="13" t="s">
        <v>18</v>
      </c>
      <c r="H29" s="13" t="s">
        <v>10516</v>
      </c>
      <c r="I29" s="13" t="s">
        <v>10517</v>
      </c>
      <c r="J29" s="9" t="s">
        <v>10518</v>
      </c>
      <c r="K29" s="13">
        <v>61</v>
      </c>
    </row>
    <row r="30" spans="1:11" ht="15" customHeight="1" x14ac:dyDescent="0.2">
      <c r="A30" s="13" t="s">
        <v>10519</v>
      </c>
      <c r="B30" s="13" t="s">
        <v>10520</v>
      </c>
      <c r="C30" s="13">
        <v>2003</v>
      </c>
      <c r="D30" s="13" t="s">
        <v>384</v>
      </c>
      <c r="E30" s="13" t="s">
        <v>3090</v>
      </c>
      <c r="F30" s="13">
        <v>6.1</v>
      </c>
      <c r="G30" s="13" t="s">
        <v>46</v>
      </c>
      <c r="H30" s="13" t="s">
        <v>10521</v>
      </c>
      <c r="I30" s="13" t="s">
        <v>10522</v>
      </c>
      <c r="J30" s="9" t="s">
        <v>10523</v>
      </c>
      <c r="K30" s="13">
        <v>76</v>
      </c>
    </row>
    <row r="31" spans="1:11" ht="15" customHeight="1" x14ac:dyDescent="0.2">
      <c r="A31" s="15" t="s">
        <v>10524</v>
      </c>
      <c r="B31" s="15" t="s">
        <v>10525</v>
      </c>
      <c r="C31" s="15">
        <v>2003</v>
      </c>
      <c r="D31" s="15" t="s">
        <v>15</v>
      </c>
      <c r="E31" s="15" t="s">
        <v>1270</v>
      </c>
      <c r="F31" s="15">
        <v>6.4</v>
      </c>
      <c r="G31" s="15" t="s">
        <v>46</v>
      </c>
      <c r="H31" s="15" t="s">
        <v>10526</v>
      </c>
      <c r="I31" s="15" t="s">
        <v>10527</v>
      </c>
      <c r="J31" s="10" t="s">
        <v>10523</v>
      </c>
      <c r="K31" s="15">
        <v>72</v>
      </c>
    </row>
    <row r="32" spans="1:11" ht="15" customHeight="1" x14ac:dyDescent="0.2">
      <c r="A32" s="13" t="s">
        <v>10528</v>
      </c>
      <c r="B32" s="13" t="s">
        <v>10528</v>
      </c>
      <c r="C32" s="13">
        <v>1936</v>
      </c>
      <c r="D32" s="13" t="s">
        <v>350</v>
      </c>
      <c r="E32" s="13" t="s">
        <v>566</v>
      </c>
      <c r="F32" s="13">
        <v>0</v>
      </c>
      <c r="G32" s="13"/>
      <c r="H32" s="13" t="s">
        <v>10529</v>
      </c>
      <c r="I32" s="13" t="s">
        <v>10530</v>
      </c>
      <c r="J32" s="9"/>
      <c r="K32" s="13">
        <v>0</v>
      </c>
    </row>
    <row r="33" spans="1:11" ht="15" customHeight="1" x14ac:dyDescent="0.2">
      <c r="A33" s="13" t="s">
        <v>10531</v>
      </c>
      <c r="B33" s="13" t="s">
        <v>10531</v>
      </c>
      <c r="C33" s="13">
        <v>1963</v>
      </c>
      <c r="D33" s="13" t="s">
        <v>10420</v>
      </c>
      <c r="E33" s="13" t="s">
        <v>10504</v>
      </c>
      <c r="F33" s="13">
        <v>4</v>
      </c>
      <c r="G33" s="13" t="s">
        <v>86</v>
      </c>
      <c r="H33" s="13" t="s">
        <v>10532</v>
      </c>
      <c r="I33" s="13" t="s">
        <v>10533</v>
      </c>
      <c r="J33" s="9" t="s">
        <v>10534</v>
      </c>
      <c r="K33" s="13">
        <v>1</v>
      </c>
    </row>
    <row r="34" spans="1:11" ht="15" customHeight="1" x14ac:dyDescent="0.2">
      <c r="A34" s="13" t="s">
        <v>10535</v>
      </c>
      <c r="B34" s="13"/>
      <c r="C34" s="13"/>
      <c r="D34" s="13"/>
      <c r="E34" s="13"/>
      <c r="F34" s="13"/>
      <c r="G34" s="13"/>
      <c r="H34" s="13"/>
      <c r="I34" s="13"/>
      <c r="J34" s="9"/>
      <c r="K34" s="13"/>
    </row>
    <row r="35" spans="1:11" ht="15" customHeight="1" x14ac:dyDescent="0.2">
      <c r="A35" s="13" t="s">
        <v>10536</v>
      </c>
      <c r="B35" s="13" t="s">
        <v>10537</v>
      </c>
      <c r="C35" s="13">
        <v>1976</v>
      </c>
      <c r="D35" s="13" t="s">
        <v>15</v>
      </c>
      <c r="E35" s="13" t="s">
        <v>456</v>
      </c>
      <c r="F35" s="13">
        <v>0</v>
      </c>
      <c r="G35" s="13"/>
      <c r="H35" s="13" t="s">
        <v>10538</v>
      </c>
      <c r="I35" s="13" t="s">
        <v>10539</v>
      </c>
      <c r="J35" s="9" t="s">
        <v>10540</v>
      </c>
      <c r="K35" s="13">
        <v>0</v>
      </c>
    </row>
    <row r="36" spans="1:11" ht="15" customHeight="1" x14ac:dyDescent="0.2">
      <c r="A36" s="13" t="s">
        <v>10541</v>
      </c>
      <c r="B36" s="13" t="s">
        <v>10542</v>
      </c>
      <c r="C36" s="13">
        <v>1937</v>
      </c>
      <c r="D36" s="13" t="s">
        <v>350</v>
      </c>
      <c r="E36" s="13" t="s">
        <v>566</v>
      </c>
      <c r="F36" s="13">
        <v>5</v>
      </c>
      <c r="G36" s="13" t="s">
        <v>28</v>
      </c>
      <c r="H36" s="13" t="s">
        <v>10543</v>
      </c>
      <c r="I36" s="13" t="s">
        <v>10544</v>
      </c>
      <c r="J36" s="9"/>
      <c r="K36" s="13">
        <v>3</v>
      </c>
    </row>
    <row r="37" spans="1:11" ht="15" customHeight="1" x14ac:dyDescent="0.2">
      <c r="A37" s="13" t="s">
        <v>10545</v>
      </c>
      <c r="B37" s="13" t="s">
        <v>10545</v>
      </c>
      <c r="C37" s="13">
        <v>1966</v>
      </c>
      <c r="D37" s="13" t="s">
        <v>10420</v>
      </c>
      <c r="E37" s="13" t="s">
        <v>399</v>
      </c>
      <c r="F37" s="13">
        <v>7</v>
      </c>
      <c r="G37" s="13" t="s">
        <v>18</v>
      </c>
      <c r="H37" s="13" t="s">
        <v>10546</v>
      </c>
      <c r="I37" s="13" t="s">
        <v>10547</v>
      </c>
      <c r="J37" s="9" t="s">
        <v>10548</v>
      </c>
      <c r="K37" s="13">
        <v>1</v>
      </c>
    </row>
    <row r="38" spans="1:11" ht="15" customHeight="1" x14ac:dyDescent="0.2">
      <c r="A38" s="13" t="s">
        <v>10549</v>
      </c>
      <c r="B38" s="13" t="s">
        <v>10550</v>
      </c>
      <c r="C38" s="13">
        <v>1972</v>
      </c>
      <c r="D38" s="13" t="s">
        <v>15</v>
      </c>
      <c r="E38" s="13" t="s">
        <v>595</v>
      </c>
      <c r="F38" s="13">
        <v>5.7</v>
      </c>
      <c r="G38" s="13" t="s">
        <v>46</v>
      </c>
      <c r="H38" s="13" t="s">
        <v>10551</v>
      </c>
      <c r="I38" s="13" t="s">
        <v>10552</v>
      </c>
      <c r="J38" s="9"/>
      <c r="K38" s="13">
        <v>7</v>
      </c>
    </row>
    <row r="39" spans="1:11" ht="15" customHeight="1" x14ac:dyDescent="0.2">
      <c r="A39" s="13" t="s">
        <v>5635</v>
      </c>
      <c r="B39" s="13" t="s">
        <v>5635</v>
      </c>
      <c r="C39" s="13">
        <v>1970</v>
      </c>
      <c r="D39" s="13" t="s">
        <v>3167</v>
      </c>
      <c r="E39" s="13" t="s">
        <v>566</v>
      </c>
      <c r="F39" s="13">
        <v>0</v>
      </c>
      <c r="G39" s="13"/>
      <c r="H39" s="13" t="s">
        <v>5636</v>
      </c>
      <c r="I39" s="13" t="s">
        <v>10553</v>
      </c>
      <c r="J39" s="9"/>
      <c r="K39" s="13">
        <v>0</v>
      </c>
    </row>
    <row r="40" spans="1:11" ht="15" customHeight="1" x14ac:dyDescent="0.2">
      <c r="A40" s="13" t="s">
        <v>10554</v>
      </c>
      <c r="B40" s="13" t="s">
        <v>10555</v>
      </c>
      <c r="C40" s="13" t="s">
        <v>10556</v>
      </c>
      <c r="D40" s="13" t="s">
        <v>15</v>
      </c>
      <c r="E40" s="13" t="s">
        <v>890</v>
      </c>
      <c r="F40" s="13">
        <v>6.1</v>
      </c>
      <c r="G40" s="13"/>
      <c r="H40" s="13" t="s">
        <v>10557</v>
      </c>
      <c r="I40" s="13" t="s">
        <v>10558</v>
      </c>
      <c r="J40" s="9" t="s">
        <v>10559</v>
      </c>
      <c r="K40" s="13">
        <v>213</v>
      </c>
    </row>
    <row r="41" spans="1:11" ht="15" customHeight="1" x14ac:dyDescent="0.2">
      <c r="A41" s="15" t="s">
        <v>6600</v>
      </c>
      <c r="B41" s="15" t="s">
        <v>6601</v>
      </c>
      <c r="C41" s="15">
        <v>1967</v>
      </c>
      <c r="D41" s="15" t="s">
        <v>619</v>
      </c>
      <c r="E41" s="15" t="s">
        <v>566</v>
      </c>
      <c r="F41" s="15">
        <v>7.4930000000000003</v>
      </c>
      <c r="G41" s="15" t="s">
        <v>18</v>
      </c>
      <c r="H41" s="15" t="s">
        <v>6602</v>
      </c>
      <c r="I41" s="15" t="s">
        <v>10560</v>
      </c>
      <c r="J41" s="10" t="s">
        <v>6604</v>
      </c>
      <c r="K41" s="15">
        <v>333</v>
      </c>
    </row>
    <row r="42" spans="1:11" ht="15" customHeight="1" x14ac:dyDescent="0.2">
      <c r="A42" s="13" t="s">
        <v>10561</v>
      </c>
      <c r="B42" s="13"/>
      <c r="C42" s="13">
        <v>1970</v>
      </c>
      <c r="D42" s="13" t="s">
        <v>1798</v>
      </c>
      <c r="E42" s="13" t="s">
        <v>566</v>
      </c>
      <c r="F42" s="13"/>
      <c r="G42" s="13"/>
      <c r="H42" s="13" t="s">
        <v>10562</v>
      </c>
      <c r="I42" s="13" t="s">
        <v>10563</v>
      </c>
      <c r="J42" s="9" t="s">
        <v>10564</v>
      </c>
      <c r="K42" s="13"/>
    </row>
    <row r="43" spans="1:11" ht="15" customHeight="1" x14ac:dyDescent="0.2">
      <c r="A43" s="13" t="s">
        <v>10565</v>
      </c>
      <c r="B43" s="13" t="s">
        <v>10566</v>
      </c>
      <c r="C43" s="13">
        <v>1976</v>
      </c>
      <c r="D43" s="13" t="s">
        <v>15</v>
      </c>
      <c r="E43" s="13" t="s">
        <v>5235</v>
      </c>
      <c r="F43" s="13">
        <v>3</v>
      </c>
      <c r="G43" s="13" t="s">
        <v>169</v>
      </c>
      <c r="H43" s="13" t="s">
        <v>10567</v>
      </c>
      <c r="I43" s="13" t="s">
        <v>10568</v>
      </c>
      <c r="J43" s="9" t="s">
        <v>10569</v>
      </c>
      <c r="K43" s="13">
        <v>3</v>
      </c>
    </row>
    <row r="44" spans="1:11" ht="15" customHeight="1" x14ac:dyDescent="0.2">
      <c r="A44" s="13" t="s">
        <v>10495</v>
      </c>
      <c r="B44" s="13" t="s">
        <v>10495</v>
      </c>
      <c r="C44" s="13">
        <v>1966</v>
      </c>
      <c r="D44" s="13" t="s">
        <v>10420</v>
      </c>
      <c r="E44" s="13" t="s">
        <v>399</v>
      </c>
      <c r="F44" s="13">
        <v>0</v>
      </c>
      <c r="G44" s="13"/>
      <c r="H44" s="13" t="s">
        <v>10496</v>
      </c>
      <c r="I44" s="13" t="s">
        <v>10497</v>
      </c>
      <c r="J44" s="9" t="s">
        <v>10498</v>
      </c>
      <c r="K44" s="13">
        <v>0</v>
      </c>
    </row>
    <row r="45" spans="1:11" ht="15" customHeight="1" x14ac:dyDescent="0.2">
      <c r="A45" s="13" t="s">
        <v>10570</v>
      </c>
      <c r="B45" s="13" t="s">
        <v>10570</v>
      </c>
      <c r="C45" s="13">
        <v>2011</v>
      </c>
      <c r="D45" s="13" t="s">
        <v>384</v>
      </c>
      <c r="E45" s="13" t="s">
        <v>6126</v>
      </c>
      <c r="F45" s="13">
        <v>7.2</v>
      </c>
      <c r="G45" s="13" t="s">
        <v>18</v>
      </c>
      <c r="H45" s="13" t="s">
        <v>10571</v>
      </c>
      <c r="I45" s="13" t="s">
        <v>10572</v>
      </c>
      <c r="J45" s="9" t="s">
        <v>10573</v>
      </c>
      <c r="K45" s="13">
        <v>1527</v>
      </c>
    </row>
    <row r="46" spans="1:11" ht="15" customHeight="1" x14ac:dyDescent="0.2">
      <c r="A46" s="13" t="s">
        <v>10574</v>
      </c>
      <c r="B46" s="13" t="s">
        <v>10575</v>
      </c>
      <c r="C46" s="13">
        <v>1960</v>
      </c>
      <c r="D46" s="13" t="s">
        <v>15</v>
      </c>
      <c r="E46" s="13" t="s">
        <v>566</v>
      </c>
      <c r="F46" s="13">
        <v>4.5999999999999996</v>
      </c>
      <c r="G46" s="13" t="s">
        <v>28</v>
      </c>
      <c r="H46" s="13" t="s">
        <v>10576</v>
      </c>
      <c r="I46" s="13" t="s">
        <v>10577</v>
      </c>
      <c r="J46" s="9"/>
      <c r="K46" s="13">
        <v>5</v>
      </c>
    </row>
    <row r="47" spans="1:11" ht="15" customHeight="1" x14ac:dyDescent="0.2">
      <c r="A47" s="13" t="s">
        <v>10578</v>
      </c>
      <c r="B47" s="13" t="s">
        <v>10579</v>
      </c>
      <c r="C47" s="13">
        <v>1958</v>
      </c>
      <c r="D47" s="13" t="s">
        <v>1316</v>
      </c>
      <c r="E47" s="13" t="s">
        <v>10580</v>
      </c>
      <c r="F47" s="13">
        <v>6.7</v>
      </c>
      <c r="G47" s="13" t="s">
        <v>18</v>
      </c>
      <c r="H47" s="13" t="s">
        <v>10581</v>
      </c>
      <c r="I47" s="13" t="s">
        <v>10582</v>
      </c>
      <c r="J47" s="9" t="s">
        <v>10583</v>
      </c>
      <c r="K47" s="13">
        <v>19</v>
      </c>
    </row>
    <row r="48" spans="1:11" ht="15" customHeight="1" x14ac:dyDescent="0.2">
      <c r="A48" s="13" t="s">
        <v>10584</v>
      </c>
      <c r="B48" s="13" t="s">
        <v>10585</v>
      </c>
      <c r="C48" s="13">
        <v>1952</v>
      </c>
      <c r="D48" s="13" t="s">
        <v>8527</v>
      </c>
      <c r="E48" s="13" t="s">
        <v>10586</v>
      </c>
      <c r="F48" s="13">
        <v>7.1</v>
      </c>
      <c r="G48" s="13" t="s">
        <v>18</v>
      </c>
      <c r="H48" s="13" t="s">
        <v>10587</v>
      </c>
      <c r="I48" s="13" t="s">
        <v>10588</v>
      </c>
      <c r="J48" s="9" t="s">
        <v>10589</v>
      </c>
      <c r="K48" s="13">
        <v>41</v>
      </c>
    </row>
    <row r="49" spans="1:11" ht="15" customHeight="1" x14ac:dyDescent="0.2">
      <c r="A49" s="13" t="s">
        <v>10590</v>
      </c>
      <c r="B49" s="13" t="s">
        <v>10590</v>
      </c>
      <c r="C49" s="13">
        <v>1973</v>
      </c>
      <c r="D49" s="13" t="s">
        <v>10591</v>
      </c>
      <c r="E49" s="13" t="s">
        <v>750</v>
      </c>
      <c r="F49" s="13">
        <v>6.3</v>
      </c>
      <c r="G49" s="13" t="s">
        <v>46</v>
      </c>
      <c r="H49" s="13" t="s">
        <v>10592</v>
      </c>
      <c r="I49" s="13" t="s">
        <v>10593</v>
      </c>
      <c r="J49" s="9" t="s">
        <v>10594</v>
      </c>
      <c r="K49" s="13">
        <v>67</v>
      </c>
    </row>
    <row r="50" spans="1:11" ht="15" customHeight="1" x14ac:dyDescent="0.2">
      <c r="A50" s="13" t="s">
        <v>10595</v>
      </c>
      <c r="B50" s="13" t="s">
        <v>10595</v>
      </c>
      <c r="C50" s="13">
        <v>1950</v>
      </c>
      <c r="D50" s="13" t="s">
        <v>3616</v>
      </c>
      <c r="E50" s="13" t="s">
        <v>890</v>
      </c>
      <c r="F50" s="13">
        <v>6.742</v>
      </c>
      <c r="G50" s="13" t="s">
        <v>18</v>
      </c>
      <c r="H50" s="13" t="s">
        <v>10596</v>
      </c>
      <c r="I50" s="13" t="s">
        <v>10597</v>
      </c>
      <c r="J50" s="9" t="s">
        <v>10598</v>
      </c>
      <c r="K50" s="13">
        <v>33</v>
      </c>
    </row>
    <row r="51" spans="1:11" ht="15" customHeight="1" x14ac:dyDescent="0.2">
      <c r="A51" s="15" t="s">
        <v>10599</v>
      </c>
      <c r="B51" s="15" t="s">
        <v>10599</v>
      </c>
      <c r="C51" s="15">
        <v>1954</v>
      </c>
      <c r="D51" s="15" t="s">
        <v>10420</v>
      </c>
      <c r="E51" s="15" t="s">
        <v>399</v>
      </c>
      <c r="F51" s="15">
        <v>0</v>
      </c>
      <c r="G51" s="15"/>
      <c r="H51" s="15" t="s">
        <v>10600</v>
      </c>
      <c r="I51" s="15" t="s">
        <v>10601</v>
      </c>
      <c r="J51" s="10" t="s">
        <v>10602</v>
      </c>
      <c r="K51" s="15">
        <v>0</v>
      </c>
    </row>
    <row r="52" spans="1:11" ht="15" customHeight="1" x14ac:dyDescent="0.2">
      <c r="A52" s="13" t="s">
        <v>10603</v>
      </c>
      <c r="B52" s="13"/>
      <c r="C52" s="13">
        <v>2020</v>
      </c>
      <c r="D52" s="13" t="s">
        <v>350</v>
      </c>
      <c r="E52" s="13" t="s">
        <v>885</v>
      </c>
      <c r="F52" s="13"/>
      <c r="G52" s="13"/>
      <c r="H52" s="13" t="s">
        <v>10604</v>
      </c>
      <c r="I52" s="13" t="s">
        <v>10605</v>
      </c>
      <c r="J52" s="9"/>
      <c r="K52" s="13"/>
    </row>
    <row r="53" spans="1:11" ht="15" customHeight="1" x14ac:dyDescent="0.2">
      <c r="A53" s="13" t="s">
        <v>10606</v>
      </c>
      <c r="B53" s="13" t="s">
        <v>10607</v>
      </c>
      <c r="C53" s="13">
        <v>1985</v>
      </c>
      <c r="D53" s="13" t="s">
        <v>15</v>
      </c>
      <c r="E53" s="13" t="s">
        <v>10608</v>
      </c>
      <c r="F53" s="13">
        <v>6.5</v>
      </c>
      <c r="G53" s="13" t="s">
        <v>46</v>
      </c>
      <c r="H53" s="13" t="s">
        <v>10609</v>
      </c>
      <c r="I53" s="13" t="s">
        <v>10610</v>
      </c>
      <c r="J53" s="9" t="s">
        <v>10611</v>
      </c>
      <c r="K53" s="13">
        <v>21</v>
      </c>
    </row>
    <row r="54" spans="1:11" ht="15" customHeight="1" x14ac:dyDescent="0.2">
      <c r="A54" s="13" t="s">
        <v>10612</v>
      </c>
      <c r="B54" s="13" t="s">
        <v>10613</v>
      </c>
      <c r="C54" s="13">
        <v>1963</v>
      </c>
      <c r="D54" s="13" t="s">
        <v>5555</v>
      </c>
      <c r="E54" s="13" t="s">
        <v>10614</v>
      </c>
      <c r="F54" s="13">
        <v>6.7</v>
      </c>
      <c r="G54" s="13" t="s">
        <v>18</v>
      </c>
      <c r="H54" s="13" t="s">
        <v>10615</v>
      </c>
      <c r="I54" s="13" t="s">
        <v>10616</v>
      </c>
      <c r="J54" s="9" t="s">
        <v>10617</v>
      </c>
      <c r="K54" s="13">
        <v>20</v>
      </c>
    </row>
    <row r="55" spans="1:11" ht="15" customHeight="1" x14ac:dyDescent="0.2">
      <c r="A55" s="13" t="s">
        <v>10618</v>
      </c>
      <c r="B55" s="13"/>
      <c r="C55" s="13">
        <v>1981</v>
      </c>
      <c r="D55" s="13" t="s">
        <v>3616</v>
      </c>
      <c r="E55" s="13" t="s">
        <v>10619</v>
      </c>
      <c r="F55" s="13"/>
      <c r="G55" s="13"/>
      <c r="H55" s="13" t="s">
        <v>10620</v>
      </c>
      <c r="I55" s="13" t="s">
        <v>10621</v>
      </c>
      <c r="J55" s="9"/>
      <c r="K55" s="13"/>
    </row>
    <row r="56" spans="1:11" ht="15" customHeight="1" x14ac:dyDescent="0.2">
      <c r="A56" s="13" t="s">
        <v>10622</v>
      </c>
      <c r="B56" s="13" t="s">
        <v>10623</v>
      </c>
      <c r="C56" s="13">
        <v>1950</v>
      </c>
      <c r="D56" s="13" t="s">
        <v>8527</v>
      </c>
      <c r="E56" s="13" t="s">
        <v>890</v>
      </c>
      <c r="F56" s="13">
        <v>8.0489999999999995</v>
      </c>
      <c r="G56" s="13" t="s">
        <v>77</v>
      </c>
      <c r="H56" s="13" t="s">
        <v>10624</v>
      </c>
      <c r="I56" s="13" t="s">
        <v>10625</v>
      </c>
      <c r="J56" s="9" t="s">
        <v>10626</v>
      </c>
      <c r="K56" s="13">
        <v>2418</v>
      </c>
    </row>
    <row r="57" spans="1:11" ht="15" customHeight="1" x14ac:dyDescent="0.2">
      <c r="A57" s="13" t="s">
        <v>10627</v>
      </c>
      <c r="B57" s="13" t="s">
        <v>10627</v>
      </c>
      <c r="C57" s="13">
        <v>1954</v>
      </c>
      <c r="D57" s="13" t="s">
        <v>10628</v>
      </c>
      <c r="E57" s="13" t="s">
        <v>566</v>
      </c>
      <c r="F57" s="13">
        <v>0</v>
      </c>
      <c r="G57" s="13"/>
      <c r="H57" s="13" t="s">
        <v>10629</v>
      </c>
      <c r="I57" s="13" t="s">
        <v>10630</v>
      </c>
      <c r="J57" s="9" t="s">
        <v>10631</v>
      </c>
      <c r="K57" s="13">
        <v>0</v>
      </c>
    </row>
    <row r="58" spans="1:11" ht="15" customHeight="1" x14ac:dyDescent="0.2">
      <c r="A58" s="13" t="s">
        <v>10632</v>
      </c>
      <c r="B58" s="13"/>
      <c r="C58" s="13" t="s">
        <v>10633</v>
      </c>
      <c r="D58" s="13" t="s">
        <v>350</v>
      </c>
      <c r="E58" s="13" t="s">
        <v>399</v>
      </c>
      <c r="F58" s="13"/>
      <c r="G58" s="13"/>
      <c r="H58" s="13" t="s">
        <v>10634</v>
      </c>
      <c r="I58" s="13" t="s">
        <v>10635</v>
      </c>
      <c r="J58" s="9"/>
      <c r="K58" s="13"/>
    </row>
    <row r="59" spans="1:11" ht="15" customHeight="1" x14ac:dyDescent="0.2">
      <c r="A59" s="13" t="s">
        <v>10636</v>
      </c>
      <c r="B59" s="13" t="s">
        <v>10636</v>
      </c>
      <c r="C59" s="13">
        <v>1944</v>
      </c>
      <c r="D59" s="13" t="s">
        <v>350</v>
      </c>
      <c r="E59" s="13" t="s">
        <v>10637</v>
      </c>
      <c r="F59" s="13">
        <v>0</v>
      </c>
      <c r="G59" s="13"/>
      <c r="H59" s="13" t="s">
        <v>10638</v>
      </c>
      <c r="I59" s="13" t="s">
        <v>10639</v>
      </c>
      <c r="J59" s="9" t="s">
        <v>10640</v>
      </c>
      <c r="K59" s="13">
        <v>0</v>
      </c>
    </row>
    <row r="60" spans="1:11" ht="15" customHeight="1" x14ac:dyDescent="0.2">
      <c r="A60" s="13" t="s">
        <v>10641</v>
      </c>
      <c r="B60" s="13" t="s">
        <v>10642</v>
      </c>
      <c r="C60" s="13">
        <v>1970</v>
      </c>
      <c r="D60" s="13" t="s">
        <v>1316</v>
      </c>
      <c r="E60" s="13" t="s">
        <v>5794</v>
      </c>
      <c r="F60" s="13">
        <v>6.1</v>
      </c>
      <c r="G60" s="13" t="s">
        <v>46</v>
      </c>
      <c r="H60" s="13" t="s">
        <v>10643</v>
      </c>
      <c r="I60" s="13" t="s">
        <v>10644</v>
      </c>
      <c r="J60" s="9" t="s">
        <v>10645</v>
      </c>
      <c r="K60" s="13">
        <v>28</v>
      </c>
    </row>
    <row r="61" spans="1:11" ht="15" customHeight="1" x14ac:dyDescent="0.2">
      <c r="A61" s="15" t="s">
        <v>10646</v>
      </c>
      <c r="B61" s="15" t="s">
        <v>10646</v>
      </c>
      <c r="C61" s="15">
        <v>1952</v>
      </c>
      <c r="D61" s="15" t="s">
        <v>10647</v>
      </c>
      <c r="E61" s="15" t="s">
        <v>885</v>
      </c>
      <c r="F61" s="15">
        <v>7</v>
      </c>
      <c r="G61" s="15" t="s">
        <v>18</v>
      </c>
      <c r="H61" s="15" t="s">
        <v>10648</v>
      </c>
      <c r="I61" s="15" t="s">
        <v>10649</v>
      </c>
      <c r="J61" s="10" t="s">
        <v>10650</v>
      </c>
      <c r="K61" s="15">
        <v>1</v>
      </c>
    </row>
    <row r="62" spans="1:11" ht="15" customHeight="1" x14ac:dyDescent="0.2">
      <c r="A62" s="13" t="s">
        <v>4142</v>
      </c>
      <c r="B62" s="13" t="s">
        <v>4142</v>
      </c>
      <c r="C62" s="13">
        <v>1997</v>
      </c>
      <c r="D62" s="13" t="s">
        <v>350</v>
      </c>
      <c r="E62" s="13" t="s">
        <v>566</v>
      </c>
      <c r="F62" s="13">
        <v>0</v>
      </c>
      <c r="G62" s="13"/>
      <c r="H62" s="13" t="s">
        <v>4143</v>
      </c>
      <c r="I62" s="13" t="s">
        <v>10651</v>
      </c>
      <c r="J62" s="9" t="s">
        <v>4145</v>
      </c>
      <c r="K62" s="13">
        <v>0</v>
      </c>
    </row>
    <row r="63" spans="1:11" ht="15" customHeight="1" x14ac:dyDescent="0.2">
      <c r="A63" s="13" t="s">
        <v>10652</v>
      </c>
      <c r="B63" s="13" t="s">
        <v>10653</v>
      </c>
      <c r="C63" s="13">
        <v>1994</v>
      </c>
      <c r="D63" s="13" t="s">
        <v>3616</v>
      </c>
      <c r="E63" s="13" t="s">
        <v>399</v>
      </c>
      <c r="F63" s="13">
        <v>5.3</v>
      </c>
      <c r="G63" s="13" t="s">
        <v>28</v>
      </c>
      <c r="H63" s="13" t="s">
        <v>10654</v>
      </c>
      <c r="I63" s="13" t="s">
        <v>10655</v>
      </c>
      <c r="J63" s="9"/>
      <c r="K63" s="13">
        <v>12</v>
      </c>
    </row>
    <row r="64" spans="1:11" ht="15" customHeight="1" x14ac:dyDescent="0.2">
      <c r="A64" s="13" t="s">
        <v>10656</v>
      </c>
      <c r="B64" s="13" t="s">
        <v>10657</v>
      </c>
      <c r="C64" s="13">
        <v>1980</v>
      </c>
      <c r="D64" s="13" t="s">
        <v>15</v>
      </c>
      <c r="E64" s="13" t="s">
        <v>251</v>
      </c>
      <c r="F64" s="13">
        <v>5.8</v>
      </c>
      <c r="G64" s="13" t="s">
        <v>46</v>
      </c>
      <c r="H64" s="13" t="s">
        <v>10658</v>
      </c>
      <c r="I64" s="13" t="s">
        <v>10659</v>
      </c>
      <c r="J64" s="9" t="s">
        <v>10660</v>
      </c>
      <c r="K64" s="13">
        <v>4</v>
      </c>
    </row>
    <row r="65" spans="1:11" ht="15" customHeight="1" x14ac:dyDescent="0.2">
      <c r="A65" s="13" t="s">
        <v>1406</v>
      </c>
      <c r="B65" s="13" t="s">
        <v>1407</v>
      </c>
      <c r="C65" s="13">
        <v>1972</v>
      </c>
      <c r="D65" s="13" t="s">
        <v>350</v>
      </c>
      <c r="E65" s="13" t="s">
        <v>10661</v>
      </c>
      <c r="F65" s="13">
        <v>0</v>
      </c>
      <c r="G65" s="13"/>
      <c r="H65" s="13" t="s">
        <v>1409</v>
      </c>
      <c r="I65" s="13" t="s">
        <v>10662</v>
      </c>
      <c r="J65" s="9" t="s">
        <v>1411</v>
      </c>
      <c r="K65" s="13">
        <v>0</v>
      </c>
    </row>
    <row r="66" spans="1:11" ht="15" customHeight="1" x14ac:dyDescent="0.2">
      <c r="A66" s="13" t="s">
        <v>3150</v>
      </c>
      <c r="B66" s="13" t="s">
        <v>3151</v>
      </c>
      <c r="C66" s="13">
        <v>1968</v>
      </c>
      <c r="D66" s="13" t="s">
        <v>15</v>
      </c>
      <c r="E66" s="13" t="s">
        <v>3152</v>
      </c>
      <c r="F66" s="13">
        <v>6.1</v>
      </c>
      <c r="G66" s="13" t="s">
        <v>46</v>
      </c>
      <c r="H66" s="13" t="s">
        <v>3153</v>
      </c>
      <c r="I66" s="13" t="s">
        <v>10663</v>
      </c>
      <c r="J66" s="9" t="s">
        <v>3155</v>
      </c>
      <c r="K66" s="13">
        <v>17</v>
      </c>
    </row>
    <row r="67" spans="1:11" ht="15" customHeight="1" x14ac:dyDescent="0.2">
      <c r="A67" s="13" t="s">
        <v>10664</v>
      </c>
      <c r="B67" s="13" t="s">
        <v>10665</v>
      </c>
      <c r="C67" s="13">
        <v>1957</v>
      </c>
      <c r="D67" s="13" t="s">
        <v>15</v>
      </c>
      <c r="E67" s="13" t="s">
        <v>566</v>
      </c>
      <c r="F67" s="13">
        <v>6.577</v>
      </c>
      <c r="G67" s="13" t="s">
        <v>18</v>
      </c>
      <c r="H67" s="13" t="s">
        <v>10666</v>
      </c>
      <c r="I67" s="13" t="s">
        <v>10667</v>
      </c>
      <c r="J67" s="9"/>
      <c r="K67" s="13">
        <v>13</v>
      </c>
    </row>
    <row r="70" spans="1:11" ht="12.75" customHeight="1" x14ac:dyDescent="0.2"/>
    <row r="71" spans="1:11" ht="12.75" customHeight="1" x14ac:dyDescent="0.2"/>
    <row r="72" spans="1:11" ht="12.75" customHeight="1" x14ac:dyDescent="0.2"/>
    <row r="73" spans="1:11" ht="12.75" customHeight="1" x14ac:dyDescent="0.2"/>
    <row r="74" spans="1:11" ht="12.75" customHeight="1" x14ac:dyDescent="0.2"/>
    <row r="75" spans="1:11" ht="12.75" customHeight="1" x14ac:dyDescent="0.2"/>
    <row r="76" spans="1:11" ht="12.75" customHeight="1" x14ac:dyDescent="0.2"/>
    <row r="77" spans="1:11" ht="12.75" customHeight="1" x14ac:dyDescent="0.2"/>
    <row r="78" spans="1:11" ht="12.75" customHeight="1" x14ac:dyDescent="0.2"/>
    <row r="79" spans="1:11" ht="12.75" customHeight="1" x14ac:dyDescent="0.2"/>
    <row r="80" spans="1:11"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dataValidations count="1">
    <dataValidation type="list" allowBlank="1" showDropDown="1" showInputMessage="1" showErrorMessage="1" sqref="D2:D8 D10:D19 D21:D29 D31:D38 D40:D48 D50:D54 I2:I8 I10:I19 I21:I29 I31:I38 I40:I48 I50:I54" xr:uid="{00000000-0002-0000-0C00-000000000000}">
      <formula1>#REF!</formula1>
      <formula2>0</formula2>
    </dataValidation>
  </dataValidations>
  <pageMargins left="0.75" right="0.75" top="1" bottom="1" header="0.511811023622047" footer="0.511811023622047"/>
  <pageSetup orientation="landscape"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Tabelle14"/>
  <dimension ref="A1:AD132"/>
  <sheetViews>
    <sheetView zoomScaleNormal="100" workbookViewId="0">
      <pane ySplit="1" topLeftCell="A114" activePane="bottomLeft" state="frozen"/>
      <selection pane="bottomLeft" activeCell="A132" sqref="A132:XFD132"/>
    </sheetView>
  </sheetViews>
  <sheetFormatPr baseColWidth="10" defaultColWidth="12.5703125" defaultRowHeight="15" customHeight="1" x14ac:dyDescent="0.2"/>
  <cols>
    <col min="1" max="1" width="47.42578125" style="2" customWidth="1"/>
    <col min="2" max="2" width="18.5703125" style="2" customWidth="1"/>
    <col min="3" max="3" width="8.140625" style="3" customWidth="1"/>
    <col min="4" max="4" width="7" style="2" customWidth="1"/>
    <col min="5" max="5" width="11.42578125" style="3" customWidth="1"/>
    <col min="6" max="6" width="6.42578125" style="3" customWidth="1"/>
    <col min="7" max="7" width="11.42578125" style="2" customWidth="1"/>
    <col min="8" max="8" width="10.42578125" style="2" bestFit="1" customWidth="1"/>
    <col min="9" max="9" width="44.7109375" style="2" customWidth="1"/>
    <col min="10" max="10" width="43" style="2" bestFit="1" customWidth="1"/>
    <col min="11" max="11" width="18.5703125" style="2" hidden="1" customWidth="1"/>
    <col min="12" max="12" width="12.5703125" style="3" customWidth="1"/>
    <col min="13" max="13" width="25.7109375" style="2" customWidth="1"/>
    <col min="14" max="18" width="11.42578125" style="2" customWidth="1"/>
    <col min="19" max="19" width="46.28515625" style="2" customWidth="1"/>
    <col min="20" max="20" width="106.7109375" style="2" customWidth="1"/>
    <col min="21" max="21" width="126.5703125" style="2" customWidth="1"/>
    <col min="22" max="22" width="8.140625" style="2" customWidth="1"/>
    <col min="23" max="23" width="32.140625" style="2" customWidth="1"/>
    <col min="24" max="24" width="16.42578125" style="2" customWidth="1"/>
    <col min="25" max="25" width="14.140625" style="2" customWidth="1"/>
    <col min="26" max="26" width="11.42578125" style="2" customWidth="1"/>
    <col min="27" max="27" width="50.140625" style="2" customWidth="1"/>
    <col min="28" max="28" width="26.28515625" style="2" customWidth="1"/>
    <col min="29" max="29" width="11.7109375" style="2" customWidth="1"/>
    <col min="30" max="30" width="12.7109375" style="2" customWidth="1"/>
  </cols>
  <sheetData>
    <row r="1" spans="1:12" ht="16.5" customHeight="1" x14ac:dyDescent="0.2">
      <c r="A1" s="11" t="s">
        <v>0</v>
      </c>
      <c r="B1" s="11" t="s">
        <v>1</v>
      </c>
      <c r="C1" s="11" t="s">
        <v>2</v>
      </c>
      <c r="D1" s="11" t="s">
        <v>3</v>
      </c>
      <c r="E1" s="11" t="s">
        <v>4</v>
      </c>
      <c r="F1" s="11" t="s">
        <v>5</v>
      </c>
      <c r="G1" s="11" t="s">
        <v>6</v>
      </c>
      <c r="H1" s="11" t="s">
        <v>7</v>
      </c>
      <c r="I1" s="11" t="s">
        <v>8</v>
      </c>
      <c r="J1" s="11" t="s">
        <v>9</v>
      </c>
      <c r="K1" s="11" t="s">
        <v>10</v>
      </c>
      <c r="L1" s="11" t="s">
        <v>11</v>
      </c>
    </row>
    <row r="2" spans="1:12" ht="15" customHeight="1" x14ac:dyDescent="0.2">
      <c r="A2" s="13" t="s">
        <v>10668</v>
      </c>
      <c r="B2" s="13" t="s">
        <v>10669</v>
      </c>
      <c r="C2" s="13">
        <v>1996</v>
      </c>
      <c r="D2" s="13" t="s">
        <v>15</v>
      </c>
      <c r="E2" s="13" t="s">
        <v>10670</v>
      </c>
      <c r="F2" s="13">
        <v>5.6</v>
      </c>
      <c r="G2" s="13" t="s">
        <v>46</v>
      </c>
      <c r="H2" s="13" t="s">
        <v>10671</v>
      </c>
      <c r="I2" s="13" t="s">
        <v>10672</v>
      </c>
      <c r="J2" s="9" t="s">
        <v>10673</v>
      </c>
      <c r="K2" s="13">
        <v>4</v>
      </c>
      <c r="L2" s="14" t="s">
        <v>46</v>
      </c>
    </row>
    <row r="3" spans="1:12" ht="15" customHeight="1" x14ac:dyDescent="0.2">
      <c r="A3" s="13" t="s">
        <v>10674</v>
      </c>
      <c r="B3" s="13" t="s">
        <v>10675</v>
      </c>
      <c r="C3" s="13">
        <v>2022</v>
      </c>
      <c r="D3" s="13" t="s">
        <v>467</v>
      </c>
      <c r="E3" s="13" t="s">
        <v>10676</v>
      </c>
      <c r="F3" s="13">
        <v>6.3520000000000003</v>
      </c>
      <c r="G3" s="13" t="s">
        <v>46</v>
      </c>
      <c r="H3" s="13" t="s">
        <v>10677</v>
      </c>
      <c r="I3" s="13" t="s">
        <v>10678</v>
      </c>
      <c r="J3" s="9" t="s">
        <v>10679</v>
      </c>
      <c r="K3" s="13">
        <v>145</v>
      </c>
      <c r="L3" s="14" t="s">
        <v>46</v>
      </c>
    </row>
    <row r="4" spans="1:12" ht="15" customHeight="1" x14ac:dyDescent="0.2">
      <c r="A4" s="13" t="s">
        <v>10680</v>
      </c>
      <c r="B4" s="13" t="s">
        <v>10680</v>
      </c>
      <c r="C4" s="13">
        <v>2021</v>
      </c>
      <c r="D4" s="13" t="s">
        <v>8589</v>
      </c>
      <c r="E4" s="13" t="s">
        <v>10681</v>
      </c>
      <c r="F4" s="13">
        <v>6.1</v>
      </c>
      <c r="G4" s="13" t="s">
        <v>46</v>
      </c>
      <c r="H4" s="13" t="s">
        <v>10682</v>
      </c>
      <c r="I4" s="13" t="s">
        <v>10683</v>
      </c>
      <c r="J4" s="9" t="s">
        <v>10684</v>
      </c>
      <c r="K4" s="13">
        <v>62</v>
      </c>
      <c r="L4" s="14" t="s">
        <v>46</v>
      </c>
    </row>
    <row r="5" spans="1:12" ht="15" customHeight="1" x14ac:dyDescent="0.2">
      <c r="A5" s="13" t="s">
        <v>10685</v>
      </c>
      <c r="B5" s="13" t="s">
        <v>10686</v>
      </c>
      <c r="C5" s="13">
        <v>2002</v>
      </c>
      <c r="D5" s="13" t="s">
        <v>10687</v>
      </c>
      <c r="E5" s="13" t="s">
        <v>566</v>
      </c>
      <c r="F5" s="13">
        <v>6.7</v>
      </c>
      <c r="G5" s="13" t="s">
        <v>18</v>
      </c>
      <c r="H5" s="13" t="s">
        <v>10688</v>
      </c>
      <c r="I5" s="13" t="s">
        <v>10689</v>
      </c>
      <c r="J5" s="9" t="s">
        <v>10690</v>
      </c>
      <c r="K5" s="13">
        <v>21</v>
      </c>
      <c r="L5" s="14" t="s">
        <v>18</v>
      </c>
    </row>
    <row r="6" spans="1:12" ht="15" customHeight="1" x14ac:dyDescent="0.2">
      <c r="A6" s="13" t="s">
        <v>10691</v>
      </c>
      <c r="B6" s="13" t="s">
        <v>6889</v>
      </c>
      <c r="C6" s="13">
        <v>1999</v>
      </c>
      <c r="D6" s="13" t="s">
        <v>413</v>
      </c>
      <c r="E6" s="13" t="s">
        <v>10692</v>
      </c>
      <c r="F6" s="13">
        <v>6.4370000000000003</v>
      </c>
      <c r="G6" s="13" t="s">
        <v>46</v>
      </c>
      <c r="H6" s="13" t="s">
        <v>10693</v>
      </c>
      <c r="I6" s="13" t="s">
        <v>10694</v>
      </c>
      <c r="J6" s="9" t="s">
        <v>10695</v>
      </c>
      <c r="K6" s="13">
        <v>189</v>
      </c>
      <c r="L6" s="14" t="s">
        <v>46</v>
      </c>
    </row>
    <row r="7" spans="1:12" ht="15" customHeight="1" x14ac:dyDescent="0.2">
      <c r="A7" s="13" t="s">
        <v>10696</v>
      </c>
      <c r="B7" s="13" t="s">
        <v>10696</v>
      </c>
      <c r="C7" s="13">
        <v>2023</v>
      </c>
      <c r="D7" s="13" t="s">
        <v>413</v>
      </c>
      <c r="E7" s="13" t="s">
        <v>1270</v>
      </c>
      <c r="F7" s="13">
        <v>5.41</v>
      </c>
      <c r="G7" s="13" t="s">
        <v>28</v>
      </c>
      <c r="H7" s="13" t="s">
        <v>10697</v>
      </c>
      <c r="I7" s="13" t="s">
        <v>10698</v>
      </c>
      <c r="J7" s="9" t="s">
        <v>10699</v>
      </c>
      <c r="K7" s="13">
        <v>244</v>
      </c>
      <c r="L7" s="14" t="s">
        <v>28</v>
      </c>
    </row>
    <row r="8" spans="1:12" ht="15" customHeight="1" x14ac:dyDescent="0.2">
      <c r="A8" s="13" t="s">
        <v>10700</v>
      </c>
      <c r="B8" s="13" t="s">
        <v>10700</v>
      </c>
      <c r="C8" s="13">
        <v>2013</v>
      </c>
      <c r="D8" s="13" t="s">
        <v>530</v>
      </c>
      <c r="E8" s="13" t="s">
        <v>3274</v>
      </c>
      <c r="F8" s="13">
        <v>4</v>
      </c>
      <c r="G8" s="13" t="s">
        <v>86</v>
      </c>
      <c r="H8" s="13" t="s">
        <v>10701</v>
      </c>
      <c r="I8" s="13" t="s">
        <v>10702</v>
      </c>
      <c r="J8" s="9" t="s">
        <v>10703</v>
      </c>
      <c r="K8" s="13">
        <v>1</v>
      </c>
      <c r="L8" s="14" t="s">
        <v>86</v>
      </c>
    </row>
    <row r="9" spans="1:12" ht="15" customHeight="1" x14ac:dyDescent="0.2">
      <c r="A9" s="13" t="s">
        <v>10704</v>
      </c>
      <c r="B9" s="13" t="s">
        <v>10705</v>
      </c>
      <c r="C9" s="13">
        <v>1988</v>
      </c>
      <c r="D9" s="13" t="s">
        <v>15</v>
      </c>
      <c r="E9" s="13" t="s">
        <v>5530</v>
      </c>
      <c r="F9" s="13">
        <v>5.3609999999999998</v>
      </c>
      <c r="G9" s="13" t="s">
        <v>28</v>
      </c>
      <c r="H9" s="13" t="s">
        <v>10706</v>
      </c>
      <c r="I9" s="13" t="s">
        <v>10707</v>
      </c>
      <c r="J9" s="9" t="s">
        <v>10708</v>
      </c>
      <c r="K9" s="13">
        <v>202</v>
      </c>
      <c r="L9" s="14" t="s">
        <v>28</v>
      </c>
    </row>
    <row r="10" spans="1:12" ht="15" customHeight="1" x14ac:dyDescent="0.2">
      <c r="A10" s="13" t="s">
        <v>10709</v>
      </c>
      <c r="B10" s="13" t="s">
        <v>10709</v>
      </c>
      <c r="C10" s="13">
        <v>2019</v>
      </c>
      <c r="D10" s="13" t="s">
        <v>560</v>
      </c>
      <c r="E10" s="13" t="s">
        <v>10710</v>
      </c>
      <c r="F10" s="13">
        <v>6.4</v>
      </c>
      <c r="G10" s="13" t="s">
        <v>46</v>
      </c>
      <c r="H10" s="13" t="s">
        <v>10711</v>
      </c>
      <c r="I10" s="13" t="s">
        <v>10712</v>
      </c>
      <c r="J10" s="9" t="s">
        <v>10713</v>
      </c>
      <c r="K10" s="13">
        <v>119</v>
      </c>
      <c r="L10" s="14" t="s">
        <v>46</v>
      </c>
    </row>
    <row r="11" spans="1:12" ht="15" customHeight="1" x14ac:dyDescent="0.2">
      <c r="A11" s="15" t="s">
        <v>10714</v>
      </c>
      <c r="B11" s="15" t="s">
        <v>10715</v>
      </c>
      <c r="C11" s="15">
        <v>2017</v>
      </c>
      <c r="D11" s="15" t="s">
        <v>413</v>
      </c>
      <c r="E11" s="15" t="s">
        <v>10716</v>
      </c>
      <c r="F11" s="15">
        <v>5.4</v>
      </c>
      <c r="G11" s="15" t="s">
        <v>46</v>
      </c>
      <c r="H11" s="15" t="s">
        <v>10717</v>
      </c>
      <c r="I11" s="15" t="s">
        <v>10718</v>
      </c>
      <c r="J11" s="10"/>
      <c r="K11" s="15">
        <v>10</v>
      </c>
      <c r="L11" s="14" t="s">
        <v>46</v>
      </c>
    </row>
    <row r="12" spans="1:12" ht="15" customHeight="1" x14ac:dyDescent="0.2">
      <c r="A12" s="13" t="s">
        <v>10719</v>
      </c>
      <c r="B12" s="13" t="s">
        <v>10719</v>
      </c>
      <c r="C12" s="13">
        <v>2014</v>
      </c>
      <c r="D12" s="13" t="s">
        <v>413</v>
      </c>
      <c r="E12" s="13" t="s">
        <v>10720</v>
      </c>
      <c r="F12" s="13">
        <v>5.9</v>
      </c>
      <c r="G12" s="13" t="s">
        <v>46</v>
      </c>
      <c r="H12" s="13" t="s">
        <v>10721</v>
      </c>
      <c r="I12" s="13" t="s">
        <v>10722</v>
      </c>
      <c r="J12" s="9" t="s">
        <v>10723</v>
      </c>
      <c r="K12" s="13">
        <v>202</v>
      </c>
      <c r="L12" s="14" t="s">
        <v>46</v>
      </c>
    </row>
    <row r="13" spans="1:12" ht="15" customHeight="1" x14ac:dyDescent="0.2">
      <c r="A13" s="13" t="s">
        <v>10724</v>
      </c>
      <c r="B13" s="13" t="s">
        <v>10725</v>
      </c>
      <c r="C13" s="13">
        <v>2022</v>
      </c>
      <c r="D13" s="13" t="s">
        <v>413</v>
      </c>
      <c r="E13" s="13" t="s">
        <v>10726</v>
      </c>
      <c r="F13" s="13">
        <v>5.819</v>
      </c>
      <c r="G13" s="13" t="s">
        <v>46</v>
      </c>
      <c r="H13" s="13" t="s">
        <v>10727</v>
      </c>
      <c r="I13" s="13" t="s">
        <v>10728</v>
      </c>
      <c r="J13" s="9" t="s">
        <v>10729</v>
      </c>
      <c r="K13" s="13">
        <v>229</v>
      </c>
      <c r="L13" s="14" t="s">
        <v>46</v>
      </c>
    </row>
    <row r="14" spans="1:12" ht="15" customHeight="1" x14ac:dyDescent="0.2">
      <c r="A14" s="13" t="s">
        <v>10730</v>
      </c>
      <c r="B14" s="13" t="s">
        <v>10730</v>
      </c>
      <c r="C14" s="13">
        <v>2013</v>
      </c>
      <c r="D14" s="13" t="s">
        <v>939</v>
      </c>
      <c r="E14" s="13" t="s">
        <v>10731</v>
      </c>
      <c r="F14" s="13"/>
      <c r="G14" s="13"/>
      <c r="H14" s="13" t="s">
        <v>10732</v>
      </c>
      <c r="I14" s="13" t="s">
        <v>10733</v>
      </c>
      <c r="J14" s="9" t="s">
        <v>10734</v>
      </c>
      <c r="K14" s="13"/>
      <c r="L14" s="14"/>
    </row>
    <row r="15" spans="1:12" ht="15" customHeight="1" x14ac:dyDescent="0.2">
      <c r="A15" s="13" t="s">
        <v>10735</v>
      </c>
      <c r="B15" s="13" t="s">
        <v>10735</v>
      </c>
      <c r="C15" s="13">
        <v>2006</v>
      </c>
      <c r="D15" s="13" t="s">
        <v>1949</v>
      </c>
      <c r="E15" s="13" t="s">
        <v>1013</v>
      </c>
      <c r="F15" s="13">
        <v>1.667</v>
      </c>
      <c r="G15" s="13" t="s">
        <v>1310</v>
      </c>
      <c r="H15" s="13" t="s">
        <v>10736</v>
      </c>
      <c r="I15" s="13" t="s">
        <v>10737</v>
      </c>
      <c r="J15" s="9" t="s">
        <v>10738</v>
      </c>
      <c r="K15" s="13">
        <v>3</v>
      </c>
      <c r="L15" s="14" t="s">
        <v>1310</v>
      </c>
    </row>
    <row r="16" spans="1:12" ht="15" customHeight="1" x14ac:dyDescent="0.2">
      <c r="A16" s="13" t="s">
        <v>10739</v>
      </c>
      <c r="B16" s="13" t="s">
        <v>10740</v>
      </c>
      <c r="C16" s="13">
        <v>2019</v>
      </c>
      <c r="D16" s="13" t="s">
        <v>8286</v>
      </c>
      <c r="E16" s="13" t="s">
        <v>10741</v>
      </c>
      <c r="F16" s="13">
        <v>6.6879999999999997</v>
      </c>
      <c r="G16" s="13" t="s">
        <v>18</v>
      </c>
      <c r="H16" s="13" t="s">
        <v>10742</v>
      </c>
      <c r="I16" s="13" t="s">
        <v>10743</v>
      </c>
      <c r="J16" s="9" t="s">
        <v>10744</v>
      </c>
      <c r="K16" s="13">
        <v>24</v>
      </c>
      <c r="L16" s="14" t="s">
        <v>18</v>
      </c>
    </row>
    <row r="17" spans="1:12" ht="15" customHeight="1" x14ac:dyDescent="0.2">
      <c r="A17" s="13" t="s">
        <v>10745</v>
      </c>
      <c r="B17" s="13" t="s">
        <v>10746</v>
      </c>
      <c r="C17" s="13">
        <v>2008</v>
      </c>
      <c r="D17" s="13" t="s">
        <v>560</v>
      </c>
      <c r="E17" s="13" t="s">
        <v>10747</v>
      </c>
      <c r="F17" s="13">
        <v>6.3</v>
      </c>
      <c r="G17" s="13" t="s">
        <v>46</v>
      </c>
      <c r="H17" s="13" t="s">
        <v>10748</v>
      </c>
      <c r="I17" s="13" t="s">
        <v>10749</v>
      </c>
      <c r="J17" s="9" t="s">
        <v>10750</v>
      </c>
      <c r="K17" s="13">
        <v>53</v>
      </c>
      <c r="L17" s="14" t="s">
        <v>46</v>
      </c>
    </row>
    <row r="18" spans="1:12" ht="15" customHeight="1" x14ac:dyDescent="0.2">
      <c r="A18" s="13" t="s">
        <v>10751</v>
      </c>
      <c r="B18" s="13" t="s">
        <v>10752</v>
      </c>
      <c r="C18" s="13">
        <v>2020</v>
      </c>
      <c r="D18" s="13" t="s">
        <v>8589</v>
      </c>
      <c r="E18" s="13" t="s">
        <v>10720</v>
      </c>
      <c r="F18" s="13">
        <v>6.9569999999999999</v>
      </c>
      <c r="G18" s="13" t="s">
        <v>18</v>
      </c>
      <c r="H18" s="13" t="s">
        <v>10753</v>
      </c>
      <c r="I18" s="13" t="s">
        <v>10754</v>
      </c>
      <c r="J18" s="9" t="s">
        <v>10755</v>
      </c>
      <c r="K18" s="13">
        <v>46</v>
      </c>
      <c r="L18" s="14" t="s">
        <v>18</v>
      </c>
    </row>
    <row r="19" spans="1:12" ht="15" customHeight="1" x14ac:dyDescent="0.2">
      <c r="A19" s="13" t="s">
        <v>10756</v>
      </c>
      <c r="B19" s="13" t="s">
        <v>10757</v>
      </c>
      <c r="C19" s="13">
        <v>1947</v>
      </c>
      <c r="D19" s="13" t="s">
        <v>413</v>
      </c>
      <c r="E19" s="13" t="s">
        <v>3014</v>
      </c>
      <c r="F19" s="13">
        <v>7.3719999999999999</v>
      </c>
      <c r="G19" s="13" t="s">
        <v>18</v>
      </c>
      <c r="H19" s="13" t="s">
        <v>10758</v>
      </c>
      <c r="I19" s="13" t="s">
        <v>10759</v>
      </c>
      <c r="J19" s="9" t="s">
        <v>10760</v>
      </c>
      <c r="K19" s="13">
        <v>800</v>
      </c>
      <c r="L19" s="14" t="s">
        <v>18</v>
      </c>
    </row>
    <row r="20" spans="1:12" ht="15" customHeight="1" x14ac:dyDescent="0.2">
      <c r="A20" s="13" t="s">
        <v>10761</v>
      </c>
      <c r="B20" s="13" t="s">
        <v>10762</v>
      </c>
      <c r="C20" s="13">
        <v>1990</v>
      </c>
      <c r="D20" s="13" t="s">
        <v>880</v>
      </c>
      <c r="E20" s="13" t="s">
        <v>10763</v>
      </c>
      <c r="F20" s="13">
        <v>5.9</v>
      </c>
      <c r="G20" s="13" t="s">
        <v>46</v>
      </c>
      <c r="H20" s="13" t="s">
        <v>10764</v>
      </c>
      <c r="I20" s="13" t="s">
        <v>10765</v>
      </c>
      <c r="J20" s="9" t="s">
        <v>10766</v>
      </c>
      <c r="K20" s="13">
        <v>108</v>
      </c>
      <c r="L20" s="14" t="s">
        <v>46</v>
      </c>
    </row>
    <row r="21" spans="1:12" ht="15" customHeight="1" x14ac:dyDescent="0.2">
      <c r="A21" s="15" t="s">
        <v>10767</v>
      </c>
      <c r="B21" s="15" t="s">
        <v>10768</v>
      </c>
      <c r="C21" s="15">
        <v>2016</v>
      </c>
      <c r="D21" s="15" t="s">
        <v>560</v>
      </c>
      <c r="E21" s="15" t="s">
        <v>10769</v>
      </c>
      <c r="F21" s="15">
        <v>6.2</v>
      </c>
      <c r="G21" s="15" t="s">
        <v>46</v>
      </c>
      <c r="H21" s="15" t="s">
        <v>10770</v>
      </c>
      <c r="I21" s="15" t="s">
        <v>10771</v>
      </c>
      <c r="J21" s="10" t="s">
        <v>10772</v>
      </c>
      <c r="K21" s="15">
        <v>42</v>
      </c>
      <c r="L21" s="14" t="s">
        <v>46</v>
      </c>
    </row>
    <row r="22" spans="1:12" ht="15" customHeight="1" x14ac:dyDescent="0.2">
      <c r="A22" s="13" t="s">
        <v>10773</v>
      </c>
      <c r="B22" s="13" t="s">
        <v>10773</v>
      </c>
      <c r="C22" s="13">
        <v>2008</v>
      </c>
      <c r="D22" s="13" t="s">
        <v>1949</v>
      </c>
      <c r="E22" s="13" t="s">
        <v>8327</v>
      </c>
      <c r="F22" s="13">
        <v>5.6</v>
      </c>
      <c r="G22" s="13" t="s">
        <v>46</v>
      </c>
      <c r="H22" s="13" t="s">
        <v>10774</v>
      </c>
      <c r="I22" s="13" t="s">
        <v>10775</v>
      </c>
      <c r="J22" s="9" t="s">
        <v>10776</v>
      </c>
      <c r="K22" s="13">
        <v>4</v>
      </c>
      <c r="L22" s="14" t="s">
        <v>46</v>
      </c>
    </row>
    <row r="23" spans="1:12" ht="15" customHeight="1" x14ac:dyDescent="0.2">
      <c r="A23" s="13" t="s">
        <v>10777</v>
      </c>
      <c r="B23" s="13" t="s">
        <v>10777</v>
      </c>
      <c r="C23" s="13">
        <v>2012</v>
      </c>
      <c r="D23" s="13" t="s">
        <v>530</v>
      </c>
      <c r="E23" s="13" t="s">
        <v>399</v>
      </c>
      <c r="F23" s="13">
        <v>6</v>
      </c>
      <c r="G23" s="13" t="s">
        <v>46</v>
      </c>
      <c r="H23" s="13" t="s">
        <v>10778</v>
      </c>
      <c r="I23" s="13" t="s">
        <v>10779</v>
      </c>
      <c r="J23" s="9" t="s">
        <v>10780</v>
      </c>
      <c r="K23" s="13">
        <v>2</v>
      </c>
      <c r="L23" s="14" t="s">
        <v>46</v>
      </c>
    </row>
    <row r="24" spans="1:12" ht="15" customHeight="1" x14ac:dyDescent="0.2">
      <c r="A24" s="13" t="s">
        <v>10781</v>
      </c>
      <c r="B24" s="13" t="s">
        <v>10781</v>
      </c>
      <c r="C24" s="13">
        <v>2018</v>
      </c>
      <c r="D24" s="13" t="s">
        <v>530</v>
      </c>
      <c r="E24" s="13" t="s">
        <v>10782</v>
      </c>
      <c r="F24" s="13">
        <v>7.25</v>
      </c>
      <c r="G24" s="13" t="s">
        <v>18</v>
      </c>
      <c r="H24" s="13" t="s">
        <v>10783</v>
      </c>
      <c r="I24" s="13" t="s">
        <v>10784</v>
      </c>
      <c r="J24" s="9" t="s">
        <v>10785</v>
      </c>
      <c r="K24" s="13">
        <v>9</v>
      </c>
      <c r="L24" s="14" t="s">
        <v>18</v>
      </c>
    </row>
    <row r="25" spans="1:12" ht="15" customHeight="1" x14ac:dyDescent="0.2">
      <c r="A25" s="13" t="s">
        <v>10786</v>
      </c>
      <c r="B25" s="13" t="s">
        <v>10787</v>
      </c>
      <c r="C25" s="13">
        <v>2005</v>
      </c>
      <c r="D25" s="13" t="s">
        <v>467</v>
      </c>
      <c r="E25" s="13" t="s">
        <v>1961</v>
      </c>
      <c r="F25" s="13">
        <v>6.2859999999999996</v>
      </c>
      <c r="G25" s="13" t="s">
        <v>46</v>
      </c>
      <c r="H25" s="13" t="s">
        <v>10788</v>
      </c>
      <c r="I25" s="13" t="s">
        <v>10789</v>
      </c>
      <c r="J25" s="9" t="s">
        <v>10790</v>
      </c>
      <c r="K25" s="13">
        <v>1068</v>
      </c>
      <c r="L25" s="14" t="s">
        <v>46</v>
      </c>
    </row>
    <row r="26" spans="1:12" ht="15" customHeight="1" x14ac:dyDescent="0.2">
      <c r="A26" s="13" t="s">
        <v>10791</v>
      </c>
      <c r="B26" s="13" t="s">
        <v>10792</v>
      </c>
      <c r="C26" s="13">
        <v>2020</v>
      </c>
      <c r="D26" s="13" t="s">
        <v>8286</v>
      </c>
      <c r="E26" s="13" t="s">
        <v>10710</v>
      </c>
      <c r="F26" s="13">
        <v>6.1</v>
      </c>
      <c r="G26" s="13" t="s">
        <v>46</v>
      </c>
      <c r="H26" s="13" t="s">
        <v>10793</v>
      </c>
      <c r="I26" s="13" t="s">
        <v>10794</v>
      </c>
      <c r="J26" s="9" t="s">
        <v>10795</v>
      </c>
      <c r="K26" s="13">
        <v>11</v>
      </c>
      <c r="L26" s="14" t="s">
        <v>46</v>
      </c>
    </row>
    <row r="27" spans="1:12" ht="15" customHeight="1" x14ac:dyDescent="0.2">
      <c r="A27" s="13" t="s">
        <v>10796</v>
      </c>
      <c r="B27" s="13" t="s">
        <v>10797</v>
      </c>
      <c r="C27" s="13">
        <v>2016</v>
      </c>
      <c r="D27" s="13" t="s">
        <v>8547</v>
      </c>
      <c r="E27" s="13" t="s">
        <v>1013</v>
      </c>
      <c r="F27" s="13">
        <v>6</v>
      </c>
      <c r="G27" s="13" t="s">
        <v>46</v>
      </c>
      <c r="H27" s="13" t="s">
        <v>10798</v>
      </c>
      <c r="I27" s="13" t="s">
        <v>10799</v>
      </c>
      <c r="J27" s="9" t="s">
        <v>10800</v>
      </c>
      <c r="K27" s="13">
        <v>378</v>
      </c>
      <c r="L27" s="14" t="s">
        <v>46</v>
      </c>
    </row>
    <row r="28" spans="1:12" ht="15" customHeight="1" x14ac:dyDescent="0.2">
      <c r="A28" s="13" t="s">
        <v>10801</v>
      </c>
      <c r="B28" s="13" t="s">
        <v>10802</v>
      </c>
      <c r="C28" s="13">
        <v>2015</v>
      </c>
      <c r="D28" s="13" t="s">
        <v>3111</v>
      </c>
      <c r="E28" s="13" t="s">
        <v>10710</v>
      </c>
      <c r="F28" s="13">
        <v>5.8520000000000003</v>
      </c>
      <c r="G28" s="13" t="s">
        <v>46</v>
      </c>
      <c r="H28" s="13" t="s">
        <v>10803</v>
      </c>
      <c r="I28" s="13" t="s">
        <v>10804</v>
      </c>
      <c r="J28" s="9" t="s">
        <v>10805</v>
      </c>
      <c r="K28" s="13">
        <v>61</v>
      </c>
      <c r="L28" s="14" t="s">
        <v>46</v>
      </c>
    </row>
    <row r="29" spans="1:12" ht="15" customHeight="1" x14ac:dyDescent="0.2">
      <c r="A29" s="13" t="s">
        <v>10806</v>
      </c>
      <c r="B29" s="13" t="s">
        <v>10807</v>
      </c>
      <c r="C29" s="13">
        <v>2024</v>
      </c>
      <c r="D29" s="13" t="s">
        <v>10808</v>
      </c>
      <c r="E29" s="13" t="s">
        <v>10809</v>
      </c>
      <c r="F29" s="13">
        <v>6.75</v>
      </c>
      <c r="G29" s="13" t="s">
        <v>18</v>
      </c>
      <c r="H29" s="13" t="s">
        <v>10810</v>
      </c>
      <c r="I29" s="13" t="s">
        <v>10811</v>
      </c>
      <c r="J29" s="9" t="s">
        <v>10812</v>
      </c>
      <c r="K29" s="13">
        <v>104</v>
      </c>
      <c r="L29" s="14" t="s">
        <v>18</v>
      </c>
    </row>
    <row r="30" spans="1:12" ht="15" customHeight="1" x14ac:dyDescent="0.2">
      <c r="A30" s="13" t="s">
        <v>10813</v>
      </c>
      <c r="B30" s="13" t="s">
        <v>10814</v>
      </c>
      <c r="C30" s="13">
        <v>1999</v>
      </c>
      <c r="D30" s="13" t="s">
        <v>1058</v>
      </c>
      <c r="E30" s="13" t="s">
        <v>566</v>
      </c>
      <c r="F30" s="13">
        <v>6</v>
      </c>
      <c r="G30" s="13" t="s">
        <v>46</v>
      </c>
      <c r="H30" s="13" t="s">
        <v>10815</v>
      </c>
      <c r="I30" s="13" t="s">
        <v>10816</v>
      </c>
      <c r="J30" s="9" t="s">
        <v>10817</v>
      </c>
      <c r="K30" s="13">
        <v>2</v>
      </c>
      <c r="L30" s="14" t="s">
        <v>46</v>
      </c>
    </row>
    <row r="31" spans="1:12" ht="15" customHeight="1" x14ac:dyDescent="0.2">
      <c r="A31" s="15" t="s">
        <v>10818</v>
      </c>
      <c r="B31" s="15" t="s">
        <v>10819</v>
      </c>
      <c r="C31" s="15">
        <v>1940</v>
      </c>
      <c r="D31" s="15" t="s">
        <v>413</v>
      </c>
      <c r="E31" s="15" t="s">
        <v>2265</v>
      </c>
      <c r="F31" s="15">
        <v>7.3</v>
      </c>
      <c r="G31" s="15" t="s">
        <v>18</v>
      </c>
      <c r="H31" s="15" t="s">
        <v>10820</v>
      </c>
      <c r="I31" s="15" t="s">
        <v>10821</v>
      </c>
      <c r="J31" s="10" t="s">
        <v>10822</v>
      </c>
      <c r="K31" s="15">
        <v>116</v>
      </c>
      <c r="L31" s="14" t="s">
        <v>18</v>
      </c>
    </row>
    <row r="32" spans="1:12" ht="15" customHeight="1" x14ac:dyDescent="0.2">
      <c r="A32" s="13" t="s">
        <v>4022</v>
      </c>
      <c r="B32" s="13" t="s">
        <v>4022</v>
      </c>
      <c r="C32" s="13">
        <v>1986</v>
      </c>
      <c r="D32" s="13" t="s">
        <v>3224</v>
      </c>
      <c r="E32" s="13" t="s">
        <v>10823</v>
      </c>
      <c r="F32" s="13">
        <v>7</v>
      </c>
      <c r="G32" s="13" t="s">
        <v>18</v>
      </c>
      <c r="H32" s="13" t="s">
        <v>4023</v>
      </c>
      <c r="I32" s="13" t="s">
        <v>10824</v>
      </c>
      <c r="J32" s="9" t="s">
        <v>4025</v>
      </c>
      <c r="K32" s="13">
        <v>2</v>
      </c>
      <c r="L32" s="14" t="s">
        <v>18</v>
      </c>
    </row>
    <row r="33" spans="1:12" ht="15" customHeight="1" x14ac:dyDescent="0.2">
      <c r="A33" s="13" t="s">
        <v>10825</v>
      </c>
      <c r="B33" s="13" t="s">
        <v>10825</v>
      </c>
      <c r="C33" s="13">
        <v>1976</v>
      </c>
      <c r="D33" s="13" t="s">
        <v>3224</v>
      </c>
      <c r="E33" s="13" t="s">
        <v>1321</v>
      </c>
      <c r="F33" s="13">
        <v>0</v>
      </c>
      <c r="G33" s="13"/>
      <c r="H33" s="13" t="s">
        <v>10826</v>
      </c>
      <c r="I33" s="13" t="s">
        <v>10827</v>
      </c>
      <c r="J33" s="9" t="s">
        <v>10828</v>
      </c>
      <c r="K33" s="13">
        <v>0</v>
      </c>
      <c r="L33" s="14"/>
    </row>
    <row r="34" spans="1:12" ht="15" customHeight="1" x14ac:dyDescent="0.2">
      <c r="A34" s="13" t="s">
        <v>10829</v>
      </c>
      <c r="B34" s="13" t="s">
        <v>10830</v>
      </c>
      <c r="C34" s="13">
        <v>2016</v>
      </c>
      <c r="D34" s="13" t="s">
        <v>15</v>
      </c>
      <c r="E34" s="13" t="s">
        <v>10831</v>
      </c>
      <c r="F34" s="13">
        <v>5.2149999999999999</v>
      </c>
      <c r="G34" s="13" t="s">
        <v>28</v>
      </c>
      <c r="H34" s="13" t="s">
        <v>10832</v>
      </c>
      <c r="I34" s="13" t="s">
        <v>10833</v>
      </c>
      <c r="J34" s="9" t="s">
        <v>10834</v>
      </c>
      <c r="K34" s="13">
        <v>79</v>
      </c>
      <c r="L34" s="14" t="s">
        <v>28</v>
      </c>
    </row>
    <row r="35" spans="1:12" ht="15" customHeight="1" x14ac:dyDescent="0.2">
      <c r="A35" s="13" t="s">
        <v>10835</v>
      </c>
      <c r="B35" s="13" t="s">
        <v>10836</v>
      </c>
      <c r="C35" s="13">
        <v>1996</v>
      </c>
      <c r="D35" s="13" t="s">
        <v>15</v>
      </c>
      <c r="E35" s="13" t="s">
        <v>10837</v>
      </c>
      <c r="F35" s="13">
        <v>5.9</v>
      </c>
      <c r="G35" s="13" t="s">
        <v>46</v>
      </c>
      <c r="H35" s="13" t="s">
        <v>10838</v>
      </c>
      <c r="I35" s="13" t="s">
        <v>10839</v>
      </c>
      <c r="J35" s="9" t="s">
        <v>10840</v>
      </c>
      <c r="K35" s="13">
        <v>17</v>
      </c>
      <c r="L35" s="14" t="s">
        <v>46</v>
      </c>
    </row>
    <row r="36" spans="1:12" ht="15" customHeight="1" x14ac:dyDescent="0.2">
      <c r="A36" s="13" t="s">
        <v>10841</v>
      </c>
      <c r="B36" s="13" t="s">
        <v>10842</v>
      </c>
      <c r="C36" s="13">
        <v>2021</v>
      </c>
      <c r="D36" s="13" t="s">
        <v>10843</v>
      </c>
      <c r="E36" s="13" t="s">
        <v>10844</v>
      </c>
      <c r="F36" s="13">
        <v>7.3</v>
      </c>
      <c r="G36" s="13" t="s">
        <v>18</v>
      </c>
      <c r="H36" s="13" t="s">
        <v>10845</v>
      </c>
      <c r="I36" s="13" t="s">
        <v>10846</v>
      </c>
      <c r="J36" s="9" t="s">
        <v>10847</v>
      </c>
      <c r="K36" s="13">
        <v>775</v>
      </c>
      <c r="L36" s="14" t="s">
        <v>18</v>
      </c>
    </row>
    <row r="37" spans="1:12" ht="15" customHeight="1" x14ac:dyDescent="0.2">
      <c r="A37" s="13" t="s">
        <v>10848</v>
      </c>
      <c r="B37" s="13" t="s">
        <v>10849</v>
      </c>
      <c r="C37" s="13">
        <v>2020</v>
      </c>
      <c r="D37" s="13" t="s">
        <v>8286</v>
      </c>
      <c r="E37" s="13" t="s">
        <v>10850</v>
      </c>
      <c r="F37" s="13">
        <v>5.6</v>
      </c>
      <c r="G37" s="13" t="s">
        <v>46</v>
      </c>
      <c r="H37" s="13" t="s">
        <v>10851</v>
      </c>
      <c r="I37" s="13" t="s">
        <v>10852</v>
      </c>
      <c r="J37" s="9" t="s">
        <v>10853</v>
      </c>
      <c r="K37" s="13">
        <v>25</v>
      </c>
      <c r="L37" s="14" t="s">
        <v>46</v>
      </c>
    </row>
    <row r="38" spans="1:12" ht="15" customHeight="1" x14ac:dyDescent="0.2">
      <c r="A38" s="13" t="s">
        <v>10854</v>
      </c>
      <c r="B38" s="13" t="s">
        <v>10854</v>
      </c>
      <c r="C38" s="13">
        <v>2022</v>
      </c>
      <c r="D38" s="13" t="s">
        <v>530</v>
      </c>
      <c r="E38" s="13" t="s">
        <v>10855</v>
      </c>
      <c r="F38" s="13">
        <v>6</v>
      </c>
      <c r="G38" s="13" t="s">
        <v>46</v>
      </c>
      <c r="H38" s="13" t="s">
        <v>10856</v>
      </c>
      <c r="I38" s="13" t="s">
        <v>10857</v>
      </c>
      <c r="J38" s="9" t="s">
        <v>10858</v>
      </c>
      <c r="K38" s="13">
        <v>2</v>
      </c>
      <c r="L38" s="14" t="s">
        <v>46</v>
      </c>
    </row>
    <row r="39" spans="1:12" ht="15" customHeight="1" x14ac:dyDescent="0.2">
      <c r="A39" s="13" t="s">
        <v>10859</v>
      </c>
      <c r="B39" s="13" t="s">
        <v>10860</v>
      </c>
      <c r="C39" s="13">
        <v>2013</v>
      </c>
      <c r="D39" s="13" t="s">
        <v>413</v>
      </c>
      <c r="E39" s="13" t="s">
        <v>10861</v>
      </c>
      <c r="F39" s="13">
        <v>5.4</v>
      </c>
      <c r="G39" s="13" t="s">
        <v>28</v>
      </c>
      <c r="H39" s="13" t="s">
        <v>10862</v>
      </c>
      <c r="I39" s="13" t="s">
        <v>10863</v>
      </c>
      <c r="J39" s="9" t="s">
        <v>10864</v>
      </c>
      <c r="K39" s="13">
        <v>20</v>
      </c>
      <c r="L39" s="14" t="s">
        <v>28</v>
      </c>
    </row>
    <row r="40" spans="1:12" ht="15" customHeight="1" x14ac:dyDescent="0.2">
      <c r="A40" s="13" t="s">
        <v>10865</v>
      </c>
      <c r="B40" s="13" t="s">
        <v>10866</v>
      </c>
      <c r="C40" s="13">
        <v>2021</v>
      </c>
      <c r="D40" s="13" t="s">
        <v>8589</v>
      </c>
      <c r="E40" s="13" t="s">
        <v>10867</v>
      </c>
      <c r="F40" s="13">
        <v>6.9</v>
      </c>
      <c r="G40" s="13" t="s">
        <v>18</v>
      </c>
      <c r="H40" s="13" t="s">
        <v>10868</v>
      </c>
      <c r="I40" s="13" t="s">
        <v>10869</v>
      </c>
      <c r="J40" s="9" t="s">
        <v>10870</v>
      </c>
      <c r="K40" s="13">
        <v>40</v>
      </c>
      <c r="L40" s="14" t="s">
        <v>18</v>
      </c>
    </row>
    <row r="41" spans="1:12" ht="15" customHeight="1" x14ac:dyDescent="0.2">
      <c r="A41" s="15" t="s">
        <v>10871</v>
      </c>
      <c r="B41" s="15" t="s">
        <v>10872</v>
      </c>
      <c r="C41" s="15">
        <v>2022</v>
      </c>
      <c r="D41" s="15" t="s">
        <v>8589</v>
      </c>
      <c r="E41" s="15" t="s">
        <v>10855</v>
      </c>
      <c r="F41" s="15">
        <v>5.9</v>
      </c>
      <c r="G41" s="15" t="s">
        <v>46</v>
      </c>
      <c r="H41" s="15" t="s">
        <v>10873</v>
      </c>
      <c r="I41" s="15" t="s">
        <v>10874</v>
      </c>
      <c r="J41" s="10" t="s">
        <v>10875</v>
      </c>
      <c r="K41" s="15">
        <v>17</v>
      </c>
      <c r="L41" s="14" t="s">
        <v>46</v>
      </c>
    </row>
    <row r="42" spans="1:12" ht="15" customHeight="1" x14ac:dyDescent="0.2">
      <c r="A42" s="13" t="s">
        <v>10876</v>
      </c>
      <c r="B42" s="13" t="s">
        <v>10877</v>
      </c>
      <c r="C42" s="13">
        <v>2022</v>
      </c>
      <c r="D42" s="13" t="s">
        <v>413</v>
      </c>
      <c r="E42" s="13" t="s">
        <v>10855</v>
      </c>
      <c r="F42" s="13">
        <v>6.8</v>
      </c>
      <c r="G42" s="13" t="s">
        <v>18</v>
      </c>
      <c r="H42" s="13" t="s">
        <v>10878</v>
      </c>
      <c r="I42" s="13" t="s">
        <v>10879</v>
      </c>
      <c r="J42" s="9" t="s">
        <v>10880</v>
      </c>
      <c r="K42" s="13">
        <v>32</v>
      </c>
      <c r="L42" s="14" t="s">
        <v>18</v>
      </c>
    </row>
    <row r="43" spans="1:12" ht="15" customHeight="1" x14ac:dyDescent="0.2">
      <c r="A43" s="13" t="s">
        <v>10881</v>
      </c>
      <c r="B43" s="13" t="s">
        <v>10882</v>
      </c>
      <c r="C43" s="13">
        <v>2019</v>
      </c>
      <c r="D43" s="13" t="s">
        <v>560</v>
      </c>
      <c r="E43" s="13" t="s">
        <v>10883</v>
      </c>
      <c r="F43" s="13">
        <v>6.4050000000000002</v>
      </c>
      <c r="G43" s="13" t="s">
        <v>46</v>
      </c>
      <c r="H43" s="13" t="s">
        <v>10884</v>
      </c>
      <c r="I43" s="13" t="s">
        <v>10885</v>
      </c>
      <c r="J43" s="9" t="s">
        <v>10886</v>
      </c>
      <c r="K43" s="13">
        <v>42</v>
      </c>
      <c r="L43" s="14" t="s">
        <v>46</v>
      </c>
    </row>
    <row r="44" spans="1:12" ht="15" customHeight="1" x14ac:dyDescent="0.2">
      <c r="A44" s="13" t="s">
        <v>10887</v>
      </c>
      <c r="B44" s="13" t="s">
        <v>10888</v>
      </c>
      <c r="C44" s="13">
        <v>1998</v>
      </c>
      <c r="D44" s="13" t="s">
        <v>560</v>
      </c>
      <c r="E44" s="13" t="s">
        <v>5530</v>
      </c>
      <c r="F44" s="13">
        <v>5.9720000000000004</v>
      </c>
      <c r="G44" s="13" t="s">
        <v>46</v>
      </c>
      <c r="H44" s="13" t="s">
        <v>10889</v>
      </c>
      <c r="I44" s="13" t="s">
        <v>10890</v>
      </c>
      <c r="J44" s="9" t="s">
        <v>10891</v>
      </c>
      <c r="K44" s="13">
        <v>346</v>
      </c>
      <c r="L44" s="14" t="s">
        <v>46</v>
      </c>
    </row>
    <row r="45" spans="1:12" ht="15" customHeight="1" x14ac:dyDescent="0.2">
      <c r="A45" s="13" t="s">
        <v>10892</v>
      </c>
      <c r="B45" s="13" t="s">
        <v>10525</v>
      </c>
      <c r="C45" s="13">
        <v>2003</v>
      </c>
      <c r="D45" s="13" t="s">
        <v>781</v>
      </c>
      <c r="E45" s="13" t="s">
        <v>10893</v>
      </c>
      <c r="F45" s="13">
        <v>6.4</v>
      </c>
      <c r="G45" s="13" t="s">
        <v>46</v>
      </c>
      <c r="H45" s="13" t="s">
        <v>10526</v>
      </c>
      <c r="I45" s="13" t="s">
        <v>10894</v>
      </c>
      <c r="J45" s="9" t="s">
        <v>10523</v>
      </c>
      <c r="K45" s="13">
        <v>72</v>
      </c>
      <c r="L45" s="14" t="s">
        <v>46</v>
      </c>
    </row>
    <row r="46" spans="1:12" ht="15" customHeight="1" x14ac:dyDescent="0.2">
      <c r="A46" s="13" t="s">
        <v>10524</v>
      </c>
      <c r="B46" s="13" t="s">
        <v>10525</v>
      </c>
      <c r="C46" s="13">
        <v>2003</v>
      </c>
      <c r="D46" s="13" t="s">
        <v>781</v>
      </c>
      <c r="E46" s="13" t="s">
        <v>10893</v>
      </c>
      <c r="F46" s="13">
        <v>6.4</v>
      </c>
      <c r="G46" s="13" t="s">
        <v>46</v>
      </c>
      <c r="H46" s="13" t="s">
        <v>10526</v>
      </c>
      <c r="I46" s="13" t="s">
        <v>10894</v>
      </c>
      <c r="J46" s="9" t="s">
        <v>10523</v>
      </c>
      <c r="K46" s="13">
        <v>72</v>
      </c>
      <c r="L46" s="14" t="s">
        <v>46</v>
      </c>
    </row>
    <row r="47" spans="1:12" ht="15" customHeight="1" x14ac:dyDescent="0.2">
      <c r="A47" s="13" t="s">
        <v>10895</v>
      </c>
      <c r="B47" s="13" t="s">
        <v>10895</v>
      </c>
      <c r="C47" s="13">
        <v>2023</v>
      </c>
      <c r="D47" s="13" t="s">
        <v>560</v>
      </c>
      <c r="E47" s="13" t="s">
        <v>10896</v>
      </c>
      <c r="F47" s="13">
        <v>6.4</v>
      </c>
      <c r="G47" s="13" t="s">
        <v>46</v>
      </c>
      <c r="H47" s="13" t="s">
        <v>10897</v>
      </c>
      <c r="I47" s="13" t="s">
        <v>10898</v>
      </c>
      <c r="J47" s="9" t="s">
        <v>10899</v>
      </c>
      <c r="K47" s="13">
        <v>140</v>
      </c>
      <c r="L47" s="14" t="s">
        <v>46</v>
      </c>
    </row>
    <row r="48" spans="1:12" ht="15" customHeight="1" x14ac:dyDescent="0.2">
      <c r="A48" s="13" t="s">
        <v>10900</v>
      </c>
      <c r="B48" s="13" t="s">
        <v>10900</v>
      </c>
      <c r="C48" s="13">
        <v>2020</v>
      </c>
      <c r="D48" s="13" t="s">
        <v>530</v>
      </c>
      <c r="E48" s="13" t="s">
        <v>10901</v>
      </c>
      <c r="F48" s="13">
        <v>6</v>
      </c>
      <c r="G48" s="13" t="s">
        <v>46</v>
      </c>
      <c r="H48" s="13" t="s">
        <v>10902</v>
      </c>
      <c r="I48" s="13" t="s">
        <v>10903</v>
      </c>
      <c r="J48" s="9" t="s">
        <v>10904</v>
      </c>
      <c r="K48" s="13">
        <v>6</v>
      </c>
      <c r="L48" s="14" t="s">
        <v>46</v>
      </c>
    </row>
    <row r="49" spans="1:12" ht="15" customHeight="1" x14ac:dyDescent="0.2">
      <c r="A49" s="13" t="s">
        <v>10905</v>
      </c>
      <c r="B49" s="13" t="s">
        <v>10906</v>
      </c>
      <c r="C49" s="13">
        <v>1995</v>
      </c>
      <c r="D49" s="13" t="s">
        <v>413</v>
      </c>
      <c r="E49" s="13" t="s">
        <v>1961</v>
      </c>
      <c r="F49" s="13">
        <v>6.2</v>
      </c>
      <c r="G49" s="13" t="s">
        <v>46</v>
      </c>
      <c r="H49" s="13" t="s">
        <v>10907</v>
      </c>
      <c r="I49" s="13" t="s">
        <v>10908</v>
      </c>
      <c r="J49" s="9" t="s">
        <v>10909</v>
      </c>
      <c r="K49" s="13">
        <v>187</v>
      </c>
      <c r="L49" s="14" t="s">
        <v>46</v>
      </c>
    </row>
    <row r="50" spans="1:12" ht="15" customHeight="1" x14ac:dyDescent="0.2">
      <c r="A50" s="13" t="s">
        <v>10910</v>
      </c>
      <c r="B50" s="13" t="s">
        <v>10910</v>
      </c>
      <c r="C50" s="13">
        <v>2022</v>
      </c>
      <c r="D50" s="13" t="s">
        <v>530</v>
      </c>
      <c r="E50" s="13" t="s">
        <v>399</v>
      </c>
      <c r="F50" s="13">
        <v>1.5</v>
      </c>
      <c r="G50" s="13" t="s">
        <v>1310</v>
      </c>
      <c r="H50" s="13" t="s">
        <v>10911</v>
      </c>
      <c r="I50" s="13" t="s">
        <v>10912</v>
      </c>
      <c r="J50" s="9"/>
      <c r="K50" s="13">
        <v>2</v>
      </c>
      <c r="L50" s="14"/>
    </row>
    <row r="51" spans="1:12" ht="15" customHeight="1" x14ac:dyDescent="0.2">
      <c r="A51" s="15" t="s">
        <v>10913</v>
      </c>
      <c r="B51" s="15" t="s">
        <v>10914</v>
      </c>
      <c r="C51" s="15">
        <v>1986</v>
      </c>
      <c r="D51" s="15" t="s">
        <v>413</v>
      </c>
      <c r="E51" s="15" t="s">
        <v>963</v>
      </c>
      <c r="F51" s="15">
        <v>6.6</v>
      </c>
      <c r="G51" s="15" t="s">
        <v>18</v>
      </c>
      <c r="H51" s="15" t="s">
        <v>10915</v>
      </c>
      <c r="I51" s="15" t="s">
        <v>10916</v>
      </c>
      <c r="J51" s="10" t="s">
        <v>10917</v>
      </c>
      <c r="K51" s="15">
        <v>7</v>
      </c>
      <c r="L51" s="14" t="s">
        <v>18</v>
      </c>
    </row>
    <row r="52" spans="1:12" ht="15" customHeight="1" x14ac:dyDescent="0.2">
      <c r="A52" s="13" t="s">
        <v>10918</v>
      </c>
      <c r="B52" s="13" t="s">
        <v>10914</v>
      </c>
      <c r="C52" s="13">
        <v>1986</v>
      </c>
      <c r="D52" s="13" t="s">
        <v>413</v>
      </c>
      <c r="E52" s="13" t="s">
        <v>963</v>
      </c>
      <c r="F52" s="13">
        <v>6.6</v>
      </c>
      <c r="G52" s="13" t="s">
        <v>18</v>
      </c>
      <c r="H52" s="13" t="s">
        <v>10915</v>
      </c>
      <c r="I52" s="13" t="s">
        <v>10916</v>
      </c>
      <c r="J52" s="9" t="s">
        <v>10917</v>
      </c>
      <c r="K52" s="13">
        <v>7</v>
      </c>
      <c r="L52" s="14" t="s">
        <v>18</v>
      </c>
    </row>
    <row r="53" spans="1:12" ht="15" customHeight="1" x14ac:dyDescent="0.2">
      <c r="A53" s="13" t="s">
        <v>10919</v>
      </c>
      <c r="B53" s="13" t="s">
        <v>10919</v>
      </c>
      <c r="C53" s="13">
        <v>2007</v>
      </c>
      <c r="D53" s="13" t="s">
        <v>530</v>
      </c>
      <c r="E53" s="13" t="s">
        <v>1270</v>
      </c>
      <c r="F53" s="13">
        <v>7.4</v>
      </c>
      <c r="G53" s="13" t="s">
        <v>18</v>
      </c>
      <c r="H53" s="13" t="s">
        <v>10920</v>
      </c>
      <c r="I53" s="13" t="s">
        <v>10921</v>
      </c>
      <c r="J53" s="9" t="s">
        <v>10922</v>
      </c>
      <c r="K53" s="13">
        <v>5</v>
      </c>
      <c r="L53" s="14" t="s">
        <v>18</v>
      </c>
    </row>
    <row r="54" spans="1:12" ht="15" customHeight="1" x14ac:dyDescent="0.2">
      <c r="A54" s="13" t="s">
        <v>10923</v>
      </c>
      <c r="B54" s="13" t="s">
        <v>10924</v>
      </c>
      <c r="C54" s="13">
        <v>1990</v>
      </c>
      <c r="D54" s="13" t="s">
        <v>413</v>
      </c>
      <c r="E54" s="13" t="s">
        <v>10925</v>
      </c>
      <c r="F54" s="13">
        <v>6.52</v>
      </c>
      <c r="G54" s="13" t="s">
        <v>18</v>
      </c>
      <c r="H54" s="13" t="s">
        <v>10926</v>
      </c>
      <c r="I54" s="13" t="s">
        <v>10927</v>
      </c>
      <c r="J54" s="9" t="s">
        <v>10928</v>
      </c>
      <c r="K54" s="13">
        <v>2778</v>
      </c>
      <c r="L54" s="14" t="s">
        <v>18</v>
      </c>
    </row>
    <row r="55" spans="1:12" ht="15" customHeight="1" x14ac:dyDescent="0.2">
      <c r="A55" s="13" t="s">
        <v>10929</v>
      </c>
      <c r="B55" s="13" t="s">
        <v>10930</v>
      </c>
      <c r="C55" s="13">
        <v>1994</v>
      </c>
      <c r="D55" s="13"/>
      <c r="E55" s="13" t="s">
        <v>2395</v>
      </c>
      <c r="F55" s="13">
        <v>0</v>
      </c>
      <c r="G55" s="13"/>
      <c r="H55" s="13">
        <v>795094</v>
      </c>
      <c r="I55" s="13" t="s">
        <v>10931</v>
      </c>
      <c r="J55" s="9" t="s">
        <v>10932</v>
      </c>
      <c r="K55" s="13">
        <v>0</v>
      </c>
      <c r="L55" s="14"/>
    </row>
    <row r="56" spans="1:12" ht="15" customHeight="1" x14ac:dyDescent="0.2">
      <c r="A56" s="13" t="s">
        <v>10933</v>
      </c>
      <c r="B56" s="13" t="s">
        <v>10934</v>
      </c>
      <c r="C56" s="13">
        <v>2000</v>
      </c>
      <c r="D56" s="13" t="s">
        <v>413</v>
      </c>
      <c r="E56" s="13" t="s">
        <v>7209</v>
      </c>
      <c r="F56" s="13">
        <v>5.5119999999999996</v>
      </c>
      <c r="G56" s="13" t="s">
        <v>46</v>
      </c>
      <c r="H56" s="13" t="s">
        <v>10935</v>
      </c>
      <c r="I56" s="13" t="s">
        <v>10936</v>
      </c>
      <c r="J56" s="9" t="s">
        <v>10937</v>
      </c>
      <c r="K56" s="13">
        <v>83</v>
      </c>
      <c r="L56" s="14" t="s">
        <v>46</v>
      </c>
    </row>
    <row r="57" spans="1:12" ht="15" customHeight="1" x14ac:dyDescent="0.2">
      <c r="A57" s="13" t="s">
        <v>10938</v>
      </c>
      <c r="B57" s="13" t="s">
        <v>10938</v>
      </c>
      <c r="C57" s="13">
        <v>2014</v>
      </c>
      <c r="D57" s="13" t="s">
        <v>577</v>
      </c>
      <c r="E57" s="13" t="s">
        <v>3117</v>
      </c>
      <c r="F57" s="13">
        <v>6.0949999999999998</v>
      </c>
      <c r="G57" s="13" t="s">
        <v>46</v>
      </c>
      <c r="H57" s="13" t="s">
        <v>10939</v>
      </c>
      <c r="I57" s="13" t="s">
        <v>10940</v>
      </c>
      <c r="J57" s="9" t="s">
        <v>10941</v>
      </c>
      <c r="K57" s="13">
        <v>274</v>
      </c>
      <c r="L57" s="14" t="s">
        <v>46</v>
      </c>
    </row>
    <row r="58" spans="1:12" ht="15" customHeight="1" x14ac:dyDescent="0.2">
      <c r="A58" s="13" t="s">
        <v>10942</v>
      </c>
      <c r="B58" s="13" t="s">
        <v>10943</v>
      </c>
      <c r="C58" s="13">
        <v>1997</v>
      </c>
      <c r="D58" s="13" t="s">
        <v>8286</v>
      </c>
      <c r="E58" s="13" t="s">
        <v>10944</v>
      </c>
      <c r="F58" s="13">
        <v>6.5</v>
      </c>
      <c r="G58" s="13" t="s">
        <v>46</v>
      </c>
      <c r="H58" s="13" t="s">
        <v>10945</v>
      </c>
      <c r="I58" s="13" t="s">
        <v>10946</v>
      </c>
      <c r="J58" s="9" t="s">
        <v>10947</v>
      </c>
      <c r="K58" s="13">
        <v>71</v>
      </c>
      <c r="L58" s="14" t="s">
        <v>46</v>
      </c>
    </row>
    <row r="59" spans="1:12" ht="15" customHeight="1" x14ac:dyDescent="0.2">
      <c r="A59" s="13" t="s">
        <v>10948</v>
      </c>
      <c r="B59" s="13" t="s">
        <v>10949</v>
      </c>
      <c r="C59" s="13">
        <v>2015</v>
      </c>
      <c r="D59" s="13" t="s">
        <v>413</v>
      </c>
      <c r="E59" s="13" t="s">
        <v>10720</v>
      </c>
      <c r="F59" s="13">
        <v>5.6109999999999998</v>
      </c>
      <c r="G59" s="13" t="s">
        <v>46</v>
      </c>
      <c r="H59" s="13" t="s">
        <v>10950</v>
      </c>
      <c r="I59" s="13" t="s">
        <v>10951</v>
      </c>
      <c r="J59" s="9" t="s">
        <v>10952</v>
      </c>
      <c r="K59" s="13">
        <v>122</v>
      </c>
      <c r="L59" s="14" t="s">
        <v>46</v>
      </c>
    </row>
    <row r="60" spans="1:12" ht="15" customHeight="1" x14ac:dyDescent="0.2">
      <c r="A60" s="13" t="s">
        <v>10953</v>
      </c>
      <c r="B60" s="13" t="s">
        <v>10954</v>
      </c>
      <c r="C60" s="13">
        <v>2017</v>
      </c>
      <c r="D60" s="13" t="s">
        <v>530</v>
      </c>
      <c r="E60" s="13" t="s">
        <v>10955</v>
      </c>
      <c r="F60" s="13">
        <v>5</v>
      </c>
      <c r="G60" s="13" t="s">
        <v>28</v>
      </c>
      <c r="H60" s="13" t="s">
        <v>10956</v>
      </c>
      <c r="I60" s="13" t="s">
        <v>10957</v>
      </c>
      <c r="J60" s="9" t="s">
        <v>10958</v>
      </c>
      <c r="K60" s="13">
        <v>9</v>
      </c>
      <c r="L60" s="14" t="s">
        <v>28</v>
      </c>
    </row>
    <row r="61" spans="1:12" ht="15" customHeight="1" x14ac:dyDescent="0.2">
      <c r="A61" s="15" t="s">
        <v>10959</v>
      </c>
      <c r="B61" s="15" t="s">
        <v>10959</v>
      </c>
      <c r="C61" s="15">
        <v>2020</v>
      </c>
      <c r="D61" s="15" t="s">
        <v>413</v>
      </c>
      <c r="E61" s="15" t="s">
        <v>1052</v>
      </c>
      <c r="F61" s="15">
        <v>6.9850000000000003</v>
      </c>
      <c r="G61" s="15" t="s">
        <v>18</v>
      </c>
      <c r="H61" s="15" t="s">
        <v>10960</v>
      </c>
      <c r="I61" s="15" t="s">
        <v>10961</v>
      </c>
      <c r="J61" s="10" t="s">
        <v>10962</v>
      </c>
      <c r="K61" s="15">
        <v>2295</v>
      </c>
      <c r="L61" s="14" t="s">
        <v>18</v>
      </c>
    </row>
    <row r="62" spans="1:12" ht="15" customHeight="1" x14ac:dyDescent="0.2">
      <c r="A62" s="13" t="s">
        <v>10888</v>
      </c>
      <c r="B62" s="13" t="s">
        <v>10888</v>
      </c>
      <c r="C62" s="13">
        <v>1998</v>
      </c>
      <c r="D62" s="13" t="s">
        <v>560</v>
      </c>
      <c r="E62" s="13" t="s">
        <v>5530</v>
      </c>
      <c r="F62" s="13">
        <v>5.9720000000000004</v>
      </c>
      <c r="G62" s="13" t="s">
        <v>46</v>
      </c>
      <c r="H62" s="13" t="s">
        <v>10889</v>
      </c>
      <c r="I62" s="13" t="s">
        <v>10890</v>
      </c>
      <c r="J62" s="9" t="s">
        <v>10891</v>
      </c>
      <c r="K62" s="13">
        <v>346</v>
      </c>
      <c r="L62" s="14" t="s">
        <v>46</v>
      </c>
    </row>
    <row r="63" spans="1:12" ht="15" customHeight="1" x14ac:dyDescent="0.2">
      <c r="A63" s="13" t="s">
        <v>10963</v>
      </c>
      <c r="B63" s="13" t="s">
        <v>10964</v>
      </c>
      <c r="C63" s="13">
        <v>2018</v>
      </c>
      <c r="D63" s="13" t="s">
        <v>8589</v>
      </c>
      <c r="E63" s="13" t="s">
        <v>8343</v>
      </c>
      <c r="F63" s="13">
        <v>6.4539999999999997</v>
      </c>
      <c r="G63" s="13" t="s">
        <v>46</v>
      </c>
      <c r="H63" s="13" t="s">
        <v>10965</v>
      </c>
      <c r="I63" s="13" t="s">
        <v>10966</v>
      </c>
      <c r="J63" s="9" t="s">
        <v>10967</v>
      </c>
      <c r="K63" s="13">
        <v>54</v>
      </c>
      <c r="L63" s="14" t="s">
        <v>46</v>
      </c>
    </row>
    <row r="64" spans="1:12" ht="15" customHeight="1" x14ac:dyDescent="0.2">
      <c r="A64" s="13" t="s">
        <v>10968</v>
      </c>
      <c r="B64" s="13" t="s">
        <v>10969</v>
      </c>
      <c r="C64" s="13">
        <v>2016</v>
      </c>
      <c r="D64" s="13" t="s">
        <v>880</v>
      </c>
      <c r="E64" s="13" t="s">
        <v>566</v>
      </c>
      <c r="F64" s="13">
        <v>4.8</v>
      </c>
      <c r="G64" s="13" t="s">
        <v>28</v>
      </c>
      <c r="H64" s="13" t="s">
        <v>10970</v>
      </c>
      <c r="I64" s="13" t="s">
        <v>10971</v>
      </c>
      <c r="J64" s="9" t="s">
        <v>10972</v>
      </c>
      <c r="K64" s="13">
        <v>14</v>
      </c>
      <c r="L64" s="14" t="s">
        <v>28</v>
      </c>
    </row>
    <row r="65" spans="1:12" ht="15" customHeight="1" x14ac:dyDescent="0.2">
      <c r="A65" s="13" t="s">
        <v>10973</v>
      </c>
      <c r="B65" s="13" t="s">
        <v>10974</v>
      </c>
      <c r="C65" s="13">
        <v>2014</v>
      </c>
      <c r="D65" s="13" t="s">
        <v>413</v>
      </c>
      <c r="E65" s="13" t="s">
        <v>10975</v>
      </c>
      <c r="F65" s="13">
        <v>6.7</v>
      </c>
      <c r="G65" s="13" t="s">
        <v>18</v>
      </c>
      <c r="H65" s="13" t="s">
        <v>10976</v>
      </c>
      <c r="I65" s="13" t="s">
        <v>10977</v>
      </c>
      <c r="J65" s="9" t="s">
        <v>10978</v>
      </c>
      <c r="K65" s="13">
        <v>245</v>
      </c>
      <c r="L65" s="14" t="s">
        <v>18</v>
      </c>
    </row>
    <row r="66" spans="1:12" ht="15" customHeight="1" x14ac:dyDescent="0.2">
      <c r="A66" s="13" t="s">
        <v>8342</v>
      </c>
      <c r="B66" s="13" t="s">
        <v>10979</v>
      </c>
      <c r="C66" s="13">
        <v>2008</v>
      </c>
      <c r="D66" s="13" t="s">
        <v>530</v>
      </c>
      <c r="E66" s="13" t="s">
        <v>1358</v>
      </c>
      <c r="F66" s="13">
        <v>4.3</v>
      </c>
      <c r="G66" s="13" t="s">
        <v>86</v>
      </c>
      <c r="H66" s="13" t="s">
        <v>8344</v>
      </c>
      <c r="I66" s="13" t="s">
        <v>10980</v>
      </c>
      <c r="J66" s="9" t="s">
        <v>8346</v>
      </c>
      <c r="K66" s="13">
        <v>5</v>
      </c>
      <c r="L66" s="14" t="s">
        <v>86</v>
      </c>
    </row>
    <row r="67" spans="1:12" ht="15" customHeight="1" x14ac:dyDescent="0.2">
      <c r="A67" s="13" t="s">
        <v>10981</v>
      </c>
      <c r="B67" s="13" t="s">
        <v>10981</v>
      </c>
      <c r="C67" s="13">
        <v>1983</v>
      </c>
      <c r="D67" s="13" t="s">
        <v>3224</v>
      </c>
      <c r="E67" s="13" t="s">
        <v>3295</v>
      </c>
      <c r="F67" s="13">
        <v>0</v>
      </c>
      <c r="G67" s="13"/>
      <c r="H67" s="13" t="s">
        <v>10982</v>
      </c>
      <c r="I67" s="13" t="s">
        <v>10983</v>
      </c>
      <c r="J67" s="9" t="s">
        <v>10984</v>
      </c>
      <c r="K67" s="13">
        <v>0</v>
      </c>
      <c r="L67" s="14"/>
    </row>
    <row r="68" spans="1:12" ht="15" customHeight="1" x14ac:dyDescent="0.2">
      <c r="A68" s="13" t="s">
        <v>10985</v>
      </c>
      <c r="B68" s="13" t="s">
        <v>10986</v>
      </c>
      <c r="C68" s="13">
        <v>2018</v>
      </c>
      <c r="D68" s="13" t="s">
        <v>413</v>
      </c>
      <c r="E68" s="13" t="s">
        <v>10710</v>
      </c>
      <c r="F68" s="13">
        <v>6.5380000000000003</v>
      </c>
      <c r="G68" s="13" t="s">
        <v>18</v>
      </c>
      <c r="H68" s="13" t="s">
        <v>10987</v>
      </c>
      <c r="I68" s="13" t="s">
        <v>10988</v>
      </c>
      <c r="J68" s="9" t="s">
        <v>10989</v>
      </c>
      <c r="K68" s="13">
        <v>53</v>
      </c>
      <c r="L68" s="14" t="s">
        <v>18</v>
      </c>
    </row>
    <row r="69" spans="1:12" ht="15" customHeight="1" x14ac:dyDescent="0.2">
      <c r="A69" s="13" t="s">
        <v>10990</v>
      </c>
      <c r="B69" s="13" t="s">
        <v>10991</v>
      </c>
      <c r="C69" s="13">
        <v>2022</v>
      </c>
      <c r="D69" s="13" t="s">
        <v>413</v>
      </c>
      <c r="E69" s="13" t="s">
        <v>10855</v>
      </c>
      <c r="F69" s="13">
        <v>7.2590000000000003</v>
      </c>
      <c r="G69" s="13" t="s">
        <v>18</v>
      </c>
      <c r="H69" s="13" t="s">
        <v>10992</v>
      </c>
      <c r="I69" s="13" t="s">
        <v>10993</v>
      </c>
      <c r="J69" s="9" t="s">
        <v>10994</v>
      </c>
      <c r="K69" s="13">
        <v>28</v>
      </c>
      <c r="L69" s="14" t="s">
        <v>18</v>
      </c>
    </row>
    <row r="70" spans="1:12" ht="15" customHeight="1" x14ac:dyDescent="0.2">
      <c r="A70" s="13" t="s">
        <v>10995</v>
      </c>
      <c r="B70" s="13" t="s">
        <v>10996</v>
      </c>
      <c r="C70" s="13">
        <v>2020</v>
      </c>
      <c r="D70" s="13" t="s">
        <v>1316</v>
      </c>
      <c r="E70" s="13" t="s">
        <v>1046</v>
      </c>
      <c r="F70" s="13">
        <v>5.6</v>
      </c>
      <c r="G70" s="13" t="s">
        <v>46</v>
      </c>
      <c r="H70" s="13" t="s">
        <v>10997</v>
      </c>
      <c r="I70" s="13" t="s">
        <v>10998</v>
      </c>
      <c r="J70" s="9" t="s">
        <v>10999</v>
      </c>
      <c r="K70" s="13">
        <v>19</v>
      </c>
      <c r="L70" s="14" t="s">
        <v>46</v>
      </c>
    </row>
    <row r="71" spans="1:12" ht="15" customHeight="1" x14ac:dyDescent="0.2">
      <c r="A71" s="15" t="s">
        <v>11000</v>
      </c>
      <c r="B71" s="15" t="s">
        <v>11001</v>
      </c>
      <c r="C71" s="15">
        <v>2011</v>
      </c>
      <c r="D71" s="15" t="s">
        <v>560</v>
      </c>
      <c r="E71" s="15" t="s">
        <v>11002</v>
      </c>
      <c r="F71" s="15">
        <v>5.7130000000000001</v>
      </c>
      <c r="G71" s="15" t="s">
        <v>46</v>
      </c>
      <c r="H71" s="15" t="s">
        <v>11003</v>
      </c>
      <c r="I71" s="15" t="s">
        <v>11004</v>
      </c>
      <c r="J71" s="10" t="s">
        <v>11005</v>
      </c>
      <c r="K71" s="15">
        <v>40</v>
      </c>
      <c r="L71" s="14" t="s">
        <v>46</v>
      </c>
    </row>
    <row r="72" spans="1:12" ht="15" customHeight="1" x14ac:dyDescent="0.2">
      <c r="A72" s="13" t="s">
        <v>11006</v>
      </c>
      <c r="B72" s="13" t="s">
        <v>11007</v>
      </c>
      <c r="C72" s="13">
        <v>2023</v>
      </c>
      <c r="D72" s="13" t="s">
        <v>8589</v>
      </c>
      <c r="E72" s="13" t="s">
        <v>11008</v>
      </c>
      <c r="F72" s="13">
        <v>7</v>
      </c>
      <c r="G72" s="13" t="s">
        <v>18</v>
      </c>
      <c r="H72" s="13" t="s">
        <v>11009</v>
      </c>
      <c r="I72" s="13" t="s">
        <v>11010</v>
      </c>
      <c r="J72" s="9" t="s">
        <v>11011</v>
      </c>
      <c r="K72" s="13">
        <v>22</v>
      </c>
      <c r="L72" s="14" t="s">
        <v>18</v>
      </c>
    </row>
    <row r="73" spans="1:12" ht="15" customHeight="1" x14ac:dyDescent="0.2">
      <c r="A73" s="13" t="s">
        <v>11012</v>
      </c>
      <c r="B73" s="13" t="s">
        <v>11013</v>
      </c>
      <c r="C73" s="13">
        <v>1998</v>
      </c>
      <c r="D73" s="13" t="s">
        <v>530</v>
      </c>
      <c r="E73" s="13" t="s">
        <v>1589</v>
      </c>
      <c r="F73" s="13">
        <v>0</v>
      </c>
      <c r="G73" s="13"/>
      <c r="H73" s="13" t="s">
        <v>11014</v>
      </c>
      <c r="I73" s="13" t="s">
        <v>11015</v>
      </c>
      <c r="J73" s="9"/>
      <c r="K73" s="13">
        <v>0</v>
      </c>
      <c r="L73" s="14"/>
    </row>
    <row r="74" spans="1:12" ht="15" customHeight="1" x14ac:dyDescent="0.2">
      <c r="A74" s="13" t="s">
        <v>11016</v>
      </c>
      <c r="B74" s="13" t="s">
        <v>11017</v>
      </c>
      <c r="C74" s="13">
        <v>1998</v>
      </c>
      <c r="D74" s="13" t="s">
        <v>413</v>
      </c>
      <c r="E74" s="13" t="s">
        <v>963</v>
      </c>
      <c r="F74" s="13">
        <v>5.6</v>
      </c>
      <c r="G74" s="13" t="s">
        <v>46</v>
      </c>
      <c r="H74" s="13" t="s">
        <v>11018</v>
      </c>
      <c r="I74" s="13" t="s">
        <v>11019</v>
      </c>
      <c r="J74" s="9" t="s">
        <v>11020</v>
      </c>
      <c r="K74" s="13">
        <v>10</v>
      </c>
      <c r="L74" s="14" t="s">
        <v>46</v>
      </c>
    </row>
    <row r="75" spans="1:12" ht="15" customHeight="1" x14ac:dyDescent="0.2">
      <c r="A75" s="13" t="s">
        <v>11021</v>
      </c>
      <c r="B75" s="13" t="s">
        <v>11021</v>
      </c>
      <c r="C75" s="13">
        <v>2019</v>
      </c>
      <c r="D75" s="13" t="s">
        <v>11022</v>
      </c>
      <c r="E75" s="13" t="s">
        <v>11023</v>
      </c>
      <c r="F75" s="13">
        <v>6.601</v>
      </c>
      <c r="G75" s="13" t="s">
        <v>18</v>
      </c>
      <c r="H75" s="13" t="s">
        <v>11024</v>
      </c>
      <c r="I75" s="13" t="s">
        <v>11025</v>
      </c>
      <c r="J75" s="9" t="s">
        <v>11026</v>
      </c>
      <c r="K75" s="13">
        <v>714</v>
      </c>
      <c r="L75" s="14" t="s">
        <v>18</v>
      </c>
    </row>
    <row r="76" spans="1:12" ht="15" customHeight="1" x14ac:dyDescent="0.2">
      <c r="A76" s="13" t="s">
        <v>11027</v>
      </c>
      <c r="B76" s="13" t="s">
        <v>11028</v>
      </c>
      <c r="C76" s="13">
        <v>2023</v>
      </c>
      <c r="D76" s="13" t="s">
        <v>413</v>
      </c>
      <c r="E76" s="13" t="s">
        <v>10681</v>
      </c>
      <c r="F76" s="13">
        <v>5.8</v>
      </c>
      <c r="G76" s="13" t="s">
        <v>46</v>
      </c>
      <c r="H76" s="13" t="s">
        <v>11029</v>
      </c>
      <c r="I76" s="13" t="s">
        <v>11030</v>
      </c>
      <c r="J76" s="9" t="s">
        <v>11031</v>
      </c>
      <c r="K76" s="13">
        <v>9</v>
      </c>
      <c r="L76" s="14" t="s">
        <v>46</v>
      </c>
    </row>
    <row r="77" spans="1:12" ht="15" customHeight="1" x14ac:dyDescent="0.2">
      <c r="A77" s="13" t="s">
        <v>11032</v>
      </c>
      <c r="B77" s="13" t="s">
        <v>11033</v>
      </c>
      <c r="C77" s="13">
        <v>2019</v>
      </c>
      <c r="D77" s="13" t="s">
        <v>413</v>
      </c>
      <c r="E77" s="13" t="s">
        <v>10720</v>
      </c>
      <c r="F77" s="13">
        <v>6.8719999999999999</v>
      </c>
      <c r="G77" s="13" t="s">
        <v>18</v>
      </c>
      <c r="H77" s="13" t="s">
        <v>11034</v>
      </c>
      <c r="I77" s="13" t="s">
        <v>11035</v>
      </c>
      <c r="J77" s="9" t="s">
        <v>11036</v>
      </c>
      <c r="K77" s="13">
        <v>109</v>
      </c>
      <c r="L77" s="14" t="s">
        <v>18</v>
      </c>
    </row>
    <row r="78" spans="1:12" ht="15" customHeight="1" x14ac:dyDescent="0.2">
      <c r="A78" s="13" t="s">
        <v>11037</v>
      </c>
      <c r="B78" s="13" t="s">
        <v>11038</v>
      </c>
      <c r="C78" s="13">
        <v>2022</v>
      </c>
      <c r="D78" s="13" t="s">
        <v>413</v>
      </c>
      <c r="E78" s="13" t="s">
        <v>10681</v>
      </c>
      <c r="F78" s="13">
        <v>6.125</v>
      </c>
      <c r="G78" s="13" t="s">
        <v>46</v>
      </c>
      <c r="H78" s="13" t="s">
        <v>11039</v>
      </c>
      <c r="I78" s="13" t="s">
        <v>11040</v>
      </c>
      <c r="J78" s="9" t="s">
        <v>11041</v>
      </c>
      <c r="K78" s="13">
        <v>12</v>
      </c>
      <c r="L78" s="14" t="s">
        <v>46</v>
      </c>
    </row>
    <row r="79" spans="1:12" ht="15" customHeight="1" x14ac:dyDescent="0.2">
      <c r="A79" s="13" t="s">
        <v>11042</v>
      </c>
      <c r="B79" s="13" t="s">
        <v>11042</v>
      </c>
      <c r="C79" s="13">
        <v>2013</v>
      </c>
      <c r="D79" s="13" t="s">
        <v>413</v>
      </c>
      <c r="E79" s="13" t="s">
        <v>11043</v>
      </c>
      <c r="F79" s="13">
        <v>3.8460000000000001</v>
      </c>
      <c r="G79" s="13" t="s">
        <v>86</v>
      </c>
      <c r="H79" s="13" t="s">
        <v>11044</v>
      </c>
      <c r="I79" s="13" t="s">
        <v>11045</v>
      </c>
      <c r="J79" s="9" t="s">
        <v>11046</v>
      </c>
      <c r="K79" s="13">
        <v>14</v>
      </c>
      <c r="L79" s="14" t="s">
        <v>86</v>
      </c>
    </row>
    <row r="80" spans="1:12" ht="15" customHeight="1" x14ac:dyDescent="0.2">
      <c r="A80" s="13" t="s">
        <v>11047</v>
      </c>
      <c r="B80" s="13" t="s">
        <v>11048</v>
      </c>
      <c r="C80" s="13">
        <v>1994</v>
      </c>
      <c r="D80" s="13" t="s">
        <v>413</v>
      </c>
      <c r="E80" s="13" t="s">
        <v>11049</v>
      </c>
      <c r="F80" s="13">
        <v>5.6189999999999998</v>
      </c>
      <c r="G80" s="13" t="s">
        <v>46</v>
      </c>
      <c r="H80" s="13" t="s">
        <v>11050</v>
      </c>
      <c r="I80" s="13" t="s">
        <v>11051</v>
      </c>
      <c r="J80" s="9" t="s">
        <v>11052</v>
      </c>
      <c r="K80" s="13">
        <v>267</v>
      </c>
      <c r="L80" s="14" t="s">
        <v>46</v>
      </c>
    </row>
    <row r="81" spans="1:12" s="12" customFormat="1" ht="15" customHeight="1" x14ac:dyDescent="0.2">
      <c r="A81" s="15" t="s">
        <v>11053</v>
      </c>
      <c r="B81" s="15" t="s">
        <v>11054</v>
      </c>
      <c r="C81" s="15">
        <v>2006</v>
      </c>
      <c r="D81" s="15" t="s">
        <v>11055</v>
      </c>
      <c r="E81" s="15" t="s">
        <v>1678</v>
      </c>
      <c r="F81" s="15">
        <v>7.1</v>
      </c>
      <c r="G81" s="15" t="s">
        <v>18</v>
      </c>
      <c r="H81" s="15" t="s">
        <v>11056</v>
      </c>
      <c r="I81" s="15" t="s">
        <v>11057</v>
      </c>
      <c r="J81" s="10" t="s">
        <v>11058</v>
      </c>
      <c r="K81" s="15">
        <v>185</v>
      </c>
      <c r="L81" s="14" t="s">
        <v>18</v>
      </c>
    </row>
    <row r="82" spans="1:12" ht="15" customHeight="1" x14ac:dyDescent="0.2">
      <c r="A82" s="13" t="s">
        <v>11059</v>
      </c>
      <c r="B82" s="13" t="s">
        <v>11060</v>
      </c>
      <c r="C82" s="13">
        <v>2022</v>
      </c>
      <c r="D82" s="13" t="s">
        <v>49</v>
      </c>
      <c r="E82" s="13" t="s">
        <v>10855</v>
      </c>
      <c r="F82" s="13">
        <v>6.2</v>
      </c>
      <c r="G82" s="13" t="s">
        <v>46</v>
      </c>
      <c r="H82" s="13" t="s">
        <v>11061</v>
      </c>
      <c r="I82" s="13" t="s">
        <v>11062</v>
      </c>
      <c r="J82" s="9" t="s">
        <v>11063</v>
      </c>
      <c r="K82" s="13">
        <v>4</v>
      </c>
      <c r="L82" s="14" t="s">
        <v>46</v>
      </c>
    </row>
    <row r="83" spans="1:12" ht="15" customHeight="1" x14ac:dyDescent="0.2">
      <c r="A83" s="13" t="s">
        <v>11064</v>
      </c>
      <c r="B83" s="13" t="s">
        <v>11065</v>
      </c>
      <c r="C83" s="13">
        <v>2003</v>
      </c>
      <c r="D83" s="13" t="s">
        <v>1018</v>
      </c>
      <c r="E83" s="13" t="s">
        <v>2265</v>
      </c>
      <c r="F83" s="13">
        <v>7.1</v>
      </c>
      <c r="G83" s="13" t="s">
        <v>18</v>
      </c>
      <c r="H83" s="13" t="s">
        <v>11066</v>
      </c>
      <c r="I83" s="13" t="s">
        <v>11067</v>
      </c>
      <c r="J83" s="9" t="s">
        <v>11068</v>
      </c>
      <c r="K83" s="13">
        <v>7151</v>
      </c>
      <c r="L83" s="14" t="s">
        <v>18</v>
      </c>
    </row>
    <row r="84" spans="1:12" ht="15" customHeight="1" x14ac:dyDescent="0.2">
      <c r="A84" s="13" t="s">
        <v>11069</v>
      </c>
      <c r="B84" s="13" t="s">
        <v>11070</v>
      </c>
      <c r="C84" s="13">
        <v>2022</v>
      </c>
      <c r="D84" s="13" t="s">
        <v>8286</v>
      </c>
      <c r="E84" s="13" t="s">
        <v>8327</v>
      </c>
      <c r="F84" s="13">
        <v>6.4210000000000003</v>
      </c>
      <c r="G84" s="13" t="s">
        <v>46</v>
      </c>
      <c r="H84" s="13" t="s">
        <v>11071</v>
      </c>
      <c r="I84" s="13" t="s">
        <v>11072</v>
      </c>
      <c r="J84" s="9" t="s">
        <v>11073</v>
      </c>
      <c r="K84" s="13">
        <v>20</v>
      </c>
      <c r="L84" s="14" t="s">
        <v>46</v>
      </c>
    </row>
    <row r="85" spans="1:12" ht="15" customHeight="1" x14ac:dyDescent="0.2">
      <c r="A85" s="13" t="s">
        <v>11074</v>
      </c>
      <c r="B85" s="13" t="s">
        <v>11074</v>
      </c>
      <c r="C85" s="13">
        <v>2011</v>
      </c>
      <c r="D85" s="13" t="s">
        <v>413</v>
      </c>
      <c r="E85" s="13" t="s">
        <v>11075</v>
      </c>
      <c r="F85" s="13">
        <v>6.2</v>
      </c>
      <c r="G85" s="13" t="s">
        <v>46</v>
      </c>
      <c r="H85" s="13" t="s">
        <v>11076</v>
      </c>
      <c r="I85" s="13" t="s">
        <v>11077</v>
      </c>
      <c r="J85" s="9" t="s">
        <v>11078</v>
      </c>
      <c r="K85" s="13">
        <v>19</v>
      </c>
      <c r="L85" s="14" t="s">
        <v>46</v>
      </c>
    </row>
    <row r="86" spans="1:12" ht="15" customHeight="1" x14ac:dyDescent="0.2">
      <c r="A86" s="13" t="s">
        <v>11079</v>
      </c>
      <c r="B86" s="13" t="s">
        <v>11079</v>
      </c>
      <c r="C86" s="13">
        <v>2022</v>
      </c>
      <c r="D86" s="13" t="s">
        <v>413</v>
      </c>
      <c r="E86" s="13" t="s">
        <v>1046</v>
      </c>
      <c r="F86" s="13">
        <v>6.2839999999999998</v>
      </c>
      <c r="G86" s="13" t="s">
        <v>46</v>
      </c>
      <c r="H86" s="13" t="s">
        <v>11080</v>
      </c>
      <c r="I86" s="13" t="s">
        <v>11081</v>
      </c>
      <c r="J86" s="9" t="s">
        <v>11082</v>
      </c>
      <c r="K86" s="13">
        <v>388</v>
      </c>
      <c r="L86" s="14" t="s">
        <v>46</v>
      </c>
    </row>
    <row r="87" spans="1:12" ht="15" customHeight="1" x14ac:dyDescent="0.2">
      <c r="A87" s="13" t="s">
        <v>11083</v>
      </c>
      <c r="B87" s="13" t="s">
        <v>11083</v>
      </c>
      <c r="C87" s="13">
        <v>2007</v>
      </c>
      <c r="D87" s="13" t="s">
        <v>413</v>
      </c>
      <c r="E87" s="13" t="s">
        <v>1961</v>
      </c>
      <c r="F87" s="13">
        <v>6.5279999999999996</v>
      </c>
      <c r="G87" s="13" t="s">
        <v>18</v>
      </c>
      <c r="H87" s="13" t="s">
        <v>11084</v>
      </c>
      <c r="I87" s="13" t="s">
        <v>11085</v>
      </c>
      <c r="J87" s="9" t="s">
        <v>11086</v>
      </c>
      <c r="K87" s="13">
        <v>137</v>
      </c>
      <c r="L87" s="14" t="s">
        <v>18</v>
      </c>
    </row>
    <row r="88" spans="1:12" ht="15" customHeight="1" x14ac:dyDescent="0.2">
      <c r="A88" s="13" t="s">
        <v>11087</v>
      </c>
      <c r="B88" s="13" t="s">
        <v>11088</v>
      </c>
      <c r="C88" s="13">
        <v>1991</v>
      </c>
      <c r="D88" s="13" t="s">
        <v>2463</v>
      </c>
      <c r="E88" s="13" t="s">
        <v>11089</v>
      </c>
      <c r="F88" s="13">
        <v>7</v>
      </c>
      <c r="G88" s="13" t="s">
        <v>18</v>
      </c>
      <c r="H88" s="13" t="s">
        <v>11090</v>
      </c>
      <c r="I88" s="13" t="s">
        <v>11091</v>
      </c>
      <c r="J88" s="9" t="s">
        <v>11092</v>
      </c>
      <c r="K88" s="13">
        <v>16</v>
      </c>
      <c r="L88" s="14" t="s">
        <v>18</v>
      </c>
    </row>
    <row r="89" spans="1:12" ht="15" customHeight="1" x14ac:dyDescent="0.2">
      <c r="A89" s="13" t="s">
        <v>11093</v>
      </c>
      <c r="B89" s="13" t="s">
        <v>11094</v>
      </c>
      <c r="C89" s="13">
        <v>2020</v>
      </c>
      <c r="D89" s="13" t="s">
        <v>560</v>
      </c>
      <c r="E89" s="13" t="s">
        <v>8327</v>
      </c>
      <c r="F89" s="13">
        <v>6.8559999999999999</v>
      </c>
      <c r="G89" s="13" t="s">
        <v>18</v>
      </c>
      <c r="H89" s="13" t="s">
        <v>11095</v>
      </c>
      <c r="I89" s="13" t="s">
        <v>11096</v>
      </c>
      <c r="J89" s="9" t="s">
        <v>11097</v>
      </c>
      <c r="K89" s="13">
        <v>52</v>
      </c>
      <c r="L89" s="14" t="s">
        <v>18</v>
      </c>
    </row>
    <row r="90" spans="1:12" ht="15" customHeight="1" x14ac:dyDescent="0.2">
      <c r="A90" s="13" t="s">
        <v>11098</v>
      </c>
      <c r="B90" s="13" t="s">
        <v>11099</v>
      </c>
      <c r="C90" s="13">
        <v>2020</v>
      </c>
      <c r="D90" s="13" t="s">
        <v>560</v>
      </c>
      <c r="E90" s="13" t="s">
        <v>11100</v>
      </c>
      <c r="F90" s="13">
        <v>6.2</v>
      </c>
      <c r="G90" s="13" t="s">
        <v>46</v>
      </c>
      <c r="H90" s="13" t="s">
        <v>11101</v>
      </c>
      <c r="I90" s="13" t="s">
        <v>11102</v>
      </c>
      <c r="J90" s="9" t="s">
        <v>11103</v>
      </c>
      <c r="K90" s="13">
        <v>52</v>
      </c>
      <c r="L90" s="14" t="s">
        <v>46</v>
      </c>
    </row>
    <row r="91" spans="1:12" ht="15" customHeight="1" x14ac:dyDescent="0.2">
      <c r="A91" s="15" t="s">
        <v>8080</v>
      </c>
      <c r="B91" s="15" t="s">
        <v>11104</v>
      </c>
      <c r="C91" s="15">
        <v>1977</v>
      </c>
      <c r="D91" s="15" t="s">
        <v>413</v>
      </c>
      <c r="E91" s="15" t="s">
        <v>566</v>
      </c>
      <c r="F91" s="15">
        <v>5.8380000000000001</v>
      </c>
      <c r="G91" s="15" t="s">
        <v>46</v>
      </c>
      <c r="H91" s="15" t="s">
        <v>11105</v>
      </c>
      <c r="I91" s="15" t="s">
        <v>11106</v>
      </c>
      <c r="J91" s="10" t="s">
        <v>11107</v>
      </c>
      <c r="K91" s="15">
        <v>40</v>
      </c>
      <c r="L91" s="14" t="s">
        <v>46</v>
      </c>
    </row>
    <row r="92" spans="1:12" ht="15" customHeight="1" x14ac:dyDescent="0.2">
      <c r="A92" s="13" t="s">
        <v>11108</v>
      </c>
      <c r="B92" s="13" t="s">
        <v>11109</v>
      </c>
      <c r="C92" s="13">
        <v>2021</v>
      </c>
      <c r="D92" s="13" t="s">
        <v>560</v>
      </c>
      <c r="E92" s="13" t="s">
        <v>10681</v>
      </c>
      <c r="F92" s="13">
        <v>6.1</v>
      </c>
      <c r="G92" s="13" t="s">
        <v>46</v>
      </c>
      <c r="H92" s="13" t="s">
        <v>11110</v>
      </c>
      <c r="I92" s="13" t="s">
        <v>11111</v>
      </c>
      <c r="J92" s="9" t="s">
        <v>11112</v>
      </c>
      <c r="K92" s="13">
        <v>24</v>
      </c>
      <c r="L92" s="14" t="s">
        <v>46</v>
      </c>
    </row>
    <row r="93" spans="1:12" ht="15" customHeight="1" x14ac:dyDescent="0.2">
      <c r="A93" s="13" t="s">
        <v>11113</v>
      </c>
      <c r="B93" s="13" t="s">
        <v>11114</v>
      </c>
      <c r="C93" s="13">
        <v>2012</v>
      </c>
      <c r="D93" s="13" t="s">
        <v>413</v>
      </c>
      <c r="E93" s="13" t="s">
        <v>10896</v>
      </c>
      <c r="F93" s="13">
        <v>5.0999999999999996</v>
      </c>
      <c r="G93" s="13" t="s">
        <v>28</v>
      </c>
      <c r="H93" s="13" t="s">
        <v>11115</v>
      </c>
      <c r="I93" s="13" t="s">
        <v>11116</v>
      </c>
      <c r="J93" s="9" t="s">
        <v>11117</v>
      </c>
      <c r="K93" s="13">
        <v>27</v>
      </c>
      <c r="L93" s="14" t="s">
        <v>28</v>
      </c>
    </row>
    <row r="94" spans="1:12" ht="15" customHeight="1" x14ac:dyDescent="0.2">
      <c r="A94" s="13" t="s">
        <v>11118</v>
      </c>
      <c r="B94" s="13" t="s">
        <v>11119</v>
      </c>
      <c r="C94" s="13">
        <v>2017</v>
      </c>
      <c r="D94" s="13" t="s">
        <v>413</v>
      </c>
      <c r="E94" s="13" t="s">
        <v>8327</v>
      </c>
      <c r="F94" s="13">
        <v>6.2229999999999999</v>
      </c>
      <c r="G94" s="13" t="s">
        <v>46</v>
      </c>
      <c r="H94" s="13" t="s">
        <v>11120</v>
      </c>
      <c r="I94" s="13" t="s">
        <v>11121</v>
      </c>
      <c r="J94" s="9" t="s">
        <v>11122</v>
      </c>
      <c r="K94" s="13">
        <v>56</v>
      </c>
      <c r="L94" s="14" t="s">
        <v>46</v>
      </c>
    </row>
    <row r="95" spans="1:12" ht="15" customHeight="1" x14ac:dyDescent="0.2">
      <c r="A95" s="13" t="s">
        <v>11123</v>
      </c>
      <c r="B95" s="13" t="s">
        <v>11124</v>
      </c>
      <c r="C95" s="13">
        <v>2017</v>
      </c>
      <c r="D95" s="13" t="s">
        <v>413</v>
      </c>
      <c r="E95" s="13" t="s">
        <v>3295</v>
      </c>
      <c r="F95" s="13">
        <v>6.1</v>
      </c>
      <c r="G95" s="13" t="s">
        <v>46</v>
      </c>
      <c r="H95" s="13" t="s">
        <v>11125</v>
      </c>
      <c r="I95" s="13" t="s">
        <v>11126</v>
      </c>
      <c r="J95" s="9" t="s">
        <v>11127</v>
      </c>
      <c r="K95" s="13">
        <v>46</v>
      </c>
      <c r="L95" s="14" t="s">
        <v>46</v>
      </c>
    </row>
    <row r="96" spans="1:12" ht="15" customHeight="1" x14ac:dyDescent="0.2">
      <c r="A96" s="13" t="s">
        <v>11128</v>
      </c>
      <c r="B96" s="13" t="s">
        <v>11129</v>
      </c>
      <c r="C96" s="13">
        <v>2018</v>
      </c>
      <c r="D96" s="13" t="s">
        <v>413</v>
      </c>
      <c r="E96" s="13" t="s">
        <v>1270</v>
      </c>
      <c r="F96" s="13">
        <v>5.7</v>
      </c>
      <c r="G96" s="13" t="s">
        <v>46</v>
      </c>
      <c r="H96" s="13" t="s">
        <v>11130</v>
      </c>
      <c r="I96" s="13" t="s">
        <v>11131</v>
      </c>
      <c r="J96" s="9" t="s">
        <v>11132</v>
      </c>
      <c r="K96" s="13">
        <v>17</v>
      </c>
      <c r="L96" s="14" t="s">
        <v>46</v>
      </c>
    </row>
    <row r="97" spans="1:12" ht="15" customHeight="1" x14ac:dyDescent="0.2">
      <c r="A97" s="13" t="s">
        <v>11133</v>
      </c>
      <c r="B97" s="13" t="s">
        <v>11134</v>
      </c>
      <c r="C97" s="13">
        <v>2020</v>
      </c>
      <c r="D97" s="13" t="s">
        <v>413</v>
      </c>
      <c r="E97" s="13" t="s">
        <v>11135</v>
      </c>
      <c r="F97" s="13">
        <v>6.8</v>
      </c>
      <c r="G97" s="13" t="s">
        <v>18</v>
      </c>
      <c r="H97" s="13" t="s">
        <v>11136</v>
      </c>
      <c r="I97" s="13" t="s">
        <v>11137</v>
      </c>
      <c r="J97" s="9" t="s">
        <v>11138</v>
      </c>
      <c r="K97" s="13">
        <v>43</v>
      </c>
      <c r="L97" s="14" t="s">
        <v>18</v>
      </c>
    </row>
    <row r="98" spans="1:12" ht="15" customHeight="1" x14ac:dyDescent="0.2">
      <c r="A98" s="13" t="s">
        <v>11139</v>
      </c>
      <c r="B98" s="13" t="s">
        <v>11140</v>
      </c>
      <c r="C98" s="13">
        <v>2018</v>
      </c>
      <c r="D98" s="13" t="s">
        <v>413</v>
      </c>
      <c r="E98" s="13" t="s">
        <v>8343</v>
      </c>
      <c r="F98" s="13">
        <v>6</v>
      </c>
      <c r="G98" s="13" t="s">
        <v>46</v>
      </c>
      <c r="H98" s="13" t="s">
        <v>11141</v>
      </c>
      <c r="I98" s="13" t="s">
        <v>11142</v>
      </c>
      <c r="J98" s="9" t="s">
        <v>11143</v>
      </c>
      <c r="K98" s="13">
        <v>11</v>
      </c>
      <c r="L98" s="14" t="s">
        <v>46</v>
      </c>
    </row>
    <row r="99" spans="1:12" ht="15" customHeight="1" x14ac:dyDescent="0.2">
      <c r="A99" s="13" t="s">
        <v>11144</v>
      </c>
      <c r="B99" s="13" t="s">
        <v>11145</v>
      </c>
      <c r="C99" s="13">
        <v>2012</v>
      </c>
      <c r="D99" s="13" t="s">
        <v>560</v>
      </c>
      <c r="E99" s="13" t="s">
        <v>11146</v>
      </c>
      <c r="F99" s="13">
        <v>6.0549999999999997</v>
      </c>
      <c r="G99" s="13" t="s">
        <v>46</v>
      </c>
      <c r="H99" s="13" t="s">
        <v>11147</v>
      </c>
      <c r="I99" s="13" t="s">
        <v>11148</v>
      </c>
      <c r="J99" s="9" t="s">
        <v>11149</v>
      </c>
      <c r="K99" s="13">
        <v>119</v>
      </c>
      <c r="L99" s="14" t="s">
        <v>46</v>
      </c>
    </row>
    <row r="100" spans="1:12" ht="15" customHeight="1" x14ac:dyDescent="0.2">
      <c r="A100" s="13" t="s">
        <v>11150</v>
      </c>
      <c r="B100" s="13" t="s">
        <v>11151</v>
      </c>
      <c r="C100" s="13">
        <v>2024</v>
      </c>
      <c r="D100" s="13" t="s">
        <v>11152</v>
      </c>
      <c r="E100" s="13" t="s">
        <v>11153</v>
      </c>
      <c r="F100" s="13">
        <v>7.1189999999999998</v>
      </c>
      <c r="G100" s="13" t="s">
        <v>18</v>
      </c>
      <c r="H100" s="13" t="s">
        <v>11154</v>
      </c>
      <c r="I100" s="13" t="s">
        <v>11155</v>
      </c>
      <c r="J100" s="9" t="s">
        <v>11156</v>
      </c>
      <c r="K100" s="13">
        <v>80</v>
      </c>
      <c r="L100" s="14" t="s">
        <v>18</v>
      </c>
    </row>
    <row r="101" spans="1:12" ht="15" customHeight="1" x14ac:dyDescent="0.2">
      <c r="A101" s="15" t="s">
        <v>11157</v>
      </c>
      <c r="B101" s="15" t="s">
        <v>11158</v>
      </c>
      <c r="C101" s="15">
        <v>2020</v>
      </c>
      <c r="D101" s="15" t="s">
        <v>8286</v>
      </c>
      <c r="E101" s="15" t="s">
        <v>10720</v>
      </c>
      <c r="F101" s="15">
        <v>6.2270000000000003</v>
      </c>
      <c r="G101" s="15" t="s">
        <v>46</v>
      </c>
      <c r="H101" s="15" t="s">
        <v>11159</v>
      </c>
      <c r="I101" s="15" t="s">
        <v>11160</v>
      </c>
      <c r="J101" s="10" t="s">
        <v>11161</v>
      </c>
      <c r="K101" s="15">
        <v>22</v>
      </c>
      <c r="L101" s="14" t="s">
        <v>46</v>
      </c>
    </row>
    <row r="102" spans="1:12" ht="15" customHeight="1" x14ac:dyDescent="0.2">
      <c r="A102" s="13" t="s">
        <v>11162</v>
      </c>
      <c r="B102" s="13" t="s">
        <v>11162</v>
      </c>
      <c r="C102" s="13">
        <v>2019</v>
      </c>
      <c r="D102" s="13" t="s">
        <v>530</v>
      </c>
      <c r="E102" s="13" t="s">
        <v>1358</v>
      </c>
      <c r="F102" s="13">
        <v>2.6669999999999998</v>
      </c>
      <c r="G102" s="13" t="s">
        <v>169</v>
      </c>
      <c r="H102" s="13" t="s">
        <v>11163</v>
      </c>
      <c r="I102" s="13" t="s">
        <v>11164</v>
      </c>
      <c r="J102" s="9" t="s">
        <v>11165</v>
      </c>
      <c r="K102" s="13">
        <v>3</v>
      </c>
      <c r="L102" s="14" t="s">
        <v>169</v>
      </c>
    </row>
    <row r="103" spans="1:12" ht="15" customHeight="1" x14ac:dyDescent="0.2">
      <c r="A103" s="13" t="s">
        <v>11166</v>
      </c>
      <c r="B103" s="13" t="s">
        <v>11167</v>
      </c>
      <c r="C103" s="13">
        <v>2015</v>
      </c>
      <c r="D103" s="13" t="s">
        <v>8286</v>
      </c>
      <c r="E103" s="13" t="s">
        <v>11168</v>
      </c>
      <c r="F103" s="13">
        <v>6.149</v>
      </c>
      <c r="G103" s="13" t="s">
        <v>46</v>
      </c>
      <c r="H103" s="13" t="s">
        <v>11169</v>
      </c>
      <c r="I103" s="13" t="s">
        <v>11170</v>
      </c>
      <c r="J103" s="9" t="s">
        <v>11171</v>
      </c>
      <c r="K103" s="13">
        <v>85</v>
      </c>
      <c r="L103" s="14" t="s">
        <v>46</v>
      </c>
    </row>
    <row r="104" spans="1:12" ht="15" customHeight="1" x14ac:dyDescent="0.2">
      <c r="A104" s="13" t="s">
        <v>11172</v>
      </c>
      <c r="B104" s="13" t="s">
        <v>11173</v>
      </c>
      <c r="C104" s="13">
        <v>2019</v>
      </c>
      <c r="D104" s="13" t="s">
        <v>560</v>
      </c>
      <c r="E104" s="13" t="s">
        <v>10720</v>
      </c>
      <c r="F104" s="13">
        <v>7.1959999999999997</v>
      </c>
      <c r="G104" s="13" t="s">
        <v>18</v>
      </c>
      <c r="H104" s="13" t="s">
        <v>11174</v>
      </c>
      <c r="I104" s="13" t="s">
        <v>11175</v>
      </c>
      <c r="J104" s="9" t="s">
        <v>11176</v>
      </c>
      <c r="K104" s="13">
        <v>46</v>
      </c>
      <c r="L104" s="14" t="s">
        <v>18</v>
      </c>
    </row>
    <row r="105" spans="1:12" ht="15" customHeight="1" x14ac:dyDescent="0.2">
      <c r="A105" s="13" t="s">
        <v>11177</v>
      </c>
      <c r="B105" s="13" t="s">
        <v>11178</v>
      </c>
      <c r="C105" s="13">
        <v>2022</v>
      </c>
      <c r="D105" s="13" t="s">
        <v>413</v>
      </c>
      <c r="E105" s="13" t="s">
        <v>1046</v>
      </c>
      <c r="F105" s="13">
        <v>6.6950000000000003</v>
      </c>
      <c r="G105" s="13" t="s">
        <v>18</v>
      </c>
      <c r="H105" s="13" t="s">
        <v>11179</v>
      </c>
      <c r="I105" s="13" t="s">
        <v>11180</v>
      </c>
      <c r="J105" s="9" t="s">
        <v>11181</v>
      </c>
      <c r="K105" s="13">
        <v>303</v>
      </c>
      <c r="L105" s="14" t="s">
        <v>18</v>
      </c>
    </row>
    <row r="106" spans="1:12" ht="15" customHeight="1" x14ac:dyDescent="0.2">
      <c r="A106" s="13" t="s">
        <v>11182</v>
      </c>
      <c r="B106" s="13" t="s">
        <v>11183</v>
      </c>
      <c r="C106" s="13">
        <v>2019</v>
      </c>
      <c r="D106" s="13" t="s">
        <v>413</v>
      </c>
      <c r="E106" s="13" t="s">
        <v>5530</v>
      </c>
      <c r="F106" s="13">
        <v>2</v>
      </c>
      <c r="G106" s="13" t="s">
        <v>1310</v>
      </c>
      <c r="H106" s="13" t="s">
        <v>11184</v>
      </c>
      <c r="I106" s="13" t="s">
        <v>11185</v>
      </c>
      <c r="J106" s="9" t="s">
        <v>11186</v>
      </c>
      <c r="K106" s="13">
        <v>4</v>
      </c>
      <c r="L106" s="14" t="s">
        <v>1310</v>
      </c>
    </row>
    <row r="107" spans="1:12" ht="15" customHeight="1" x14ac:dyDescent="0.2">
      <c r="A107" s="13" t="s">
        <v>11187</v>
      </c>
      <c r="B107" s="13" t="s">
        <v>11188</v>
      </c>
      <c r="C107" s="13">
        <v>2015</v>
      </c>
      <c r="D107" s="13" t="s">
        <v>530</v>
      </c>
      <c r="E107" s="13" t="s">
        <v>11189</v>
      </c>
      <c r="F107" s="13">
        <v>3.5710000000000002</v>
      </c>
      <c r="G107" s="13" t="s">
        <v>86</v>
      </c>
      <c r="H107" s="13" t="s">
        <v>11190</v>
      </c>
      <c r="I107" s="13" t="s">
        <v>11191</v>
      </c>
      <c r="J107" s="9" t="s">
        <v>11192</v>
      </c>
      <c r="K107" s="13">
        <v>7</v>
      </c>
      <c r="L107" s="14" t="s">
        <v>86</v>
      </c>
    </row>
    <row r="108" spans="1:12" ht="15" customHeight="1" x14ac:dyDescent="0.2">
      <c r="A108" s="13" t="s">
        <v>11193</v>
      </c>
      <c r="B108" s="13" t="s">
        <v>11194</v>
      </c>
      <c r="C108" s="13">
        <v>2005</v>
      </c>
      <c r="D108" s="13" t="s">
        <v>11195</v>
      </c>
      <c r="E108" s="13" t="s">
        <v>11196</v>
      </c>
      <c r="F108" s="13">
        <v>2.7</v>
      </c>
      <c r="G108" s="13" t="s">
        <v>169</v>
      </c>
      <c r="H108" s="13" t="s">
        <v>11197</v>
      </c>
      <c r="I108" s="13" t="s">
        <v>11198</v>
      </c>
      <c r="J108" s="9" t="s">
        <v>11199</v>
      </c>
      <c r="K108" s="13">
        <v>3</v>
      </c>
      <c r="L108" s="14" t="s">
        <v>169</v>
      </c>
    </row>
    <row r="109" spans="1:12" ht="15" customHeight="1" x14ac:dyDescent="0.2">
      <c r="A109" s="13" t="s">
        <v>11200</v>
      </c>
      <c r="B109" s="13" t="s">
        <v>11201</v>
      </c>
      <c r="C109" s="13">
        <v>1985</v>
      </c>
      <c r="D109" s="13" t="s">
        <v>8589</v>
      </c>
      <c r="E109" s="13" t="s">
        <v>11202</v>
      </c>
      <c r="F109" s="13">
        <v>5.9</v>
      </c>
      <c r="G109" s="13" t="s">
        <v>46</v>
      </c>
      <c r="H109" s="13" t="s">
        <v>11203</v>
      </c>
      <c r="I109" s="13" t="s">
        <v>11204</v>
      </c>
      <c r="J109" s="9" t="s">
        <v>11205</v>
      </c>
      <c r="K109" s="13">
        <v>110</v>
      </c>
      <c r="L109" s="14" t="s">
        <v>46</v>
      </c>
    </row>
    <row r="110" spans="1:12" ht="15" customHeight="1" x14ac:dyDescent="0.2">
      <c r="A110" s="13" t="s">
        <v>11206</v>
      </c>
      <c r="B110" s="13" t="s">
        <v>11207</v>
      </c>
      <c r="C110" s="13">
        <v>2004</v>
      </c>
      <c r="D110" s="13" t="s">
        <v>413</v>
      </c>
      <c r="E110" s="13" t="s">
        <v>1052</v>
      </c>
      <c r="F110" s="13">
        <v>5.6959999999999997</v>
      </c>
      <c r="G110" s="13" t="s">
        <v>46</v>
      </c>
      <c r="H110" s="13" t="s">
        <v>11208</v>
      </c>
      <c r="I110" s="13" t="s">
        <v>11209</v>
      </c>
      <c r="J110" s="9" t="s">
        <v>11210</v>
      </c>
      <c r="K110" s="13">
        <v>565</v>
      </c>
      <c r="L110" s="14" t="s">
        <v>46</v>
      </c>
    </row>
    <row r="111" spans="1:12" ht="15" customHeight="1" x14ac:dyDescent="0.2">
      <c r="A111" s="15" t="s">
        <v>11211</v>
      </c>
      <c r="B111" s="15" t="s">
        <v>11212</v>
      </c>
      <c r="C111" s="15">
        <v>2009</v>
      </c>
      <c r="D111" s="15" t="s">
        <v>560</v>
      </c>
      <c r="E111" s="15" t="s">
        <v>11213</v>
      </c>
      <c r="F111" s="15">
        <v>5.6</v>
      </c>
      <c r="G111" s="15" t="s">
        <v>46</v>
      </c>
      <c r="H111" s="15" t="s">
        <v>11214</v>
      </c>
      <c r="I111" s="15" t="s">
        <v>11215</v>
      </c>
      <c r="J111" s="10" t="s">
        <v>11216</v>
      </c>
      <c r="K111" s="15">
        <v>27</v>
      </c>
      <c r="L111" s="14" t="s">
        <v>46</v>
      </c>
    </row>
    <row r="112" spans="1:12" ht="15" customHeight="1" x14ac:dyDescent="0.2">
      <c r="A112" s="13" t="s">
        <v>11217</v>
      </c>
      <c r="B112" s="13" t="s">
        <v>11218</v>
      </c>
      <c r="C112" s="13">
        <v>2005</v>
      </c>
      <c r="D112" s="13" t="s">
        <v>15</v>
      </c>
      <c r="E112" s="13" t="s">
        <v>10855</v>
      </c>
      <c r="F112" s="13">
        <v>5.6</v>
      </c>
      <c r="G112" s="13" t="s">
        <v>46</v>
      </c>
      <c r="H112" s="13" t="s">
        <v>11219</v>
      </c>
      <c r="I112" s="13" t="s">
        <v>11220</v>
      </c>
      <c r="J112" s="9" t="s">
        <v>11221</v>
      </c>
      <c r="K112" s="13">
        <v>72</v>
      </c>
      <c r="L112" s="14" t="s">
        <v>46</v>
      </c>
    </row>
    <row r="113" spans="1:12" ht="15" customHeight="1" x14ac:dyDescent="0.2">
      <c r="A113" s="13" t="s">
        <v>11222</v>
      </c>
      <c r="B113" s="13"/>
      <c r="C113" s="13"/>
      <c r="D113" s="13"/>
      <c r="E113" s="13"/>
      <c r="F113" s="13"/>
      <c r="G113" s="13"/>
      <c r="H113" s="13"/>
      <c r="I113" s="13"/>
      <c r="J113" s="9"/>
      <c r="K113" s="13"/>
      <c r="L113" s="14"/>
    </row>
    <row r="114" spans="1:12" ht="15" customHeight="1" x14ac:dyDescent="0.2">
      <c r="A114" s="13" t="s">
        <v>11223</v>
      </c>
      <c r="B114" s="13" t="s">
        <v>11224</v>
      </c>
      <c r="C114" s="13">
        <v>2017</v>
      </c>
      <c r="D114" s="13" t="s">
        <v>413</v>
      </c>
      <c r="E114" s="13" t="s">
        <v>963</v>
      </c>
      <c r="F114" s="13">
        <v>6.1</v>
      </c>
      <c r="G114" s="13" t="s">
        <v>46</v>
      </c>
      <c r="H114" s="13" t="s">
        <v>11225</v>
      </c>
      <c r="I114" s="13" t="s">
        <v>11226</v>
      </c>
      <c r="J114" s="9" t="s">
        <v>11227</v>
      </c>
      <c r="K114" s="13">
        <v>43</v>
      </c>
      <c r="L114" s="14" t="s">
        <v>46</v>
      </c>
    </row>
    <row r="115" spans="1:12" ht="15" customHeight="1" x14ac:dyDescent="0.2">
      <c r="A115" s="13" t="s">
        <v>11228</v>
      </c>
      <c r="B115" s="13" t="s">
        <v>11229</v>
      </c>
      <c r="C115" s="13">
        <v>2007</v>
      </c>
      <c r="D115" s="13" t="s">
        <v>619</v>
      </c>
      <c r="E115" s="13" t="s">
        <v>3295</v>
      </c>
      <c r="F115" s="13">
        <v>5.7130000000000001</v>
      </c>
      <c r="G115" s="13" t="s">
        <v>46</v>
      </c>
      <c r="H115" s="13" t="s">
        <v>11230</v>
      </c>
      <c r="I115" s="13" t="s">
        <v>11231</v>
      </c>
      <c r="J115" s="9" t="s">
        <v>11232</v>
      </c>
      <c r="K115" s="13">
        <v>38</v>
      </c>
      <c r="L115" s="14" t="s">
        <v>46</v>
      </c>
    </row>
    <row r="116" spans="1:12" ht="15" customHeight="1" x14ac:dyDescent="0.2">
      <c r="A116" s="13" t="s">
        <v>11233</v>
      </c>
      <c r="B116" s="13" t="s">
        <v>11234</v>
      </c>
      <c r="C116" s="13">
        <v>1940</v>
      </c>
      <c r="D116" s="13" t="s">
        <v>413</v>
      </c>
      <c r="E116" s="13" t="s">
        <v>11235</v>
      </c>
      <c r="F116" s="13">
        <v>5.91</v>
      </c>
      <c r="G116" s="13" t="s">
        <v>46</v>
      </c>
      <c r="H116" s="13" t="s">
        <v>11236</v>
      </c>
      <c r="I116" s="13" t="s">
        <v>11237</v>
      </c>
      <c r="J116" s="9" t="s">
        <v>11238</v>
      </c>
      <c r="K116" s="13">
        <v>39</v>
      </c>
      <c r="L116" s="14" t="s">
        <v>46</v>
      </c>
    </row>
    <row r="117" spans="1:12" ht="15" customHeight="1" x14ac:dyDescent="0.2">
      <c r="A117" s="13" t="s">
        <v>11239</v>
      </c>
      <c r="B117" s="13" t="s">
        <v>11240</v>
      </c>
      <c r="C117" s="13">
        <v>1999</v>
      </c>
      <c r="D117" s="13" t="s">
        <v>413</v>
      </c>
      <c r="E117" s="13" t="s">
        <v>8343</v>
      </c>
      <c r="F117" s="13">
        <v>6.9</v>
      </c>
      <c r="G117" s="13" t="s">
        <v>18</v>
      </c>
      <c r="H117" s="13" t="s">
        <v>11241</v>
      </c>
      <c r="I117" s="13" t="s">
        <v>11242</v>
      </c>
      <c r="J117" s="9" t="s">
        <v>11243</v>
      </c>
      <c r="K117" s="13">
        <v>22</v>
      </c>
      <c r="L117" s="14" t="s">
        <v>18</v>
      </c>
    </row>
    <row r="118" spans="1:12" ht="15" customHeight="1" x14ac:dyDescent="0.2">
      <c r="A118" s="13" t="s">
        <v>11244</v>
      </c>
      <c r="B118" s="13" t="s">
        <v>11245</v>
      </c>
      <c r="C118" s="13">
        <v>2021</v>
      </c>
      <c r="D118" s="13" t="s">
        <v>560</v>
      </c>
      <c r="E118" s="13" t="s">
        <v>11008</v>
      </c>
      <c r="F118" s="13">
        <v>5.8</v>
      </c>
      <c r="G118" s="13" t="s">
        <v>46</v>
      </c>
      <c r="H118" s="13" t="s">
        <v>11246</v>
      </c>
      <c r="I118" s="13" t="s">
        <v>11247</v>
      </c>
      <c r="J118" s="9" t="s">
        <v>11248</v>
      </c>
      <c r="K118" s="13">
        <v>30</v>
      </c>
      <c r="L118" s="14" t="s">
        <v>46</v>
      </c>
    </row>
    <row r="119" spans="1:12" ht="15" customHeight="1" x14ac:dyDescent="0.2">
      <c r="A119" s="13" t="s">
        <v>11244</v>
      </c>
      <c r="B119" s="13" t="s">
        <v>11245</v>
      </c>
      <c r="C119" s="13">
        <v>2021</v>
      </c>
      <c r="D119" s="13" t="s">
        <v>560</v>
      </c>
      <c r="E119" s="13" t="s">
        <v>11008</v>
      </c>
      <c r="F119" s="13">
        <v>5.8</v>
      </c>
      <c r="G119" s="13" t="s">
        <v>46</v>
      </c>
      <c r="H119" s="13" t="s">
        <v>11246</v>
      </c>
      <c r="I119" s="13" t="s">
        <v>11247</v>
      </c>
      <c r="J119" s="9" t="s">
        <v>11248</v>
      </c>
      <c r="K119" s="13">
        <v>30</v>
      </c>
      <c r="L119" s="14" t="s">
        <v>46</v>
      </c>
    </row>
    <row r="120" spans="1:12" ht="15" customHeight="1" x14ac:dyDescent="0.2">
      <c r="A120" s="13" t="s">
        <v>11249</v>
      </c>
      <c r="B120" s="13" t="s">
        <v>11249</v>
      </c>
      <c r="C120" s="13">
        <v>1999</v>
      </c>
      <c r="D120" s="13" t="s">
        <v>530</v>
      </c>
      <c r="E120" s="13" t="s">
        <v>11250</v>
      </c>
      <c r="F120" s="13">
        <v>2</v>
      </c>
      <c r="G120" s="13" t="s">
        <v>1310</v>
      </c>
      <c r="H120" s="13" t="s">
        <v>11251</v>
      </c>
      <c r="I120" s="13" t="s">
        <v>11252</v>
      </c>
      <c r="J120" s="9" t="s">
        <v>11253</v>
      </c>
      <c r="K120" s="13">
        <v>2</v>
      </c>
      <c r="L120" s="14" t="s">
        <v>1310</v>
      </c>
    </row>
    <row r="121" spans="1:12" ht="15" customHeight="1" x14ac:dyDescent="0.2">
      <c r="A121" s="15" t="s">
        <v>11254</v>
      </c>
      <c r="B121" s="15" t="s">
        <v>11255</v>
      </c>
      <c r="C121" s="15">
        <v>2022</v>
      </c>
      <c r="D121" s="15" t="s">
        <v>413</v>
      </c>
      <c r="E121" s="15" t="s">
        <v>1069</v>
      </c>
      <c r="F121" s="15">
        <v>5.5</v>
      </c>
      <c r="G121" s="15" t="s">
        <v>46</v>
      </c>
      <c r="H121" s="15" t="s">
        <v>11256</v>
      </c>
      <c r="I121" s="15" t="s">
        <v>11257</v>
      </c>
      <c r="J121" s="10" t="s">
        <v>11258</v>
      </c>
      <c r="K121" s="15">
        <v>24</v>
      </c>
      <c r="L121" s="14" t="s">
        <v>46</v>
      </c>
    </row>
    <row r="122" spans="1:12" ht="15" customHeight="1" x14ac:dyDescent="0.2">
      <c r="A122" s="13" t="s">
        <v>11259</v>
      </c>
      <c r="B122" s="13" t="s">
        <v>11259</v>
      </c>
      <c r="C122" s="13">
        <v>2025</v>
      </c>
      <c r="D122" s="13" t="s">
        <v>15</v>
      </c>
      <c r="E122" s="13" t="s">
        <v>1096</v>
      </c>
      <c r="F122" s="13">
        <v>6.1669999999999998</v>
      </c>
      <c r="G122" s="13" t="s">
        <v>46</v>
      </c>
      <c r="H122" s="13">
        <v>1401318</v>
      </c>
      <c r="I122" s="13" t="s">
        <v>11260</v>
      </c>
      <c r="J122" s="9" t="s">
        <v>11261</v>
      </c>
      <c r="K122" s="13">
        <v>123</v>
      </c>
      <c r="L122" s="14" t="s">
        <v>46</v>
      </c>
    </row>
    <row r="123" spans="1:12" ht="15" customHeight="1" x14ac:dyDescent="0.2">
      <c r="A123" s="13" t="s">
        <v>11262</v>
      </c>
      <c r="B123" s="13" t="s">
        <v>11263</v>
      </c>
      <c r="C123" s="13">
        <v>2022</v>
      </c>
      <c r="D123" s="13" t="s">
        <v>15</v>
      </c>
      <c r="E123" s="13" t="s">
        <v>11264</v>
      </c>
      <c r="F123" s="13">
        <v>7.6</v>
      </c>
      <c r="G123" s="13" t="s">
        <v>77</v>
      </c>
      <c r="H123" s="13">
        <v>1028541</v>
      </c>
      <c r="I123" s="13" t="s">
        <v>11265</v>
      </c>
      <c r="J123" s="9" t="s">
        <v>11266</v>
      </c>
      <c r="K123" s="13">
        <v>56</v>
      </c>
      <c r="L123" s="14" t="s">
        <v>77</v>
      </c>
    </row>
    <row r="124" spans="1:12" ht="15" customHeight="1" x14ac:dyDescent="0.2">
      <c r="A124" s="13" t="s">
        <v>11267</v>
      </c>
      <c r="B124" s="13" t="s">
        <v>11268</v>
      </c>
      <c r="C124" s="13">
        <v>1996</v>
      </c>
      <c r="D124" s="13" t="s">
        <v>15</v>
      </c>
      <c r="E124" s="13" t="s">
        <v>11269</v>
      </c>
      <c r="F124" s="13">
        <v>6.4710000000000001</v>
      </c>
      <c r="G124" s="13" t="s">
        <v>46</v>
      </c>
      <c r="H124" s="13">
        <v>27681</v>
      </c>
      <c r="I124" s="13" t="s">
        <v>11270</v>
      </c>
      <c r="J124" s="9" t="s">
        <v>11271</v>
      </c>
      <c r="K124" s="13">
        <v>189</v>
      </c>
      <c r="L124" s="14" t="s">
        <v>46</v>
      </c>
    </row>
    <row r="125" spans="1:12" ht="15" customHeight="1" x14ac:dyDescent="0.2">
      <c r="A125" s="13" t="s">
        <v>11272</v>
      </c>
      <c r="B125" s="13" t="s">
        <v>11273</v>
      </c>
      <c r="C125" s="13">
        <v>2012</v>
      </c>
      <c r="D125" s="13" t="s">
        <v>519</v>
      </c>
      <c r="E125" s="13" t="s">
        <v>1270</v>
      </c>
      <c r="F125" s="13">
        <v>5.5</v>
      </c>
      <c r="G125" s="13" t="s">
        <v>46</v>
      </c>
      <c r="H125" s="13" t="s">
        <v>11274</v>
      </c>
      <c r="I125" s="13" t="s">
        <v>11275</v>
      </c>
      <c r="J125" s="9" t="s">
        <v>11276</v>
      </c>
      <c r="K125" s="13">
        <v>12</v>
      </c>
      <c r="L125" s="14" t="s">
        <v>46</v>
      </c>
    </row>
    <row r="126" spans="1:12" ht="15" customHeight="1" x14ac:dyDescent="0.2">
      <c r="A126" s="13" t="s">
        <v>11277</v>
      </c>
      <c r="B126" s="13" t="s">
        <v>11277</v>
      </c>
      <c r="C126" s="13">
        <v>2021</v>
      </c>
      <c r="D126" s="13" t="s">
        <v>519</v>
      </c>
      <c r="E126" s="13" t="s">
        <v>1270</v>
      </c>
      <c r="F126" s="13">
        <v>5.8</v>
      </c>
      <c r="G126" s="13" t="s">
        <v>46</v>
      </c>
      <c r="H126" s="13" t="s">
        <v>11278</v>
      </c>
      <c r="I126" s="13" t="s">
        <v>11279</v>
      </c>
      <c r="J126" s="9" t="s">
        <v>11280</v>
      </c>
      <c r="K126" s="13">
        <v>19</v>
      </c>
      <c r="L126" s="14" t="s">
        <v>46</v>
      </c>
    </row>
    <row r="127" spans="1:12" ht="15" customHeight="1" x14ac:dyDescent="0.2">
      <c r="A127" s="13" t="s">
        <v>11281</v>
      </c>
      <c r="B127" s="13" t="s">
        <v>11282</v>
      </c>
      <c r="C127" s="13">
        <v>2006</v>
      </c>
      <c r="D127" s="13" t="s">
        <v>519</v>
      </c>
      <c r="E127" s="13" t="s">
        <v>566</v>
      </c>
      <c r="F127" s="13">
        <v>7.0090000000000003</v>
      </c>
      <c r="G127" s="13" t="s">
        <v>18</v>
      </c>
      <c r="H127" s="13" t="s">
        <v>11283</v>
      </c>
      <c r="I127" s="13" t="s">
        <v>11284</v>
      </c>
      <c r="J127" s="9" t="s">
        <v>11285</v>
      </c>
      <c r="K127" s="13">
        <v>233</v>
      </c>
      <c r="L127" s="14" t="s">
        <v>18</v>
      </c>
    </row>
    <row r="128" spans="1:12" s="12" customFormat="1" ht="15" customHeight="1" x14ac:dyDescent="0.2">
      <c r="A128" s="13" t="s">
        <v>11286</v>
      </c>
      <c r="B128" s="13" t="s">
        <v>11287</v>
      </c>
      <c r="C128" s="13">
        <v>2021</v>
      </c>
      <c r="D128" s="13" t="s">
        <v>519</v>
      </c>
      <c r="E128" s="13" t="s">
        <v>1270</v>
      </c>
      <c r="F128" s="13">
        <v>5.7</v>
      </c>
      <c r="G128" s="13" t="s">
        <v>46</v>
      </c>
      <c r="H128" s="13" t="s">
        <v>11288</v>
      </c>
      <c r="I128" s="13" t="s">
        <v>11289</v>
      </c>
      <c r="J128" s="9" t="s">
        <v>11290</v>
      </c>
      <c r="K128" s="13">
        <v>182</v>
      </c>
      <c r="L128" s="14"/>
    </row>
    <row r="129" spans="1:12" ht="15" customHeight="1" x14ac:dyDescent="0.2">
      <c r="A129" s="13" t="s">
        <v>11108</v>
      </c>
      <c r="B129" s="13" t="s">
        <v>11109</v>
      </c>
      <c r="C129" s="13">
        <v>2022</v>
      </c>
      <c r="D129" s="13" t="s">
        <v>519</v>
      </c>
      <c r="E129" s="13" t="s">
        <v>1270</v>
      </c>
      <c r="F129" s="13">
        <v>6.2</v>
      </c>
      <c r="G129" s="13" t="s">
        <v>46</v>
      </c>
      <c r="H129" s="13" t="s">
        <v>11110</v>
      </c>
      <c r="I129" s="13" t="s">
        <v>11111</v>
      </c>
      <c r="J129" s="9" t="s">
        <v>11112</v>
      </c>
      <c r="K129" s="13">
        <v>25</v>
      </c>
      <c r="L129" s="14"/>
    </row>
    <row r="130" spans="1:12" ht="15" customHeight="1" x14ac:dyDescent="0.2">
      <c r="A130" s="13" t="s">
        <v>11291</v>
      </c>
      <c r="B130" s="13" t="s">
        <v>11291</v>
      </c>
      <c r="C130" s="13">
        <v>2025</v>
      </c>
      <c r="D130" s="13" t="s">
        <v>519</v>
      </c>
      <c r="E130" s="13" t="s">
        <v>2042</v>
      </c>
      <c r="F130" s="13">
        <v>6.2</v>
      </c>
      <c r="G130" s="13" t="s">
        <v>46</v>
      </c>
      <c r="H130" s="13" t="s">
        <v>11292</v>
      </c>
      <c r="I130" s="13" t="s">
        <v>11293</v>
      </c>
      <c r="J130" s="9" t="s">
        <v>11294</v>
      </c>
      <c r="K130" s="13">
        <v>2</v>
      </c>
      <c r="L130" s="14"/>
    </row>
    <row r="131" spans="1:12" ht="15" customHeight="1" x14ac:dyDescent="0.2">
      <c r="A131" s="15" t="s">
        <v>11295</v>
      </c>
      <c r="B131" s="15" t="s">
        <v>11296</v>
      </c>
      <c r="C131" s="15">
        <v>1991</v>
      </c>
      <c r="D131" s="15" t="s">
        <v>519</v>
      </c>
      <c r="E131" s="15" t="s">
        <v>1270</v>
      </c>
      <c r="F131" s="15">
        <v>7.3</v>
      </c>
      <c r="G131" s="15" t="s">
        <v>18</v>
      </c>
      <c r="H131" s="15" t="s">
        <v>11297</v>
      </c>
      <c r="I131" s="15" t="s">
        <v>11298</v>
      </c>
      <c r="J131" s="10" t="s">
        <v>11299</v>
      </c>
      <c r="K131" s="15">
        <v>29</v>
      </c>
      <c r="L131" s="14"/>
    </row>
    <row r="132" spans="1:12" s="2" customFormat="1" ht="15" customHeight="1" x14ac:dyDescent="0.2">
      <c r="A132" s="13" t="s">
        <v>11613</v>
      </c>
      <c r="B132" s="13"/>
      <c r="C132" s="13">
        <v>2006</v>
      </c>
      <c r="D132" s="13" t="s">
        <v>519</v>
      </c>
      <c r="E132" s="13" t="s">
        <v>1270</v>
      </c>
      <c r="F132" s="13"/>
      <c r="G132" s="13"/>
      <c r="H132" s="13"/>
      <c r="I132" s="13"/>
      <c r="J132" s="9"/>
      <c r="K132" s="13"/>
      <c r="L132" s="14"/>
    </row>
  </sheetData>
  <pageMargins left="0.75" right="0.75" top="1" bottom="1" header="0.511811023622047" footer="0.511811023622047"/>
  <pageSetup orientation="landscape"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Tabelle15"/>
  <dimension ref="A1:L94"/>
  <sheetViews>
    <sheetView tabSelected="1" zoomScaleNormal="100" workbookViewId="0">
      <pane ySplit="1" topLeftCell="A70" activePane="bottomLeft" state="frozen"/>
      <selection pane="bottomLeft" activeCell="A77" sqref="A77"/>
    </sheetView>
  </sheetViews>
  <sheetFormatPr baseColWidth="10" defaultColWidth="12.5703125" defaultRowHeight="15" customHeight="1" x14ac:dyDescent="0.25"/>
  <cols>
    <col min="1" max="1" width="47.42578125" style="5" customWidth="1"/>
    <col min="2" max="2" width="18.5703125" style="5" customWidth="1"/>
    <col min="3" max="3" width="8.140625" style="6" customWidth="1"/>
    <col min="4" max="4" width="7" style="5" customWidth="1"/>
    <col min="5" max="5" width="11.42578125" style="5" customWidth="1"/>
    <col min="6" max="6" width="6.42578125" style="6" customWidth="1"/>
    <col min="7" max="7" width="11.42578125" style="5" customWidth="1"/>
    <col min="8" max="8" width="10.42578125" style="6" bestFit="1" customWidth="1"/>
    <col min="9" max="9" width="44.7109375" style="5" customWidth="1"/>
    <col min="10" max="10" width="43" style="5" customWidth="1"/>
    <col min="11" max="11" width="18.5703125" style="5" customWidth="1"/>
    <col min="12" max="22" width="12.5703125" style="5" customWidth="1"/>
    <col min="23" max="16384" width="12.5703125" style="5"/>
  </cols>
  <sheetData>
    <row r="1" spans="1:12" s="7" customFormat="1" ht="16.5" customHeight="1" x14ac:dyDescent="0.3">
      <c r="A1" s="11" t="s">
        <v>0</v>
      </c>
      <c r="B1" s="11" t="s">
        <v>1</v>
      </c>
      <c r="C1" s="11" t="s">
        <v>2</v>
      </c>
      <c r="D1" s="11" t="s">
        <v>3</v>
      </c>
      <c r="E1" s="11" t="s">
        <v>4</v>
      </c>
      <c r="F1" s="11" t="s">
        <v>5</v>
      </c>
      <c r="G1" s="11" t="s">
        <v>6</v>
      </c>
      <c r="H1" s="11" t="s">
        <v>7</v>
      </c>
      <c r="I1" s="11" t="s">
        <v>8</v>
      </c>
      <c r="J1" s="11" t="s">
        <v>9</v>
      </c>
      <c r="K1" s="11" t="s">
        <v>10</v>
      </c>
      <c r="L1" s="11" t="s">
        <v>11</v>
      </c>
    </row>
    <row r="2" spans="1:12" ht="15" customHeight="1" x14ac:dyDescent="0.25">
      <c r="A2" s="16" t="s">
        <v>11300</v>
      </c>
      <c r="B2" s="16" t="s">
        <v>11300</v>
      </c>
      <c r="C2" s="16">
        <v>1993</v>
      </c>
      <c r="D2" s="16" t="s">
        <v>413</v>
      </c>
      <c r="E2" s="16" t="s">
        <v>566</v>
      </c>
      <c r="F2" s="16">
        <v>6.8449999999999998</v>
      </c>
      <c r="G2" s="16" t="s">
        <v>18</v>
      </c>
      <c r="H2" s="16" t="s">
        <v>11301</v>
      </c>
      <c r="I2" s="16" t="s">
        <v>11302</v>
      </c>
      <c r="J2" s="17"/>
      <c r="K2" s="16">
        <v>84</v>
      </c>
      <c r="L2" s="22" t="s">
        <v>18</v>
      </c>
    </row>
    <row r="3" spans="1:12" ht="15" customHeight="1" x14ac:dyDescent="0.25">
      <c r="A3" s="16" t="s">
        <v>11303</v>
      </c>
      <c r="B3" s="16" t="s">
        <v>11303</v>
      </c>
      <c r="C3" s="16">
        <v>1990</v>
      </c>
      <c r="D3" s="16" t="s">
        <v>413</v>
      </c>
      <c r="E3" s="16" t="s">
        <v>11304</v>
      </c>
      <c r="F3" s="16">
        <v>6.1669999999999998</v>
      </c>
      <c r="G3" s="16" t="s">
        <v>46</v>
      </c>
      <c r="H3" s="16" t="s">
        <v>11305</v>
      </c>
      <c r="I3" s="16" t="s">
        <v>11306</v>
      </c>
      <c r="J3" s="17" t="s">
        <v>11307</v>
      </c>
      <c r="K3" s="16">
        <v>30</v>
      </c>
      <c r="L3" s="22" t="s">
        <v>46</v>
      </c>
    </row>
    <row r="4" spans="1:12" ht="15" customHeight="1" x14ac:dyDescent="0.25">
      <c r="A4" s="16" t="s">
        <v>11308</v>
      </c>
      <c r="B4" s="16" t="s">
        <v>11309</v>
      </c>
      <c r="C4" s="16">
        <v>2014</v>
      </c>
      <c r="D4" s="16" t="s">
        <v>11310</v>
      </c>
      <c r="E4" s="16" t="s">
        <v>11311</v>
      </c>
      <c r="F4" s="16">
        <v>4.375</v>
      </c>
      <c r="G4" s="16" t="s">
        <v>86</v>
      </c>
      <c r="H4" s="16" t="s">
        <v>11312</v>
      </c>
      <c r="I4" s="16" t="s">
        <v>11313</v>
      </c>
      <c r="J4" s="17"/>
      <c r="K4" s="16">
        <v>8</v>
      </c>
      <c r="L4" s="22" t="s">
        <v>86</v>
      </c>
    </row>
    <row r="5" spans="1:12" ht="15" customHeight="1" x14ac:dyDescent="0.25">
      <c r="A5" s="16" t="s">
        <v>6889</v>
      </c>
      <c r="B5" s="16" t="s">
        <v>6889</v>
      </c>
      <c r="C5" s="16">
        <v>1999</v>
      </c>
      <c r="D5" s="16" t="s">
        <v>413</v>
      </c>
      <c r="E5" s="16" t="s">
        <v>10692</v>
      </c>
      <c r="F5" s="16">
        <v>6.4370000000000003</v>
      </c>
      <c r="G5" s="16" t="s">
        <v>46</v>
      </c>
      <c r="H5" s="16" t="s">
        <v>10693</v>
      </c>
      <c r="I5" s="16" t="s">
        <v>10694</v>
      </c>
      <c r="J5" s="17" t="s">
        <v>10695</v>
      </c>
      <c r="K5" s="16">
        <v>189</v>
      </c>
      <c r="L5" s="22" t="s">
        <v>46</v>
      </c>
    </row>
    <row r="6" spans="1:12" ht="15" customHeight="1" x14ac:dyDescent="0.25">
      <c r="A6" s="16" t="s">
        <v>11314</v>
      </c>
      <c r="B6" s="16" t="s">
        <v>11314</v>
      </c>
      <c r="C6" s="16">
        <v>1996</v>
      </c>
      <c r="D6" s="16" t="s">
        <v>413</v>
      </c>
      <c r="E6" s="16" t="s">
        <v>1764</v>
      </c>
      <c r="F6" s="16">
        <v>5.907</v>
      </c>
      <c r="G6" s="16" t="s">
        <v>46</v>
      </c>
      <c r="H6" s="16" t="s">
        <v>11315</v>
      </c>
      <c r="I6" s="16" t="s">
        <v>11316</v>
      </c>
      <c r="J6" s="17" t="s">
        <v>11317</v>
      </c>
      <c r="K6" s="16">
        <v>205</v>
      </c>
      <c r="L6" s="22" t="s">
        <v>46</v>
      </c>
    </row>
    <row r="7" spans="1:12" ht="15" customHeight="1" x14ac:dyDescent="0.25">
      <c r="A7" s="16" t="s">
        <v>11318</v>
      </c>
      <c r="B7" s="16" t="s">
        <v>11318</v>
      </c>
      <c r="C7" s="16">
        <v>1998</v>
      </c>
      <c r="D7" s="16" t="s">
        <v>8589</v>
      </c>
      <c r="E7" s="16" t="s">
        <v>11319</v>
      </c>
      <c r="F7" s="16">
        <v>4.9240000000000004</v>
      </c>
      <c r="G7" s="16" t="s">
        <v>28</v>
      </c>
      <c r="H7" s="16" t="s">
        <v>11320</v>
      </c>
      <c r="I7" s="16" t="s">
        <v>11321</v>
      </c>
      <c r="J7" s="17" t="s">
        <v>11322</v>
      </c>
      <c r="K7" s="16">
        <v>33</v>
      </c>
      <c r="L7" s="22" t="s">
        <v>28</v>
      </c>
    </row>
    <row r="8" spans="1:12" ht="15" customHeight="1" x14ac:dyDescent="0.25">
      <c r="A8" s="16" t="s">
        <v>11323</v>
      </c>
      <c r="B8" s="16" t="s">
        <v>11323</v>
      </c>
      <c r="C8" s="16">
        <v>1990</v>
      </c>
      <c r="D8" s="16" t="s">
        <v>560</v>
      </c>
      <c r="E8" s="16" t="s">
        <v>566</v>
      </c>
      <c r="F8" s="16">
        <v>6.7</v>
      </c>
      <c r="G8" s="16" t="s">
        <v>18</v>
      </c>
      <c r="H8" s="16" t="s">
        <v>11324</v>
      </c>
      <c r="I8" s="16" t="s">
        <v>11325</v>
      </c>
      <c r="J8" s="17" t="s">
        <v>11326</v>
      </c>
      <c r="K8" s="16">
        <v>100</v>
      </c>
      <c r="L8" s="22" t="s">
        <v>18</v>
      </c>
    </row>
    <row r="9" spans="1:12" ht="15" customHeight="1" x14ac:dyDescent="0.25">
      <c r="A9" s="16" t="s">
        <v>11327</v>
      </c>
      <c r="B9" s="16" t="s">
        <v>11327</v>
      </c>
      <c r="C9" s="16">
        <v>2025</v>
      </c>
      <c r="D9" s="16" t="s">
        <v>413</v>
      </c>
      <c r="E9" s="16" t="s">
        <v>11328</v>
      </c>
      <c r="F9" s="16">
        <v>6.9139999999999997</v>
      </c>
      <c r="G9" s="16" t="s">
        <v>18</v>
      </c>
      <c r="H9" s="16" t="s">
        <v>11329</v>
      </c>
      <c r="I9" s="16" t="s">
        <v>11330</v>
      </c>
      <c r="J9" s="17" t="s">
        <v>11331</v>
      </c>
      <c r="K9" s="16">
        <v>597</v>
      </c>
      <c r="L9" s="22" t="s">
        <v>18</v>
      </c>
    </row>
    <row r="10" spans="1:12" ht="15" customHeight="1" x14ac:dyDescent="0.25">
      <c r="A10" s="16" t="s">
        <v>11332</v>
      </c>
      <c r="B10" s="16" t="s">
        <v>11332</v>
      </c>
      <c r="C10" s="16">
        <v>2001</v>
      </c>
      <c r="D10" s="16" t="s">
        <v>8286</v>
      </c>
      <c r="E10" s="16" t="s">
        <v>10769</v>
      </c>
      <c r="F10" s="16">
        <v>5.5</v>
      </c>
      <c r="G10" s="16" t="s">
        <v>46</v>
      </c>
      <c r="H10" s="16" t="s">
        <v>11333</v>
      </c>
      <c r="I10" s="16" t="s">
        <v>11334</v>
      </c>
      <c r="J10" s="17"/>
      <c r="K10" s="16">
        <v>11</v>
      </c>
      <c r="L10" s="22" t="s">
        <v>46</v>
      </c>
    </row>
    <row r="11" spans="1:12" ht="15" customHeight="1" x14ac:dyDescent="0.25">
      <c r="A11" s="18" t="s">
        <v>11335</v>
      </c>
      <c r="B11" s="18" t="s">
        <v>11336</v>
      </c>
      <c r="C11" s="18">
        <v>1984</v>
      </c>
      <c r="D11" s="18" t="s">
        <v>11337</v>
      </c>
      <c r="E11" s="18" t="s">
        <v>1510</v>
      </c>
      <c r="F11" s="18">
        <v>5.7919999999999998</v>
      </c>
      <c r="G11" s="18" t="s">
        <v>46</v>
      </c>
      <c r="H11" s="18" t="s">
        <v>11338</v>
      </c>
      <c r="I11" s="18" t="s">
        <v>11339</v>
      </c>
      <c r="J11" s="19" t="s">
        <v>11340</v>
      </c>
      <c r="K11" s="18">
        <v>37</v>
      </c>
      <c r="L11" s="22" t="s">
        <v>46</v>
      </c>
    </row>
    <row r="12" spans="1:12" ht="15" customHeight="1" x14ac:dyDescent="0.25">
      <c r="A12" s="16" t="s">
        <v>11341</v>
      </c>
      <c r="B12" s="16" t="s">
        <v>11341</v>
      </c>
      <c r="C12" s="16">
        <v>1999</v>
      </c>
      <c r="D12" s="16" t="s">
        <v>11342</v>
      </c>
      <c r="E12" s="16" t="s">
        <v>11343</v>
      </c>
      <c r="F12" s="16">
        <v>5.9909999999999997</v>
      </c>
      <c r="G12" s="16" t="s">
        <v>46</v>
      </c>
      <c r="H12" s="16" t="s">
        <v>11344</v>
      </c>
      <c r="I12" s="16" t="s">
        <v>11345</v>
      </c>
      <c r="J12" s="17" t="s">
        <v>11346</v>
      </c>
      <c r="K12" s="16">
        <v>2569</v>
      </c>
      <c r="L12" s="22" t="s">
        <v>46</v>
      </c>
    </row>
    <row r="13" spans="1:12" ht="15" customHeight="1" x14ac:dyDescent="0.25">
      <c r="A13" s="16" t="s">
        <v>11347</v>
      </c>
      <c r="B13" s="16" t="s">
        <v>11348</v>
      </c>
      <c r="C13" s="16">
        <v>1958</v>
      </c>
      <c r="D13" s="16" t="s">
        <v>530</v>
      </c>
      <c r="E13" s="16" t="s">
        <v>566</v>
      </c>
      <c r="F13" s="16">
        <v>7.1920000000000002</v>
      </c>
      <c r="G13" s="16" t="s">
        <v>18</v>
      </c>
      <c r="H13" s="16" t="s">
        <v>11349</v>
      </c>
      <c r="I13" s="16" t="s">
        <v>11350</v>
      </c>
      <c r="J13" s="17" t="s">
        <v>11351</v>
      </c>
      <c r="K13" s="16">
        <v>117</v>
      </c>
      <c r="L13" s="22" t="s">
        <v>18</v>
      </c>
    </row>
    <row r="14" spans="1:12" ht="15" customHeight="1" x14ac:dyDescent="0.25">
      <c r="A14" s="16" t="s">
        <v>11352</v>
      </c>
      <c r="B14" s="16" t="s">
        <v>11353</v>
      </c>
      <c r="C14" s="16">
        <v>2025</v>
      </c>
      <c r="D14" s="16" t="s">
        <v>969</v>
      </c>
      <c r="E14" s="16" t="s">
        <v>1270</v>
      </c>
      <c r="F14" s="16">
        <v>6.7069999999999999</v>
      </c>
      <c r="G14" s="16" t="s">
        <v>18</v>
      </c>
      <c r="H14" s="16" t="s">
        <v>11354</v>
      </c>
      <c r="I14" s="16" t="s">
        <v>11355</v>
      </c>
      <c r="J14" s="17" t="s">
        <v>11356</v>
      </c>
      <c r="K14" s="16">
        <v>429</v>
      </c>
      <c r="L14" s="22" t="s">
        <v>18</v>
      </c>
    </row>
    <row r="15" spans="1:12" ht="15" customHeight="1" x14ac:dyDescent="0.25">
      <c r="A15" s="16" t="s">
        <v>11357</v>
      </c>
      <c r="B15" s="16" t="s">
        <v>11357</v>
      </c>
      <c r="C15" s="16">
        <v>2024</v>
      </c>
      <c r="D15" s="16" t="s">
        <v>49</v>
      </c>
      <c r="E15" s="16" t="s">
        <v>3274</v>
      </c>
      <c r="F15" s="16">
        <v>0</v>
      </c>
      <c r="G15" s="16"/>
      <c r="H15" s="16" t="s">
        <v>11358</v>
      </c>
      <c r="I15" s="16" t="s">
        <v>11359</v>
      </c>
      <c r="J15" s="17" t="s">
        <v>11360</v>
      </c>
      <c r="K15" s="16">
        <v>0</v>
      </c>
      <c r="L15" s="22"/>
    </row>
    <row r="16" spans="1:12" ht="15" customHeight="1" x14ac:dyDescent="0.25">
      <c r="A16" s="16" t="s">
        <v>11357</v>
      </c>
      <c r="B16" s="16" t="s">
        <v>11357</v>
      </c>
      <c r="C16" s="16">
        <v>2024</v>
      </c>
      <c r="D16" s="16" t="s">
        <v>49</v>
      </c>
      <c r="E16" s="16" t="s">
        <v>1270</v>
      </c>
      <c r="F16" s="16">
        <v>0</v>
      </c>
      <c r="G16" s="16"/>
      <c r="H16" s="16" t="s">
        <v>11358</v>
      </c>
      <c r="I16" s="16" t="s">
        <v>11361</v>
      </c>
      <c r="J16" s="17" t="s">
        <v>11360</v>
      </c>
      <c r="K16" s="16">
        <v>0</v>
      </c>
      <c r="L16" s="22"/>
    </row>
    <row r="17" spans="1:12" ht="15" customHeight="1" x14ac:dyDescent="0.25">
      <c r="A17" s="16" t="s">
        <v>7294</v>
      </c>
      <c r="B17" s="16" t="s">
        <v>7294</v>
      </c>
      <c r="C17" s="16">
        <v>1989</v>
      </c>
      <c r="D17" s="16" t="s">
        <v>413</v>
      </c>
      <c r="E17" s="16" t="s">
        <v>5165</v>
      </c>
      <c r="F17" s="16">
        <v>5.6840000000000002</v>
      </c>
      <c r="G17" s="16" t="s">
        <v>46</v>
      </c>
      <c r="H17" s="16" t="s">
        <v>7295</v>
      </c>
      <c r="I17" s="16" t="s">
        <v>11362</v>
      </c>
      <c r="J17" s="17" t="s">
        <v>7297</v>
      </c>
      <c r="K17" s="16">
        <v>267</v>
      </c>
      <c r="L17" s="22" t="s">
        <v>46</v>
      </c>
    </row>
    <row r="18" spans="1:12" ht="15" customHeight="1" x14ac:dyDescent="0.25">
      <c r="A18" s="16" t="s">
        <v>11363</v>
      </c>
      <c r="B18" s="16" t="s">
        <v>11363</v>
      </c>
      <c r="C18" s="16">
        <v>2025</v>
      </c>
      <c r="D18" s="16" t="s">
        <v>413</v>
      </c>
      <c r="E18" s="16" t="s">
        <v>11364</v>
      </c>
      <c r="F18" s="16">
        <v>6.8390000000000004</v>
      </c>
      <c r="G18" s="16" t="s">
        <v>18</v>
      </c>
      <c r="H18" s="16" t="s">
        <v>11365</v>
      </c>
      <c r="I18" s="16" t="s">
        <v>11366</v>
      </c>
      <c r="J18" s="17" t="s">
        <v>11367</v>
      </c>
      <c r="K18" s="16">
        <v>512</v>
      </c>
      <c r="L18" s="22" t="s">
        <v>18</v>
      </c>
    </row>
    <row r="19" spans="1:12" ht="15" customHeight="1" x14ac:dyDescent="0.25">
      <c r="A19" s="16" t="s">
        <v>11368</v>
      </c>
      <c r="B19" s="16" t="s">
        <v>11368</v>
      </c>
      <c r="C19" s="16">
        <v>1988</v>
      </c>
      <c r="D19" s="16" t="s">
        <v>413</v>
      </c>
      <c r="E19" s="16" t="s">
        <v>1024</v>
      </c>
      <c r="F19" s="16">
        <v>6.0250000000000004</v>
      </c>
      <c r="G19" s="16" t="s">
        <v>46</v>
      </c>
      <c r="H19" s="16" t="s">
        <v>11369</v>
      </c>
      <c r="I19" s="16" t="s">
        <v>11370</v>
      </c>
      <c r="J19" s="17" t="s">
        <v>11371</v>
      </c>
      <c r="K19" s="16">
        <v>20</v>
      </c>
      <c r="L19" s="22" t="s">
        <v>46</v>
      </c>
    </row>
    <row r="20" spans="1:12" ht="15" customHeight="1" x14ac:dyDescent="0.25">
      <c r="A20" s="16" t="s">
        <v>524</v>
      </c>
      <c r="B20" s="16" t="s">
        <v>524</v>
      </c>
      <c r="C20" s="16">
        <v>2025</v>
      </c>
      <c r="D20" s="16" t="s">
        <v>413</v>
      </c>
      <c r="E20" s="16" t="s">
        <v>7696</v>
      </c>
      <c r="F20" s="16">
        <v>6.6289999999999996</v>
      </c>
      <c r="G20" s="16" t="s">
        <v>18</v>
      </c>
      <c r="H20" s="16" t="s">
        <v>525</v>
      </c>
      <c r="I20" s="16" t="s">
        <v>11372</v>
      </c>
      <c r="J20" s="17" t="s">
        <v>527</v>
      </c>
      <c r="K20" s="16">
        <v>139</v>
      </c>
      <c r="L20" s="22" t="s">
        <v>18</v>
      </c>
    </row>
    <row r="21" spans="1:12" ht="15" customHeight="1" x14ac:dyDescent="0.25">
      <c r="A21" s="18" t="s">
        <v>11373</v>
      </c>
      <c r="B21" s="18" t="s">
        <v>11373</v>
      </c>
      <c r="C21" s="18">
        <v>2023</v>
      </c>
      <c r="D21" s="18" t="s">
        <v>49</v>
      </c>
      <c r="E21" s="18" t="s">
        <v>399</v>
      </c>
      <c r="F21" s="18"/>
      <c r="G21" s="18"/>
      <c r="H21" s="18" t="s">
        <v>11374</v>
      </c>
      <c r="I21" s="18" t="s">
        <v>11375</v>
      </c>
      <c r="J21" s="19"/>
      <c r="K21" s="18"/>
      <c r="L21" s="22"/>
    </row>
    <row r="22" spans="1:12" ht="15" customHeight="1" x14ac:dyDescent="0.25">
      <c r="A22" s="16" t="s">
        <v>11376</v>
      </c>
      <c r="B22" s="16" t="s">
        <v>11377</v>
      </c>
      <c r="C22" s="16">
        <v>2001</v>
      </c>
      <c r="D22" s="16" t="s">
        <v>560</v>
      </c>
      <c r="E22" s="16" t="s">
        <v>11378</v>
      </c>
      <c r="F22" s="16">
        <v>6.3</v>
      </c>
      <c r="G22" s="16" t="s">
        <v>28</v>
      </c>
      <c r="H22" s="16" t="s">
        <v>11379</v>
      </c>
      <c r="I22" s="16" t="s">
        <v>11380</v>
      </c>
      <c r="J22" s="17" t="s">
        <v>11381</v>
      </c>
      <c r="K22" s="16">
        <v>587</v>
      </c>
      <c r="L22" s="22" t="s">
        <v>28</v>
      </c>
    </row>
    <row r="23" spans="1:12" ht="15" customHeight="1" x14ac:dyDescent="0.25">
      <c r="A23" s="16" t="s">
        <v>11382</v>
      </c>
      <c r="B23" s="16" t="s">
        <v>11383</v>
      </c>
      <c r="C23" s="16">
        <v>2022</v>
      </c>
      <c r="D23" s="16" t="s">
        <v>500</v>
      </c>
      <c r="E23" s="16" t="s">
        <v>1196</v>
      </c>
      <c r="F23" s="16">
        <v>10</v>
      </c>
      <c r="G23" s="16" t="s">
        <v>2037</v>
      </c>
      <c r="H23" s="16" t="s">
        <v>11384</v>
      </c>
      <c r="I23" s="16" t="s">
        <v>11385</v>
      </c>
      <c r="J23" s="17" t="s">
        <v>11386</v>
      </c>
      <c r="K23" s="16">
        <v>1</v>
      </c>
      <c r="L23" s="22" t="s">
        <v>2037</v>
      </c>
    </row>
    <row r="24" spans="1:12" ht="15" customHeight="1" x14ac:dyDescent="0.25">
      <c r="A24" s="16" t="s">
        <v>11387</v>
      </c>
      <c r="B24" s="16" t="s">
        <v>11388</v>
      </c>
      <c r="C24" s="16">
        <v>2025</v>
      </c>
      <c r="D24" s="16" t="s">
        <v>9469</v>
      </c>
      <c r="E24" s="16" t="s">
        <v>2112</v>
      </c>
      <c r="F24" s="16">
        <v>6.04</v>
      </c>
      <c r="G24" s="16" t="s">
        <v>46</v>
      </c>
      <c r="H24" s="16" t="s">
        <v>11389</v>
      </c>
      <c r="I24" s="16" t="s">
        <v>11390</v>
      </c>
      <c r="J24" s="17" t="s">
        <v>11391</v>
      </c>
      <c r="K24" s="16">
        <v>75</v>
      </c>
      <c r="L24" s="22" t="s">
        <v>46</v>
      </c>
    </row>
    <row r="25" spans="1:12" ht="15" customHeight="1" x14ac:dyDescent="0.25">
      <c r="A25" s="16" t="s">
        <v>11392</v>
      </c>
      <c r="B25" s="16" t="s">
        <v>11392</v>
      </c>
      <c r="C25" s="16">
        <v>1996</v>
      </c>
      <c r="D25" s="16" t="s">
        <v>1798</v>
      </c>
      <c r="E25" s="16" t="s">
        <v>1196</v>
      </c>
      <c r="F25" s="16">
        <v>0</v>
      </c>
      <c r="G25" s="16"/>
      <c r="H25" s="16" t="s">
        <v>11393</v>
      </c>
      <c r="I25" s="16" t="s">
        <v>11394</v>
      </c>
      <c r="J25" s="17"/>
      <c r="K25" s="16">
        <v>0</v>
      </c>
      <c r="L25" s="22"/>
    </row>
    <row r="26" spans="1:12" ht="15" customHeight="1" x14ac:dyDescent="0.25">
      <c r="A26" s="16" t="s">
        <v>11395</v>
      </c>
      <c r="B26" s="16" t="s">
        <v>11396</v>
      </c>
      <c r="C26" s="16">
        <v>1992</v>
      </c>
      <c r="D26" s="16" t="s">
        <v>9300</v>
      </c>
      <c r="E26" s="16" t="s">
        <v>11397</v>
      </c>
      <c r="F26" s="16">
        <v>6.2</v>
      </c>
      <c r="G26" s="16" t="s">
        <v>46</v>
      </c>
      <c r="H26" s="16" t="s">
        <v>11398</v>
      </c>
      <c r="I26" s="16" t="s">
        <v>11399</v>
      </c>
      <c r="J26" s="17" t="s">
        <v>11400</v>
      </c>
      <c r="K26" s="16">
        <v>35</v>
      </c>
      <c r="L26" s="22" t="s">
        <v>46</v>
      </c>
    </row>
    <row r="27" spans="1:12" ht="15" customHeight="1" x14ac:dyDescent="0.25">
      <c r="A27" s="16" t="s">
        <v>11401</v>
      </c>
      <c r="B27" s="16" t="s">
        <v>11401</v>
      </c>
      <c r="C27" s="16">
        <v>1999</v>
      </c>
      <c r="D27" s="16" t="s">
        <v>413</v>
      </c>
      <c r="E27" s="16" t="s">
        <v>1270</v>
      </c>
      <c r="F27" s="16">
        <v>7.3680000000000003</v>
      </c>
      <c r="G27" s="16" t="s">
        <v>18</v>
      </c>
      <c r="H27" s="16" t="s">
        <v>11402</v>
      </c>
      <c r="I27" s="16" t="s">
        <v>11403</v>
      </c>
      <c r="J27" s="17" t="s">
        <v>11404</v>
      </c>
      <c r="K27" s="16">
        <v>3234</v>
      </c>
      <c r="L27" s="22" t="s">
        <v>18</v>
      </c>
    </row>
    <row r="28" spans="1:12" ht="15" customHeight="1" x14ac:dyDescent="0.25">
      <c r="A28" s="16" t="s">
        <v>679</v>
      </c>
      <c r="B28" s="16" t="s">
        <v>679</v>
      </c>
      <c r="C28" s="16">
        <v>1998</v>
      </c>
      <c r="D28" s="16" t="s">
        <v>413</v>
      </c>
      <c r="E28" s="16" t="s">
        <v>84</v>
      </c>
      <c r="F28" s="16">
        <v>3.625</v>
      </c>
      <c r="G28" s="16" t="s">
        <v>86</v>
      </c>
      <c r="H28" s="16" t="s">
        <v>680</v>
      </c>
      <c r="I28" s="16" t="s">
        <v>11405</v>
      </c>
      <c r="J28" s="17" t="s">
        <v>682</v>
      </c>
      <c r="K28" s="16">
        <v>8</v>
      </c>
      <c r="L28" s="22" t="s">
        <v>86</v>
      </c>
    </row>
    <row r="29" spans="1:12" ht="15" customHeight="1" x14ac:dyDescent="0.25">
      <c r="A29" s="16" t="s">
        <v>4721</v>
      </c>
      <c r="B29" s="16" t="s">
        <v>4721</v>
      </c>
      <c r="C29" s="16">
        <v>1992</v>
      </c>
      <c r="D29" s="16" t="s">
        <v>413</v>
      </c>
      <c r="E29" s="16" t="s">
        <v>566</v>
      </c>
      <c r="F29" s="16">
        <v>6.8570000000000002</v>
      </c>
      <c r="G29" s="16" t="s">
        <v>18</v>
      </c>
      <c r="H29" s="16" t="s">
        <v>4722</v>
      </c>
      <c r="I29" s="16" t="s">
        <v>11406</v>
      </c>
      <c r="J29" s="17" t="s">
        <v>4724</v>
      </c>
      <c r="K29" s="16">
        <v>56</v>
      </c>
      <c r="L29" s="22" t="s">
        <v>18</v>
      </c>
    </row>
    <row r="30" spans="1:12" ht="15" customHeight="1" x14ac:dyDescent="0.25">
      <c r="A30" s="16" t="s">
        <v>11407</v>
      </c>
      <c r="B30" s="16" t="s">
        <v>11407</v>
      </c>
      <c r="C30" s="16">
        <v>2000</v>
      </c>
      <c r="D30" s="16" t="s">
        <v>413</v>
      </c>
      <c r="E30" s="16" t="s">
        <v>1024</v>
      </c>
      <c r="F30" s="16">
        <v>5.8</v>
      </c>
      <c r="G30" s="16" t="s">
        <v>46</v>
      </c>
      <c r="H30" s="16" t="s">
        <v>11408</v>
      </c>
      <c r="I30" s="16" t="s">
        <v>11409</v>
      </c>
      <c r="J30" s="17" t="s">
        <v>11410</v>
      </c>
      <c r="K30" s="16">
        <v>44</v>
      </c>
      <c r="L30" s="22" t="s">
        <v>46</v>
      </c>
    </row>
    <row r="31" spans="1:12" ht="15" customHeight="1" x14ac:dyDescent="0.25">
      <c r="A31" s="18" t="s">
        <v>11411</v>
      </c>
      <c r="B31" s="18" t="s">
        <v>11411</v>
      </c>
      <c r="C31" s="18">
        <v>2023</v>
      </c>
      <c r="D31" s="18" t="s">
        <v>413</v>
      </c>
      <c r="E31" s="18" t="s">
        <v>10681</v>
      </c>
      <c r="F31" s="18">
        <v>7.9</v>
      </c>
      <c r="G31" s="18" t="s">
        <v>77</v>
      </c>
      <c r="H31" s="18" t="s">
        <v>11412</v>
      </c>
      <c r="I31" s="18" t="s">
        <v>11413</v>
      </c>
      <c r="J31" s="19"/>
      <c r="K31" s="18">
        <v>14</v>
      </c>
      <c r="L31" s="22" t="s">
        <v>77</v>
      </c>
    </row>
    <row r="32" spans="1:12" ht="15" customHeight="1" x14ac:dyDescent="0.25">
      <c r="A32" s="16" t="s">
        <v>11414</v>
      </c>
      <c r="B32" s="16" t="s">
        <v>11414</v>
      </c>
      <c r="C32" s="16">
        <v>2018</v>
      </c>
      <c r="D32" s="16" t="s">
        <v>530</v>
      </c>
      <c r="E32" s="16" t="s">
        <v>11415</v>
      </c>
      <c r="F32" s="16"/>
      <c r="G32" s="16"/>
      <c r="H32" s="16" t="s">
        <v>11416</v>
      </c>
      <c r="I32" s="16" t="s">
        <v>11417</v>
      </c>
      <c r="J32" s="17"/>
      <c r="K32" s="16"/>
      <c r="L32" s="22"/>
    </row>
    <row r="33" spans="1:12" ht="15" customHeight="1" x14ac:dyDescent="0.25">
      <c r="A33" s="16" t="s">
        <v>11418</v>
      </c>
      <c r="B33" s="16" t="s">
        <v>11418</v>
      </c>
      <c r="C33" s="16">
        <v>1984</v>
      </c>
      <c r="D33" s="16" t="s">
        <v>413</v>
      </c>
      <c r="E33" s="16" t="s">
        <v>11419</v>
      </c>
      <c r="F33" s="16">
        <v>6.2629999999999999</v>
      </c>
      <c r="G33" s="16" t="s">
        <v>46</v>
      </c>
      <c r="H33" s="16" t="s">
        <v>11420</v>
      </c>
      <c r="I33" s="16" t="s">
        <v>11421</v>
      </c>
      <c r="J33" s="17" t="s">
        <v>11422</v>
      </c>
      <c r="K33" s="16">
        <v>1438</v>
      </c>
      <c r="L33" s="22" t="s">
        <v>46</v>
      </c>
    </row>
    <row r="34" spans="1:12" ht="15" customHeight="1" x14ac:dyDescent="0.25">
      <c r="A34" s="16" t="s">
        <v>11423</v>
      </c>
      <c r="B34" s="16" t="s">
        <v>11424</v>
      </c>
      <c r="C34" s="16">
        <v>2025</v>
      </c>
      <c r="D34" s="16" t="s">
        <v>11425</v>
      </c>
      <c r="E34" s="16" t="s">
        <v>11426</v>
      </c>
      <c r="F34" s="16">
        <v>6.4249999999999998</v>
      </c>
      <c r="G34" s="16" t="s">
        <v>46</v>
      </c>
      <c r="H34" s="16" t="s">
        <v>11427</v>
      </c>
      <c r="I34" s="16" t="s">
        <v>11428</v>
      </c>
      <c r="J34" s="17" t="s">
        <v>11429</v>
      </c>
      <c r="K34" s="16">
        <v>181</v>
      </c>
      <c r="L34" s="22" t="s">
        <v>46</v>
      </c>
    </row>
    <row r="35" spans="1:12" ht="15" customHeight="1" x14ac:dyDescent="0.25">
      <c r="A35" s="16" t="s">
        <v>11430</v>
      </c>
      <c r="B35" s="16" t="s">
        <v>11430</v>
      </c>
      <c r="C35" s="16">
        <v>1995</v>
      </c>
      <c r="D35" s="16" t="s">
        <v>413</v>
      </c>
      <c r="E35" s="16" t="s">
        <v>11431</v>
      </c>
      <c r="F35" s="16">
        <v>7.0030000000000001</v>
      </c>
      <c r="G35" s="16" t="s">
        <v>18</v>
      </c>
      <c r="H35" s="16" t="s">
        <v>11432</v>
      </c>
      <c r="I35" s="16" t="s">
        <v>11433</v>
      </c>
      <c r="J35" s="17" t="s">
        <v>11434</v>
      </c>
      <c r="K35" s="16">
        <v>1466</v>
      </c>
      <c r="L35" s="22" t="s">
        <v>18</v>
      </c>
    </row>
    <row r="36" spans="1:12" ht="15" customHeight="1" x14ac:dyDescent="0.25">
      <c r="A36" s="16" t="s">
        <v>11435</v>
      </c>
      <c r="B36" s="16" t="s">
        <v>11436</v>
      </c>
      <c r="C36" s="16">
        <v>1999</v>
      </c>
      <c r="D36" s="16" t="s">
        <v>8286</v>
      </c>
      <c r="E36" s="16" t="s">
        <v>6210</v>
      </c>
      <c r="F36" s="16">
        <v>6.7329999999999997</v>
      </c>
      <c r="G36" s="16" t="s">
        <v>18</v>
      </c>
      <c r="H36" s="16" t="s">
        <v>11437</v>
      </c>
      <c r="I36" s="16" t="s">
        <v>49</v>
      </c>
      <c r="J36" s="17" t="s">
        <v>11438</v>
      </c>
      <c r="K36" s="16">
        <v>45</v>
      </c>
      <c r="L36" s="22" t="s">
        <v>18</v>
      </c>
    </row>
    <row r="37" spans="1:12" ht="15" customHeight="1" x14ac:dyDescent="0.25">
      <c r="A37" s="16" t="s">
        <v>11439</v>
      </c>
      <c r="B37" s="16" t="s">
        <v>11439</v>
      </c>
      <c r="C37" s="16">
        <v>1979</v>
      </c>
      <c r="D37" s="16" t="s">
        <v>413</v>
      </c>
      <c r="E37" s="16" t="s">
        <v>484</v>
      </c>
      <c r="F37" s="16">
        <v>4.7</v>
      </c>
      <c r="G37" s="16" t="s">
        <v>28</v>
      </c>
      <c r="H37" s="16" t="s">
        <v>11440</v>
      </c>
      <c r="I37" s="16" t="s">
        <v>11441</v>
      </c>
      <c r="J37" s="17" t="s">
        <v>11442</v>
      </c>
      <c r="K37" s="16">
        <v>200</v>
      </c>
      <c r="L37" s="22" t="s">
        <v>28</v>
      </c>
    </row>
    <row r="38" spans="1:12" ht="15" customHeight="1" x14ac:dyDescent="0.25">
      <c r="A38" s="16" t="s">
        <v>11443</v>
      </c>
      <c r="B38" s="16" t="s">
        <v>11443</v>
      </c>
      <c r="C38" s="16">
        <v>2025</v>
      </c>
      <c r="D38" s="16" t="s">
        <v>8249</v>
      </c>
      <c r="E38" s="16" t="s">
        <v>6333</v>
      </c>
      <c r="F38" s="16">
        <v>7</v>
      </c>
      <c r="G38" s="16" t="s">
        <v>18</v>
      </c>
      <c r="H38" s="16" t="s">
        <v>11444</v>
      </c>
      <c r="I38" s="16" t="s">
        <v>11445</v>
      </c>
      <c r="J38" s="17" t="s">
        <v>11446</v>
      </c>
      <c r="K38" s="16">
        <v>1452</v>
      </c>
      <c r="L38" s="22" t="s">
        <v>18</v>
      </c>
    </row>
    <row r="39" spans="1:12" ht="15" customHeight="1" x14ac:dyDescent="0.25">
      <c r="A39" s="16" t="s">
        <v>11447</v>
      </c>
      <c r="B39" s="16" t="s">
        <v>11447</v>
      </c>
      <c r="C39" s="16">
        <v>2025</v>
      </c>
      <c r="D39" s="16" t="s">
        <v>478</v>
      </c>
      <c r="E39" s="16" t="s">
        <v>1270</v>
      </c>
      <c r="F39" s="16">
        <v>6.6769999999999996</v>
      </c>
      <c r="G39" s="16" t="s">
        <v>18</v>
      </c>
      <c r="H39" s="16" t="s">
        <v>11448</v>
      </c>
      <c r="I39" s="16" t="s">
        <v>11449</v>
      </c>
      <c r="J39" s="17" t="s">
        <v>11450</v>
      </c>
      <c r="K39" s="16">
        <v>358</v>
      </c>
      <c r="L39" s="22" t="s">
        <v>18</v>
      </c>
    </row>
    <row r="40" spans="1:12" ht="15" customHeight="1" x14ac:dyDescent="0.25">
      <c r="A40" s="16" t="s">
        <v>11451</v>
      </c>
      <c r="B40" s="16" t="s">
        <v>11451</v>
      </c>
      <c r="C40" s="16">
        <v>1990</v>
      </c>
      <c r="D40" s="16" t="s">
        <v>560</v>
      </c>
      <c r="E40" s="16" t="s">
        <v>2082</v>
      </c>
      <c r="F40" s="16">
        <v>6.4939999999999998</v>
      </c>
      <c r="G40" s="16" t="s">
        <v>46</v>
      </c>
      <c r="H40" s="16" t="s">
        <v>11452</v>
      </c>
      <c r="I40" s="16" t="s">
        <v>11453</v>
      </c>
      <c r="J40" s="17" t="s">
        <v>11454</v>
      </c>
      <c r="K40" s="16">
        <v>451</v>
      </c>
      <c r="L40" s="22" t="s">
        <v>46</v>
      </c>
    </row>
    <row r="41" spans="1:12" ht="15" customHeight="1" x14ac:dyDescent="0.25">
      <c r="A41" s="18" t="s">
        <v>11455</v>
      </c>
      <c r="B41" s="18" t="s">
        <v>11455</v>
      </c>
      <c r="C41" s="18">
        <v>2025</v>
      </c>
      <c r="D41" s="18" t="s">
        <v>413</v>
      </c>
      <c r="E41" s="18" t="s">
        <v>3351</v>
      </c>
      <c r="F41" s="18">
        <v>4.9000000000000004</v>
      </c>
      <c r="G41" s="18" t="s">
        <v>28</v>
      </c>
      <c r="H41" s="18" t="s">
        <v>11456</v>
      </c>
      <c r="I41" s="18" t="s">
        <v>11457</v>
      </c>
      <c r="J41" s="19" t="s">
        <v>11458</v>
      </c>
      <c r="K41" s="18">
        <v>9</v>
      </c>
      <c r="L41" s="22" t="s">
        <v>28</v>
      </c>
    </row>
    <row r="42" spans="1:12" ht="15" customHeight="1" x14ac:dyDescent="0.25">
      <c r="A42" s="16" t="s">
        <v>11459</v>
      </c>
      <c r="B42" s="16" t="s">
        <v>11459</v>
      </c>
      <c r="C42" s="16">
        <v>2025</v>
      </c>
      <c r="D42" s="16" t="s">
        <v>413</v>
      </c>
      <c r="E42" s="16" t="s">
        <v>2374</v>
      </c>
      <c r="F42" s="16">
        <v>7.1</v>
      </c>
      <c r="G42" s="16" t="s">
        <v>18</v>
      </c>
      <c r="H42" s="16" t="s">
        <v>11460</v>
      </c>
      <c r="I42" s="16" t="s">
        <v>11461</v>
      </c>
      <c r="J42" s="17" t="s">
        <v>11462</v>
      </c>
      <c r="K42" s="16">
        <v>508</v>
      </c>
      <c r="L42" s="22" t="s">
        <v>18</v>
      </c>
    </row>
    <row r="43" spans="1:12" ht="15" customHeight="1" x14ac:dyDescent="0.25">
      <c r="A43" s="16" t="s">
        <v>11463</v>
      </c>
      <c r="B43" s="16" t="s">
        <v>11463</v>
      </c>
      <c r="C43" s="16">
        <v>1994</v>
      </c>
      <c r="D43" s="16" t="s">
        <v>9047</v>
      </c>
      <c r="E43" s="16" t="s">
        <v>11464</v>
      </c>
      <c r="F43" s="16">
        <v>6.7</v>
      </c>
      <c r="G43" s="16" t="s">
        <v>18</v>
      </c>
      <c r="H43" s="16" t="s">
        <v>11465</v>
      </c>
      <c r="I43" s="16" t="s">
        <v>11466</v>
      </c>
      <c r="J43" s="17" t="s">
        <v>11467</v>
      </c>
      <c r="K43" s="16">
        <v>92</v>
      </c>
      <c r="L43" s="22" t="s">
        <v>18</v>
      </c>
    </row>
    <row r="44" spans="1:12" ht="15" customHeight="1" x14ac:dyDescent="0.25">
      <c r="A44" s="16" t="s">
        <v>11468</v>
      </c>
      <c r="B44" s="16" t="s">
        <v>11468</v>
      </c>
      <c r="C44" s="16">
        <v>1994</v>
      </c>
      <c r="D44" s="16" t="s">
        <v>413</v>
      </c>
      <c r="E44" s="16" t="s">
        <v>5566</v>
      </c>
      <c r="F44" s="16">
        <v>5.306</v>
      </c>
      <c r="G44" s="16" t="s">
        <v>28</v>
      </c>
      <c r="H44" s="16" t="s">
        <v>11469</v>
      </c>
      <c r="I44" s="16" t="s">
        <v>11470</v>
      </c>
      <c r="J44" s="17"/>
      <c r="K44" s="16">
        <v>49</v>
      </c>
      <c r="L44" s="22" t="s">
        <v>28</v>
      </c>
    </row>
    <row r="45" spans="1:12" ht="15" customHeight="1" x14ac:dyDescent="0.25">
      <c r="A45" s="16" t="s">
        <v>11471</v>
      </c>
      <c r="B45" s="16" t="s">
        <v>11471</v>
      </c>
      <c r="C45" s="16">
        <v>2002</v>
      </c>
      <c r="D45" s="16" t="s">
        <v>11472</v>
      </c>
      <c r="E45" s="16" t="s">
        <v>9984</v>
      </c>
      <c r="F45" s="16">
        <v>6.5179999999999998</v>
      </c>
      <c r="G45" s="16" t="s">
        <v>18</v>
      </c>
      <c r="H45" s="16" t="s">
        <v>11473</v>
      </c>
      <c r="I45" s="16" t="s">
        <v>11474</v>
      </c>
      <c r="J45" s="17" t="s">
        <v>11475</v>
      </c>
      <c r="K45" s="16">
        <v>779</v>
      </c>
      <c r="L45" s="22" t="s">
        <v>18</v>
      </c>
    </row>
    <row r="46" spans="1:12" ht="15" customHeight="1" x14ac:dyDescent="0.25">
      <c r="A46" s="16" t="s">
        <v>4971</v>
      </c>
      <c r="B46" s="16" t="s">
        <v>4971</v>
      </c>
      <c r="C46" s="16">
        <v>2011</v>
      </c>
      <c r="D46" s="16" t="s">
        <v>530</v>
      </c>
      <c r="E46" s="16" t="s">
        <v>566</v>
      </c>
      <c r="F46" s="16"/>
      <c r="G46" s="16"/>
      <c r="H46" s="16" t="s">
        <v>4972</v>
      </c>
      <c r="I46" s="16" t="s">
        <v>4973</v>
      </c>
      <c r="J46" s="17" t="s">
        <v>11476</v>
      </c>
      <c r="K46" s="16"/>
      <c r="L46" s="22"/>
    </row>
    <row r="47" spans="1:12" ht="15" customHeight="1" x14ac:dyDescent="0.25">
      <c r="A47" s="16" t="s">
        <v>11477</v>
      </c>
      <c r="B47" s="16" t="s">
        <v>11477</v>
      </c>
      <c r="C47" s="16">
        <v>2001</v>
      </c>
      <c r="D47" s="16" t="s">
        <v>11478</v>
      </c>
      <c r="E47" s="16" t="s">
        <v>566</v>
      </c>
      <c r="F47" s="16">
        <v>6.8159999999999998</v>
      </c>
      <c r="G47" s="16" t="s">
        <v>18</v>
      </c>
      <c r="H47" s="16" t="s">
        <v>11479</v>
      </c>
      <c r="I47" s="16" t="s">
        <v>11480</v>
      </c>
      <c r="J47" s="17" t="s">
        <v>11481</v>
      </c>
      <c r="K47" s="16">
        <v>4471</v>
      </c>
      <c r="L47" s="22" t="s">
        <v>18</v>
      </c>
    </row>
    <row r="48" spans="1:12" ht="15" customHeight="1" x14ac:dyDescent="0.25">
      <c r="A48" s="16" t="s">
        <v>11482</v>
      </c>
      <c r="B48" s="16" t="s">
        <v>11483</v>
      </c>
      <c r="C48" s="16">
        <v>2025</v>
      </c>
      <c r="D48" s="16" t="s">
        <v>11484</v>
      </c>
      <c r="E48" s="16" t="s">
        <v>11485</v>
      </c>
      <c r="F48" s="16">
        <v>9</v>
      </c>
      <c r="G48" s="16" t="s">
        <v>1813</v>
      </c>
      <c r="H48" s="16" t="s">
        <v>11486</v>
      </c>
      <c r="I48" s="16" t="s">
        <v>11487</v>
      </c>
      <c r="J48" s="17" t="s">
        <v>11488</v>
      </c>
      <c r="K48" s="16">
        <v>2</v>
      </c>
      <c r="L48" s="22" t="s">
        <v>1813</v>
      </c>
    </row>
    <row r="49" spans="1:12" ht="15" customHeight="1" x14ac:dyDescent="0.25">
      <c r="A49" s="16" t="s">
        <v>11489</v>
      </c>
      <c r="B49" s="16" t="s">
        <v>11490</v>
      </c>
      <c r="C49" s="16">
        <v>2025</v>
      </c>
      <c r="D49" s="16" t="s">
        <v>4154</v>
      </c>
      <c r="E49" s="16" t="s">
        <v>2042</v>
      </c>
      <c r="F49" s="16">
        <v>8.1</v>
      </c>
      <c r="G49" s="16" t="s">
        <v>77</v>
      </c>
      <c r="H49" s="16" t="s">
        <v>11491</v>
      </c>
      <c r="I49" s="16" t="s">
        <v>11492</v>
      </c>
      <c r="J49" s="17" t="s">
        <v>11493</v>
      </c>
      <c r="K49" s="16">
        <v>25</v>
      </c>
      <c r="L49" s="22" t="s">
        <v>77</v>
      </c>
    </row>
    <row r="50" spans="1:12" ht="15" customHeight="1" x14ac:dyDescent="0.25">
      <c r="A50" s="16" t="s">
        <v>11494</v>
      </c>
      <c r="B50" s="16" t="s">
        <v>11494</v>
      </c>
      <c r="C50" s="16">
        <v>2012</v>
      </c>
      <c r="D50" s="16" t="s">
        <v>530</v>
      </c>
      <c r="E50" s="16" t="s">
        <v>566</v>
      </c>
      <c r="F50" s="16">
        <v>5.5</v>
      </c>
      <c r="G50" s="16" t="s">
        <v>46</v>
      </c>
      <c r="H50" s="16" t="s">
        <v>11495</v>
      </c>
      <c r="I50" s="16" t="s">
        <v>11496</v>
      </c>
      <c r="J50" s="17" t="s">
        <v>11497</v>
      </c>
      <c r="K50" s="16">
        <v>65</v>
      </c>
      <c r="L50" s="22" t="s">
        <v>46</v>
      </c>
    </row>
    <row r="51" spans="1:12" ht="15" customHeight="1" x14ac:dyDescent="0.25">
      <c r="A51" s="18" t="s">
        <v>11498</v>
      </c>
      <c r="B51" s="18" t="s">
        <v>11498</v>
      </c>
      <c r="C51" s="18">
        <v>1983</v>
      </c>
      <c r="D51" s="18" t="s">
        <v>519</v>
      </c>
      <c r="E51" s="18" t="s">
        <v>6333</v>
      </c>
      <c r="F51" s="18">
        <v>7.1</v>
      </c>
      <c r="G51" s="18" t="s">
        <v>18</v>
      </c>
      <c r="H51" s="18">
        <v>18912</v>
      </c>
      <c r="I51" s="18" t="s">
        <v>11499</v>
      </c>
      <c r="J51" s="19" t="s">
        <v>11500</v>
      </c>
      <c r="K51" s="18">
        <v>392</v>
      </c>
      <c r="L51" s="22" t="s">
        <v>18</v>
      </c>
    </row>
    <row r="52" spans="1:12" ht="15" customHeight="1" x14ac:dyDescent="0.25">
      <c r="A52" s="16" t="s">
        <v>11501</v>
      </c>
      <c r="B52" s="16" t="s">
        <v>11501</v>
      </c>
      <c r="C52" s="16">
        <v>2025</v>
      </c>
      <c r="D52" s="16" t="s">
        <v>519</v>
      </c>
      <c r="E52" s="16" t="s">
        <v>6333</v>
      </c>
      <c r="F52" s="16">
        <v>6.8</v>
      </c>
      <c r="G52" s="16" t="s">
        <v>18</v>
      </c>
      <c r="H52" s="16">
        <v>1197137</v>
      </c>
      <c r="I52" s="16" t="s">
        <v>11502</v>
      </c>
      <c r="J52" s="17" t="s">
        <v>11503</v>
      </c>
      <c r="K52" s="16">
        <v>685</v>
      </c>
      <c r="L52" s="22" t="s">
        <v>18</v>
      </c>
    </row>
    <row r="53" spans="1:12" ht="15" customHeight="1" x14ac:dyDescent="0.25">
      <c r="A53" s="16" t="s">
        <v>11504</v>
      </c>
      <c r="B53" s="16" t="s">
        <v>11504</v>
      </c>
      <c r="C53" s="16">
        <v>2025</v>
      </c>
      <c r="D53" s="16" t="s">
        <v>519</v>
      </c>
      <c r="E53" s="16" t="s">
        <v>6333</v>
      </c>
      <c r="F53" s="16">
        <v>7.4</v>
      </c>
      <c r="G53" s="16" t="s">
        <v>18</v>
      </c>
      <c r="H53" s="16">
        <v>1151031</v>
      </c>
      <c r="I53" s="16" t="s">
        <v>11505</v>
      </c>
      <c r="J53" s="17" t="s">
        <v>11506</v>
      </c>
      <c r="K53" s="16">
        <v>1222</v>
      </c>
      <c r="L53" s="22" t="s">
        <v>18</v>
      </c>
    </row>
    <row r="54" spans="1:12" ht="15" customHeight="1" x14ac:dyDescent="0.25">
      <c r="A54" s="16" t="s">
        <v>11507</v>
      </c>
      <c r="B54" s="16" t="s">
        <v>11508</v>
      </c>
      <c r="C54" s="16">
        <v>1994</v>
      </c>
      <c r="D54" s="16" t="s">
        <v>519</v>
      </c>
      <c r="E54" s="16" t="s">
        <v>6333</v>
      </c>
      <c r="F54" s="16">
        <v>7.2060000000000004</v>
      </c>
      <c r="G54" s="16" t="s">
        <v>18</v>
      </c>
      <c r="H54" s="16" t="s">
        <v>11509</v>
      </c>
      <c r="I54" s="16" t="s">
        <v>11510</v>
      </c>
      <c r="J54" s="17" t="s">
        <v>11511</v>
      </c>
      <c r="K54" s="16">
        <v>1814</v>
      </c>
      <c r="L54" s="22" t="s">
        <v>18</v>
      </c>
    </row>
    <row r="55" spans="1:12" ht="15" customHeight="1" x14ac:dyDescent="0.25">
      <c r="A55" s="16" t="s">
        <v>11512</v>
      </c>
      <c r="B55" s="16" t="s">
        <v>11513</v>
      </c>
      <c r="C55" s="16">
        <v>2025</v>
      </c>
      <c r="D55" s="16" t="s">
        <v>519</v>
      </c>
      <c r="E55" s="16" t="s">
        <v>1270</v>
      </c>
      <c r="F55" s="16">
        <v>6.4930000000000003</v>
      </c>
      <c r="G55" s="16" t="s">
        <v>46</v>
      </c>
      <c r="H55" s="16">
        <v>1035259</v>
      </c>
      <c r="I55" s="16" t="s">
        <v>11514</v>
      </c>
      <c r="J55" s="17" t="s">
        <v>11515</v>
      </c>
      <c r="K55" s="16">
        <v>1155</v>
      </c>
      <c r="L55" s="22" t="s">
        <v>46</v>
      </c>
    </row>
    <row r="56" spans="1:12" ht="15" customHeight="1" x14ac:dyDescent="0.25">
      <c r="A56" s="16" t="s">
        <v>11352</v>
      </c>
      <c r="B56" s="16" t="s">
        <v>11353</v>
      </c>
      <c r="C56" s="16">
        <v>2025</v>
      </c>
      <c r="D56" s="16" t="s">
        <v>519</v>
      </c>
      <c r="E56" s="16" t="s">
        <v>1270</v>
      </c>
      <c r="F56" s="16">
        <v>6.7119999999999997</v>
      </c>
      <c r="G56" s="16" t="s">
        <v>18</v>
      </c>
      <c r="H56" s="16">
        <v>1267905</v>
      </c>
      <c r="I56" s="16" t="s">
        <v>11355</v>
      </c>
      <c r="J56" s="17" t="s">
        <v>11356</v>
      </c>
      <c r="K56" s="16">
        <v>419</v>
      </c>
      <c r="L56" s="22" t="s">
        <v>18</v>
      </c>
    </row>
    <row r="57" spans="1:12" ht="15" customHeight="1" x14ac:dyDescent="0.25">
      <c r="A57" s="16" t="s">
        <v>11516</v>
      </c>
      <c r="B57" s="16" t="s">
        <v>11517</v>
      </c>
      <c r="C57" s="16">
        <v>2025</v>
      </c>
      <c r="D57" s="16" t="s">
        <v>350</v>
      </c>
      <c r="E57" s="16" t="s">
        <v>399</v>
      </c>
      <c r="F57" s="16">
        <v>0</v>
      </c>
      <c r="G57" s="16"/>
      <c r="H57" s="16" t="s">
        <v>11518</v>
      </c>
      <c r="I57" s="16"/>
      <c r="J57" s="17"/>
      <c r="K57" s="16">
        <v>0</v>
      </c>
      <c r="L57" s="22"/>
    </row>
    <row r="58" spans="1:12" ht="15" customHeight="1" x14ac:dyDescent="0.25">
      <c r="A58" s="16" t="s">
        <v>11519</v>
      </c>
      <c r="B58" s="16" t="s">
        <v>11520</v>
      </c>
      <c r="C58" s="16">
        <v>2025</v>
      </c>
      <c r="D58" s="16" t="s">
        <v>350</v>
      </c>
      <c r="E58" s="16" t="s">
        <v>1270</v>
      </c>
      <c r="F58" s="16">
        <v>7</v>
      </c>
      <c r="G58" s="16" t="s">
        <v>18</v>
      </c>
      <c r="H58" s="16">
        <v>1381634</v>
      </c>
      <c r="I58" s="16" t="s">
        <v>11521</v>
      </c>
      <c r="J58" s="17" t="s">
        <v>11522</v>
      </c>
      <c r="K58" s="16">
        <v>3</v>
      </c>
      <c r="L58" s="22" t="s">
        <v>18</v>
      </c>
    </row>
    <row r="59" spans="1:12" ht="15" customHeight="1" x14ac:dyDescent="0.25">
      <c r="A59" s="16" t="s">
        <v>11523</v>
      </c>
      <c r="B59" s="16" t="s">
        <v>11524</v>
      </c>
      <c r="C59" s="16">
        <v>1991</v>
      </c>
      <c r="D59" s="16" t="s">
        <v>519</v>
      </c>
      <c r="E59" s="16" t="s">
        <v>531</v>
      </c>
      <c r="F59" s="16">
        <v>5.9</v>
      </c>
      <c r="G59" s="16" t="s">
        <v>46</v>
      </c>
      <c r="H59" s="16" t="s">
        <v>11525</v>
      </c>
      <c r="I59" s="16" t="s">
        <v>11526</v>
      </c>
      <c r="J59" s="17"/>
      <c r="K59" s="16">
        <v>8</v>
      </c>
      <c r="L59" s="22" t="s">
        <v>46</v>
      </c>
    </row>
    <row r="60" spans="1:12" ht="15" customHeight="1" x14ac:dyDescent="0.25">
      <c r="A60" s="16" t="s">
        <v>11527</v>
      </c>
      <c r="B60" s="16" t="s">
        <v>715</v>
      </c>
      <c r="C60" s="16">
        <v>2025</v>
      </c>
      <c r="D60" s="16" t="s">
        <v>519</v>
      </c>
      <c r="E60" s="16" t="s">
        <v>84</v>
      </c>
      <c r="F60" s="16">
        <v>7</v>
      </c>
      <c r="G60" s="16" t="s">
        <v>18</v>
      </c>
      <c r="H60" s="16">
        <v>1522923</v>
      </c>
      <c r="I60" s="16" t="s">
        <v>11528</v>
      </c>
      <c r="J60" s="17" t="s">
        <v>11529</v>
      </c>
      <c r="K60" s="16">
        <v>38</v>
      </c>
      <c r="L60" s="22" t="s">
        <v>18</v>
      </c>
    </row>
    <row r="61" spans="1:12" ht="15" customHeight="1" x14ac:dyDescent="0.25">
      <c r="A61" s="18" t="s">
        <v>11530</v>
      </c>
      <c r="B61" s="18" t="s">
        <v>11531</v>
      </c>
      <c r="C61" s="18">
        <v>2022</v>
      </c>
      <c r="D61" s="18" t="s">
        <v>519</v>
      </c>
      <c r="E61" s="18" t="s">
        <v>8715</v>
      </c>
      <c r="F61" s="18">
        <v>6.6</v>
      </c>
      <c r="G61" s="18" t="s">
        <v>18</v>
      </c>
      <c r="H61" s="18" t="s">
        <v>11532</v>
      </c>
      <c r="I61" s="18" t="s">
        <v>11533</v>
      </c>
      <c r="J61" s="19"/>
      <c r="K61" s="18">
        <v>8</v>
      </c>
      <c r="L61" s="22" t="s">
        <v>18</v>
      </c>
    </row>
    <row r="62" spans="1:12" ht="15" customHeight="1" x14ac:dyDescent="0.25">
      <c r="A62" s="16" t="s">
        <v>11534</v>
      </c>
      <c r="B62" s="16" t="s">
        <v>11535</v>
      </c>
      <c r="C62" s="16">
        <v>2025</v>
      </c>
      <c r="D62" s="16" t="s">
        <v>519</v>
      </c>
      <c r="E62" s="16" t="s">
        <v>6333</v>
      </c>
      <c r="F62" s="16">
        <v>6.4</v>
      </c>
      <c r="G62" s="16" t="s">
        <v>46</v>
      </c>
      <c r="H62" s="16">
        <v>1519168</v>
      </c>
      <c r="I62" s="16" t="s">
        <v>11536</v>
      </c>
      <c r="J62" s="17" t="s">
        <v>11537</v>
      </c>
      <c r="K62" s="16">
        <v>39</v>
      </c>
      <c r="L62" s="22" t="s">
        <v>46</v>
      </c>
    </row>
    <row r="63" spans="1:12" ht="15" customHeight="1" x14ac:dyDescent="0.25">
      <c r="A63" s="16" t="s">
        <v>11538</v>
      </c>
      <c r="B63" s="16" t="s">
        <v>11538</v>
      </c>
      <c r="C63" s="16">
        <v>2006</v>
      </c>
      <c r="D63" s="16" t="s">
        <v>519</v>
      </c>
      <c r="E63" s="16" t="s">
        <v>6333</v>
      </c>
      <c r="F63" s="16">
        <v>5.3</v>
      </c>
      <c r="G63" s="16" t="s">
        <v>28</v>
      </c>
      <c r="H63" s="16">
        <v>15667</v>
      </c>
      <c r="I63" s="16" t="s">
        <v>11539</v>
      </c>
      <c r="J63" s="17" t="s">
        <v>11540</v>
      </c>
      <c r="K63" s="16">
        <v>228</v>
      </c>
      <c r="L63" s="22" t="s">
        <v>28</v>
      </c>
    </row>
    <row r="64" spans="1:12" ht="15" customHeight="1" x14ac:dyDescent="0.25">
      <c r="A64" s="16" t="s">
        <v>11541</v>
      </c>
      <c r="B64" s="16" t="s">
        <v>11542</v>
      </c>
      <c r="C64" s="16">
        <v>2011</v>
      </c>
      <c r="D64" s="16" t="s">
        <v>519</v>
      </c>
      <c r="E64" s="16" t="s">
        <v>531</v>
      </c>
      <c r="F64" s="16">
        <v>5.2</v>
      </c>
      <c r="G64" s="16" t="s">
        <v>28</v>
      </c>
      <c r="H64" s="16">
        <v>70009</v>
      </c>
      <c r="I64" s="16" t="s">
        <v>11543</v>
      </c>
      <c r="J64" s="17" t="s">
        <v>11544</v>
      </c>
      <c r="K64" s="16">
        <v>124</v>
      </c>
      <c r="L64" s="22" t="s">
        <v>28</v>
      </c>
    </row>
    <row r="65" spans="1:12" ht="15" customHeight="1" x14ac:dyDescent="0.25">
      <c r="A65" s="16" t="s">
        <v>11545</v>
      </c>
      <c r="B65" s="16" t="s">
        <v>11546</v>
      </c>
      <c r="C65" s="16">
        <v>1998</v>
      </c>
      <c r="D65" s="16" t="s">
        <v>519</v>
      </c>
      <c r="E65" s="16" t="s">
        <v>1961</v>
      </c>
      <c r="F65" s="16">
        <v>6.6</v>
      </c>
      <c r="G65" s="16" t="s">
        <v>18</v>
      </c>
      <c r="H65" s="16">
        <v>9410</v>
      </c>
      <c r="I65" s="16" t="s">
        <v>11547</v>
      </c>
      <c r="J65" s="17" t="s">
        <v>11548</v>
      </c>
      <c r="K65" s="16">
        <v>661</v>
      </c>
      <c r="L65" s="22" t="s">
        <v>18</v>
      </c>
    </row>
    <row r="66" spans="1:12" ht="15" customHeight="1" x14ac:dyDescent="0.25">
      <c r="A66" s="16" t="s">
        <v>11549</v>
      </c>
      <c r="B66" s="16" t="s">
        <v>4949</v>
      </c>
      <c r="C66" s="16">
        <v>1993</v>
      </c>
      <c r="D66" s="16" t="s">
        <v>519</v>
      </c>
      <c r="E66" s="16" t="s">
        <v>1024</v>
      </c>
      <c r="F66" s="16">
        <v>6</v>
      </c>
      <c r="G66" s="16" t="s">
        <v>46</v>
      </c>
      <c r="H66" s="16">
        <v>91390</v>
      </c>
      <c r="I66" s="16" t="s">
        <v>4951</v>
      </c>
      <c r="J66" s="17" t="s">
        <v>4952</v>
      </c>
      <c r="K66" s="16">
        <v>29</v>
      </c>
      <c r="L66" s="22" t="s">
        <v>46</v>
      </c>
    </row>
    <row r="67" spans="1:12" ht="15" customHeight="1" x14ac:dyDescent="0.25">
      <c r="A67" s="16" t="s">
        <v>11550</v>
      </c>
      <c r="B67" s="16" t="s">
        <v>11551</v>
      </c>
      <c r="C67" s="16">
        <v>1993</v>
      </c>
      <c r="D67" s="16" t="s">
        <v>519</v>
      </c>
      <c r="E67" s="16" t="s">
        <v>566</v>
      </c>
      <c r="F67" s="16">
        <v>6.3</v>
      </c>
      <c r="G67" s="16" t="s">
        <v>46</v>
      </c>
      <c r="H67" s="16">
        <v>27224</v>
      </c>
      <c r="I67" s="16" t="s">
        <v>11552</v>
      </c>
      <c r="J67" s="17" t="s">
        <v>11553</v>
      </c>
      <c r="K67" s="16">
        <v>44</v>
      </c>
      <c r="L67" s="22" t="s">
        <v>46</v>
      </c>
    </row>
    <row r="68" spans="1:12" ht="15" customHeight="1" x14ac:dyDescent="0.25">
      <c r="A68" s="16" t="s">
        <v>11554</v>
      </c>
      <c r="B68" s="16" t="s">
        <v>11554</v>
      </c>
      <c r="C68" s="16">
        <v>2025</v>
      </c>
      <c r="D68" s="16" t="s">
        <v>350</v>
      </c>
      <c r="E68" s="16" t="s">
        <v>10901</v>
      </c>
      <c r="F68" s="16">
        <v>5.6</v>
      </c>
      <c r="G68" s="16" t="s">
        <v>46</v>
      </c>
      <c r="H68" s="16">
        <v>1544046</v>
      </c>
      <c r="I68" s="16" t="s">
        <v>11555</v>
      </c>
      <c r="J68" s="17" t="s">
        <v>11556</v>
      </c>
      <c r="K68" s="16">
        <v>8</v>
      </c>
      <c r="L68" s="22" t="s">
        <v>46</v>
      </c>
    </row>
    <row r="69" spans="1:12" ht="15" customHeight="1" x14ac:dyDescent="0.25">
      <c r="A69" s="16" t="s">
        <v>11557</v>
      </c>
      <c r="B69" s="16" t="s">
        <v>11558</v>
      </c>
      <c r="C69" s="16">
        <v>2025</v>
      </c>
      <c r="D69" s="16" t="s">
        <v>519</v>
      </c>
      <c r="E69" s="16" t="s">
        <v>2395</v>
      </c>
      <c r="F69" s="16">
        <v>7.4</v>
      </c>
      <c r="G69" s="16" t="s">
        <v>18</v>
      </c>
      <c r="H69" s="16">
        <v>1214028</v>
      </c>
      <c r="I69" s="16" t="s">
        <v>11559</v>
      </c>
      <c r="J69" s="17" t="s">
        <v>11560</v>
      </c>
      <c r="K69" s="16">
        <v>4</v>
      </c>
      <c r="L69" s="22" t="s">
        <v>18</v>
      </c>
    </row>
    <row r="70" spans="1:12" ht="15" customHeight="1" x14ac:dyDescent="0.25">
      <c r="A70" s="16" t="s">
        <v>11561</v>
      </c>
      <c r="B70" s="16" t="s">
        <v>11561</v>
      </c>
      <c r="C70" s="16">
        <v>2024</v>
      </c>
      <c r="D70" s="16" t="s">
        <v>519</v>
      </c>
      <c r="E70" s="16" t="s">
        <v>2042</v>
      </c>
      <c r="F70" s="16">
        <v>6.7</v>
      </c>
      <c r="G70" s="16" t="s">
        <v>18</v>
      </c>
      <c r="H70" s="16">
        <v>1217345</v>
      </c>
      <c r="I70" s="16" t="s">
        <v>11562</v>
      </c>
      <c r="J70" s="17"/>
      <c r="K70" s="16">
        <v>50</v>
      </c>
      <c r="L70" s="22" t="s">
        <v>18</v>
      </c>
    </row>
    <row r="71" spans="1:12" ht="15" customHeight="1" x14ac:dyDescent="0.25">
      <c r="A71" s="18" t="s">
        <v>11563</v>
      </c>
      <c r="B71" s="18" t="s">
        <v>11564</v>
      </c>
      <c r="C71" s="18">
        <v>2025</v>
      </c>
      <c r="D71" s="18" t="s">
        <v>519</v>
      </c>
      <c r="E71" s="18" t="s">
        <v>531</v>
      </c>
      <c r="F71" s="18">
        <v>6.5</v>
      </c>
      <c r="G71" s="18" t="s">
        <v>46</v>
      </c>
      <c r="H71" s="18">
        <v>425274</v>
      </c>
      <c r="I71" s="18" t="s">
        <v>11565</v>
      </c>
      <c r="J71" s="19" t="s">
        <v>11566</v>
      </c>
      <c r="K71" s="18">
        <v>602</v>
      </c>
      <c r="L71" s="22" t="s">
        <v>46</v>
      </c>
    </row>
    <row r="72" spans="1:12" ht="15" customHeight="1" x14ac:dyDescent="0.25">
      <c r="A72" s="16" t="s">
        <v>8952</v>
      </c>
      <c r="B72" s="16" t="s">
        <v>8953</v>
      </c>
      <c r="C72" s="16">
        <v>2025</v>
      </c>
      <c r="D72" s="16" t="s">
        <v>519</v>
      </c>
      <c r="E72" s="16" t="s">
        <v>531</v>
      </c>
      <c r="F72" s="16">
        <v>5.8</v>
      </c>
      <c r="G72" s="16" t="s">
        <v>46</v>
      </c>
      <c r="H72" s="16" t="s">
        <v>11567</v>
      </c>
      <c r="I72" s="16" t="s">
        <v>11568</v>
      </c>
      <c r="J72" s="17" t="s">
        <v>11569</v>
      </c>
      <c r="K72" s="16">
        <v>128</v>
      </c>
      <c r="L72" s="22"/>
    </row>
    <row r="73" spans="1:12" ht="15" customHeight="1" x14ac:dyDescent="0.25">
      <c r="A73" s="20" t="s">
        <v>11570</v>
      </c>
      <c r="B73" s="20" t="s">
        <v>11571</v>
      </c>
      <c r="C73" s="21">
        <v>1993</v>
      </c>
      <c r="D73" s="20" t="s">
        <v>519</v>
      </c>
      <c r="E73" s="20" t="s">
        <v>2042</v>
      </c>
      <c r="F73" s="21">
        <v>6.7</v>
      </c>
      <c r="G73" s="20" t="s">
        <v>18</v>
      </c>
      <c r="H73" s="21">
        <v>858</v>
      </c>
      <c r="I73" s="20" t="s">
        <v>11572</v>
      </c>
      <c r="J73" s="20" t="s">
        <v>11573</v>
      </c>
      <c r="K73" s="20">
        <v>2497</v>
      </c>
      <c r="L73" s="20"/>
    </row>
    <row r="74" spans="1:12" ht="15" customHeight="1" x14ac:dyDescent="0.25">
      <c r="A74" s="20" t="s">
        <v>11574</v>
      </c>
      <c r="B74" s="20" t="s">
        <v>11575</v>
      </c>
      <c r="C74" s="21">
        <v>2001</v>
      </c>
      <c r="D74" s="20" t="s">
        <v>519</v>
      </c>
      <c r="E74" s="20" t="s">
        <v>1270</v>
      </c>
      <c r="F74" s="21">
        <v>6</v>
      </c>
      <c r="G74" s="20" t="s">
        <v>46</v>
      </c>
      <c r="H74" s="21" t="s">
        <v>11576</v>
      </c>
      <c r="I74" s="20" t="s">
        <v>11577</v>
      </c>
      <c r="J74" s="20" t="s">
        <v>11578</v>
      </c>
      <c r="K74" s="20">
        <v>234</v>
      </c>
      <c r="L74" s="20"/>
    </row>
    <row r="75" spans="1:12" ht="15" customHeight="1" x14ac:dyDescent="0.25">
      <c r="A75" s="20" t="s">
        <v>11579</v>
      </c>
      <c r="B75" s="20" t="s">
        <v>11580</v>
      </c>
      <c r="C75" s="21">
        <v>2008</v>
      </c>
      <c r="D75" s="20" t="s">
        <v>519</v>
      </c>
      <c r="E75" s="20" t="s">
        <v>566</v>
      </c>
      <c r="F75" s="21">
        <v>3.9</v>
      </c>
      <c r="G75" s="20" t="s">
        <v>86</v>
      </c>
      <c r="H75" s="21" t="s">
        <v>11581</v>
      </c>
      <c r="I75" s="20" t="s">
        <v>11582</v>
      </c>
      <c r="J75" s="20" t="s">
        <v>11583</v>
      </c>
      <c r="K75" s="20">
        <v>23</v>
      </c>
      <c r="L75" s="20"/>
    </row>
    <row r="76" spans="1:12" ht="15" customHeight="1" x14ac:dyDescent="0.25">
      <c r="A76" s="20" t="s">
        <v>11584</v>
      </c>
      <c r="B76" s="20" t="s">
        <v>11585</v>
      </c>
      <c r="C76" s="21">
        <v>1983</v>
      </c>
      <c r="D76" s="20" t="s">
        <v>519</v>
      </c>
      <c r="E76" s="20" t="s">
        <v>566</v>
      </c>
      <c r="F76" s="21">
        <v>6.7</v>
      </c>
      <c r="G76" s="20" t="s">
        <v>18</v>
      </c>
      <c r="H76" s="21" t="s">
        <v>11586</v>
      </c>
      <c r="I76" s="20" t="s">
        <v>11587</v>
      </c>
      <c r="J76" s="20" t="s">
        <v>11588</v>
      </c>
      <c r="K76" s="20">
        <v>77</v>
      </c>
      <c r="L76" s="20"/>
    </row>
    <row r="77" spans="1:12" ht="15" customHeight="1" x14ac:dyDescent="0.25">
      <c r="A77" s="20" t="s">
        <v>11612</v>
      </c>
      <c r="B77" s="20"/>
      <c r="C77" s="21">
        <v>2025</v>
      </c>
      <c r="D77" s="20" t="s">
        <v>4446</v>
      </c>
      <c r="E77" s="20" t="s">
        <v>566</v>
      </c>
      <c r="F77" s="21"/>
      <c r="G77" s="20"/>
      <c r="H77" s="21"/>
      <c r="I77" s="20"/>
      <c r="J77" s="20"/>
      <c r="K77" s="20"/>
      <c r="L77" s="20"/>
    </row>
    <row r="78" spans="1:12" ht="15" customHeight="1" x14ac:dyDescent="0.25">
      <c r="A78" s="20" t="s">
        <v>4483</v>
      </c>
      <c r="B78" s="20"/>
      <c r="C78" s="21">
        <v>1995</v>
      </c>
      <c r="D78" s="20" t="s">
        <v>519</v>
      </c>
      <c r="E78" s="20" t="s">
        <v>566</v>
      </c>
      <c r="F78" s="21"/>
      <c r="G78" s="20"/>
      <c r="H78" s="21"/>
      <c r="I78" s="20"/>
      <c r="J78" s="20"/>
      <c r="K78" s="20"/>
      <c r="L78" s="20"/>
    </row>
    <row r="79" spans="1:12" ht="15" customHeight="1" x14ac:dyDescent="0.25">
      <c r="A79" s="20" t="s">
        <v>11611</v>
      </c>
      <c r="B79" s="20"/>
      <c r="C79" s="21">
        <v>1997</v>
      </c>
      <c r="D79" s="20" t="s">
        <v>519</v>
      </c>
      <c r="E79" s="20" t="s">
        <v>2042</v>
      </c>
      <c r="F79" s="21"/>
      <c r="G79" s="20"/>
      <c r="H79" s="21"/>
      <c r="I79" s="20"/>
      <c r="J79" s="20"/>
      <c r="K79" s="20"/>
      <c r="L79" s="20"/>
    </row>
    <row r="80" spans="1:12" ht="15" customHeight="1" x14ac:dyDescent="0.25">
      <c r="A80" s="20" t="s">
        <v>11610</v>
      </c>
      <c r="B80" s="20"/>
      <c r="C80" s="21">
        <v>2013</v>
      </c>
      <c r="D80" s="20" t="s">
        <v>519</v>
      </c>
      <c r="E80" s="20" t="s">
        <v>566</v>
      </c>
      <c r="F80" s="21"/>
      <c r="G80" s="20"/>
      <c r="H80" s="21"/>
      <c r="I80" s="20"/>
      <c r="J80" s="20"/>
      <c r="K80" s="20"/>
      <c r="L80" s="20"/>
    </row>
    <row r="81" spans="1:12" ht="15" customHeight="1" x14ac:dyDescent="0.25">
      <c r="A81" s="18" t="s">
        <v>11609</v>
      </c>
      <c r="B81" s="18"/>
      <c r="C81" s="18">
        <v>2023</v>
      </c>
      <c r="D81" s="18" t="s">
        <v>519</v>
      </c>
      <c r="E81" s="18" t="s">
        <v>531</v>
      </c>
      <c r="F81" s="18"/>
      <c r="G81" s="18"/>
      <c r="H81" s="18"/>
      <c r="I81" s="18"/>
      <c r="J81" s="19"/>
      <c r="K81" s="18"/>
      <c r="L81" s="22"/>
    </row>
    <row r="82" spans="1:12" ht="15" customHeight="1" x14ac:dyDescent="0.25">
      <c r="A82" s="20" t="s">
        <v>11608</v>
      </c>
      <c r="B82" s="20"/>
      <c r="C82" s="21">
        <v>2025</v>
      </c>
      <c r="D82" s="20" t="s">
        <v>519</v>
      </c>
      <c r="E82" s="20" t="s">
        <v>566</v>
      </c>
      <c r="F82" s="21"/>
      <c r="G82" s="20"/>
      <c r="H82" s="21"/>
      <c r="I82" s="20"/>
      <c r="J82" s="20"/>
      <c r="K82" s="20"/>
      <c r="L82" s="20"/>
    </row>
    <row r="83" spans="1:12" ht="15" customHeight="1" x14ac:dyDescent="0.25">
      <c r="A83" s="20" t="s">
        <v>11607</v>
      </c>
      <c r="B83" s="20"/>
      <c r="C83" s="21">
        <v>2022</v>
      </c>
      <c r="D83" s="20" t="s">
        <v>519</v>
      </c>
      <c r="E83" s="20" t="s">
        <v>566</v>
      </c>
      <c r="F83" s="21"/>
      <c r="G83" s="20"/>
      <c r="H83" s="21"/>
      <c r="I83" s="20"/>
      <c r="J83" s="20"/>
      <c r="K83" s="20"/>
      <c r="L83" s="20"/>
    </row>
    <row r="84" spans="1:12" ht="15" customHeight="1" x14ac:dyDescent="0.25">
      <c r="A84" s="20" t="s">
        <v>11606</v>
      </c>
      <c r="B84" s="20"/>
      <c r="C84" s="21">
        <v>1999</v>
      </c>
      <c r="D84" s="20" t="s">
        <v>519</v>
      </c>
      <c r="E84" s="20" t="s">
        <v>2042</v>
      </c>
      <c r="F84" s="21"/>
      <c r="G84" s="20"/>
      <c r="H84" s="21"/>
      <c r="I84" s="20"/>
      <c r="J84" s="20"/>
      <c r="K84" s="20"/>
      <c r="L84" s="20"/>
    </row>
    <row r="85" spans="1:12" ht="15" customHeight="1" x14ac:dyDescent="0.25">
      <c r="A85" s="20" t="s">
        <v>11605</v>
      </c>
      <c r="B85" s="20"/>
      <c r="C85" s="21">
        <v>2002</v>
      </c>
      <c r="D85" s="20" t="s">
        <v>519</v>
      </c>
      <c r="E85" s="20" t="s">
        <v>1270</v>
      </c>
      <c r="F85" s="21"/>
      <c r="G85" s="20"/>
      <c r="H85" s="21"/>
      <c r="I85" s="20"/>
      <c r="J85" s="20"/>
      <c r="K85" s="20"/>
      <c r="L85" s="20"/>
    </row>
    <row r="86" spans="1:12" ht="15" customHeight="1" x14ac:dyDescent="0.25">
      <c r="A86" s="20" t="s">
        <v>11604</v>
      </c>
      <c r="B86" s="20"/>
      <c r="C86" s="21">
        <v>1998</v>
      </c>
      <c r="D86" s="20" t="s">
        <v>519</v>
      </c>
      <c r="E86" s="20" t="s">
        <v>2042</v>
      </c>
      <c r="F86" s="21"/>
      <c r="G86" s="20"/>
      <c r="H86" s="21"/>
      <c r="I86" s="20"/>
      <c r="J86" s="20"/>
      <c r="K86" s="20"/>
      <c r="L86" s="20"/>
    </row>
    <row r="87" spans="1:12" ht="15" customHeight="1" x14ac:dyDescent="0.25">
      <c r="A87" s="20"/>
      <c r="B87" s="20"/>
      <c r="C87" s="21"/>
      <c r="D87" s="20"/>
      <c r="E87" s="20"/>
      <c r="F87" s="21"/>
      <c r="G87" s="20"/>
      <c r="H87" s="21"/>
      <c r="I87" s="20"/>
      <c r="J87" s="20"/>
      <c r="K87" s="20"/>
      <c r="L87" s="20"/>
    </row>
    <row r="88" spans="1:12" ht="15" customHeight="1" x14ac:dyDescent="0.25">
      <c r="A88" s="20"/>
      <c r="B88" s="20"/>
      <c r="C88" s="21"/>
      <c r="D88" s="20"/>
      <c r="E88" s="20"/>
      <c r="F88" s="21"/>
      <c r="G88" s="20"/>
      <c r="H88" s="21"/>
      <c r="I88" s="20"/>
      <c r="J88" s="20"/>
      <c r="K88" s="20"/>
      <c r="L88" s="20"/>
    </row>
    <row r="89" spans="1:12" ht="15" customHeight="1" x14ac:dyDescent="0.25">
      <c r="A89" s="20"/>
      <c r="B89" s="20"/>
      <c r="C89" s="21"/>
      <c r="D89" s="20"/>
      <c r="E89" s="20"/>
      <c r="F89" s="21"/>
      <c r="G89" s="20"/>
      <c r="H89" s="21"/>
      <c r="I89" s="20"/>
      <c r="J89" s="20"/>
      <c r="K89" s="20"/>
      <c r="L89" s="20"/>
    </row>
    <row r="90" spans="1:12" ht="15" customHeight="1" x14ac:dyDescent="0.25">
      <c r="A90" s="20"/>
      <c r="B90" s="20"/>
      <c r="C90" s="21"/>
      <c r="D90" s="20"/>
      <c r="E90" s="20"/>
      <c r="F90" s="21"/>
      <c r="G90" s="20"/>
      <c r="H90" s="21"/>
      <c r="I90" s="20"/>
      <c r="J90" s="20"/>
      <c r="K90" s="20"/>
      <c r="L90" s="20"/>
    </row>
    <row r="91" spans="1:12" ht="15" customHeight="1" x14ac:dyDescent="0.25">
      <c r="A91" s="20"/>
      <c r="B91" s="20"/>
      <c r="C91" s="21"/>
      <c r="D91" s="20"/>
      <c r="E91" s="20"/>
      <c r="F91" s="21"/>
      <c r="G91" s="20"/>
      <c r="H91" s="21"/>
      <c r="I91" s="20"/>
      <c r="J91" s="20"/>
      <c r="K91" s="20"/>
      <c r="L91" s="20"/>
    </row>
    <row r="92" spans="1:12" ht="15" customHeight="1" x14ac:dyDescent="0.25">
      <c r="A92" s="20"/>
      <c r="B92" s="20"/>
      <c r="C92" s="21"/>
      <c r="D92" s="20"/>
      <c r="E92" s="20"/>
      <c r="F92" s="21"/>
      <c r="G92" s="20"/>
      <c r="H92" s="21"/>
      <c r="I92" s="20"/>
      <c r="J92" s="20"/>
      <c r="K92" s="20"/>
      <c r="L92" s="20"/>
    </row>
    <row r="93" spans="1:12" ht="15" customHeight="1" x14ac:dyDescent="0.25">
      <c r="A93" s="20"/>
      <c r="B93" s="20"/>
      <c r="C93" s="21"/>
      <c r="D93" s="20"/>
      <c r="E93" s="20"/>
      <c r="F93" s="21"/>
      <c r="G93" s="20"/>
      <c r="H93" s="21"/>
      <c r="I93" s="20"/>
      <c r="J93" s="20"/>
      <c r="K93" s="20"/>
      <c r="L93" s="20"/>
    </row>
    <row r="94" spans="1:12" ht="15" customHeight="1" x14ac:dyDescent="0.25">
      <c r="A94" s="20"/>
      <c r="B94" s="20"/>
      <c r="C94" s="21"/>
      <c r="D94" s="20"/>
      <c r="E94" s="20"/>
      <c r="F94" s="21"/>
      <c r="G94" s="20"/>
      <c r="H94" s="21"/>
      <c r="I94" s="20"/>
      <c r="J94" s="20"/>
      <c r="K94" s="20"/>
      <c r="L94" s="20"/>
    </row>
  </sheetData>
  <pageMargins left="0.75" right="0.75" top="1" bottom="1" header="0.511811023622047" footer="0.511811023622047"/>
  <pageSetup orientation="landscape"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Tabelle16"/>
  <dimension ref="A1:AG9"/>
  <sheetViews>
    <sheetView zoomScaleNormal="100" workbookViewId="0">
      <pane ySplit="1" topLeftCell="A2" activePane="bottomLeft" state="frozen"/>
      <selection pane="bottomLeft" activeCell="A15" sqref="A15"/>
    </sheetView>
  </sheetViews>
  <sheetFormatPr baseColWidth="10" defaultColWidth="12.5703125" defaultRowHeight="15" customHeight="1" x14ac:dyDescent="0.2"/>
  <cols>
    <col min="1" max="1" width="47.42578125" style="2" customWidth="1"/>
    <col min="2" max="2" width="18.5703125" style="2" customWidth="1"/>
    <col min="3" max="3" width="8.140625" style="2" customWidth="1"/>
    <col min="4" max="4" width="7" style="2" customWidth="1"/>
    <col min="5" max="5" width="11.42578125" style="2" customWidth="1"/>
    <col min="6" max="6" width="6.42578125" style="2" customWidth="1"/>
    <col min="7" max="7" width="11.42578125" style="2" customWidth="1"/>
    <col min="8" max="8" width="10.85546875" style="2" customWidth="1"/>
    <col min="9" max="9" width="44.7109375" style="2" customWidth="1"/>
    <col min="10" max="10" width="43" style="2" customWidth="1"/>
    <col min="11" max="11" width="18.5703125" style="2" customWidth="1"/>
    <col min="12" max="12" width="14" style="2" bestFit="1" customWidth="1"/>
    <col min="13" max="13" width="18.140625" style="2" customWidth="1"/>
    <col min="14" max="14" width="11.42578125" style="2" customWidth="1"/>
    <col min="15" max="15" width="24.5703125" style="2" customWidth="1"/>
    <col min="16" max="16" width="25.7109375" style="2" customWidth="1"/>
    <col min="17" max="17" width="11.42578125" style="2" customWidth="1"/>
    <col min="18" max="18" width="19.5703125" style="2" customWidth="1"/>
    <col min="19" max="19" width="17.28515625" style="2" customWidth="1"/>
    <col min="20" max="20" width="17" style="2" customWidth="1"/>
    <col min="21" max="21" width="9.5703125" style="2" customWidth="1"/>
    <col min="22" max="22" width="32" style="2" customWidth="1"/>
    <col min="23" max="23" width="117.5703125" style="2" customWidth="1"/>
    <col min="24" max="24" width="126.5703125" style="2" customWidth="1"/>
    <col min="25" max="25" width="8.140625" style="2" customWidth="1"/>
    <col min="26" max="26" width="32.140625" style="2" customWidth="1"/>
    <col min="27" max="27" width="16.42578125" style="2" customWidth="1"/>
    <col min="28" max="28" width="14.140625" style="2" customWidth="1"/>
    <col min="29" max="29" width="11.42578125" style="2" customWidth="1"/>
    <col min="30" max="30" width="50.140625" style="2" customWidth="1"/>
    <col min="31" max="31" width="26.28515625" style="2" customWidth="1"/>
    <col min="32" max="32" width="11.7109375" style="2" customWidth="1"/>
    <col min="33" max="33" width="12.7109375" style="2" customWidth="1"/>
  </cols>
  <sheetData>
    <row r="1" spans="1:11" ht="16.5" customHeight="1" x14ac:dyDescent="0.2">
      <c r="A1" s="11" t="s">
        <v>0</v>
      </c>
      <c r="B1" s="11" t="s">
        <v>1</v>
      </c>
      <c r="C1" s="11" t="s">
        <v>2</v>
      </c>
      <c r="D1" s="11" t="s">
        <v>3</v>
      </c>
      <c r="E1" s="11" t="s">
        <v>4</v>
      </c>
      <c r="F1" s="11" t="s">
        <v>5</v>
      </c>
      <c r="G1" s="11" t="s">
        <v>6</v>
      </c>
      <c r="H1" s="11" t="s">
        <v>7</v>
      </c>
      <c r="I1" s="11" t="s">
        <v>8</v>
      </c>
      <c r="J1" s="11" t="s">
        <v>9</v>
      </c>
      <c r="K1" s="11" t="s">
        <v>10</v>
      </c>
    </row>
    <row r="2" spans="1:11" ht="15" customHeight="1" x14ac:dyDescent="0.2">
      <c r="A2" s="13" t="s">
        <v>11538</v>
      </c>
      <c r="B2" s="13" t="s">
        <v>11538</v>
      </c>
      <c r="C2" s="13">
        <v>2006</v>
      </c>
      <c r="D2" s="13" t="s">
        <v>11589</v>
      </c>
      <c r="E2" s="13" t="s">
        <v>6333</v>
      </c>
      <c r="F2" s="13">
        <v>5.3</v>
      </c>
      <c r="G2" s="13" t="s">
        <v>28</v>
      </c>
      <c r="H2" s="13" t="s">
        <v>11590</v>
      </c>
      <c r="I2" s="13" t="s">
        <v>11591</v>
      </c>
      <c r="J2" s="9" t="s">
        <v>11540</v>
      </c>
      <c r="K2" s="13">
        <v>228</v>
      </c>
    </row>
    <row r="3" spans="1:11" ht="15" customHeight="1" x14ac:dyDescent="0.2">
      <c r="A3" s="13" t="s">
        <v>11530</v>
      </c>
      <c r="B3" s="13" t="s">
        <v>11530</v>
      </c>
      <c r="C3" s="13">
        <v>2022</v>
      </c>
      <c r="D3" s="13" t="s">
        <v>413</v>
      </c>
      <c r="E3" s="13" t="s">
        <v>8715</v>
      </c>
      <c r="F3" s="13"/>
      <c r="G3" s="13"/>
      <c r="H3" s="13" t="s">
        <v>11592</v>
      </c>
      <c r="I3" s="13" t="s">
        <v>11593</v>
      </c>
      <c r="J3" s="9"/>
      <c r="K3" s="13"/>
    </row>
    <row r="4" spans="1:11" ht="15" customHeight="1" x14ac:dyDescent="0.2">
      <c r="A4" s="13" t="s">
        <v>11541</v>
      </c>
      <c r="B4" s="13" t="s">
        <v>11542</v>
      </c>
      <c r="C4" s="13">
        <v>2011</v>
      </c>
      <c r="D4" s="13" t="s">
        <v>413</v>
      </c>
      <c r="E4" s="13" t="s">
        <v>531</v>
      </c>
      <c r="F4" s="13">
        <v>5.2</v>
      </c>
      <c r="G4" s="13" t="s">
        <v>28</v>
      </c>
      <c r="H4" s="13" t="s">
        <v>11594</v>
      </c>
      <c r="I4" s="13" t="s">
        <v>11543</v>
      </c>
      <c r="J4" s="9" t="s">
        <v>11544</v>
      </c>
      <c r="K4" s="13">
        <v>125</v>
      </c>
    </row>
    <row r="5" spans="1:11" ht="15" customHeight="1" x14ac:dyDescent="0.2">
      <c r="A5" s="13" t="s">
        <v>11595</v>
      </c>
      <c r="B5" s="13" t="s">
        <v>11596</v>
      </c>
      <c r="C5" s="13">
        <v>2024</v>
      </c>
      <c r="D5" s="13" t="s">
        <v>15</v>
      </c>
      <c r="E5" s="13" t="s">
        <v>566</v>
      </c>
      <c r="F5" s="13">
        <v>2</v>
      </c>
      <c r="G5" s="13"/>
      <c r="H5" s="13" t="s">
        <v>11597</v>
      </c>
      <c r="I5" s="13" t="s">
        <v>11598</v>
      </c>
      <c r="J5" s="9"/>
      <c r="K5" s="13">
        <v>2</v>
      </c>
    </row>
    <row r="6" spans="1:11" ht="15" customHeight="1" x14ac:dyDescent="0.2">
      <c r="A6" s="13" t="s">
        <v>11507</v>
      </c>
      <c r="B6" s="13" t="s">
        <v>11508</v>
      </c>
      <c r="C6" s="13">
        <v>1994</v>
      </c>
      <c r="D6" s="13" t="s">
        <v>560</v>
      </c>
      <c r="E6" s="13" t="s">
        <v>6333</v>
      </c>
      <c r="F6" s="13">
        <v>7.2060000000000004</v>
      </c>
      <c r="G6" s="13" t="s">
        <v>18</v>
      </c>
      <c r="H6" s="13" t="s">
        <v>11509</v>
      </c>
      <c r="I6" s="13" t="s">
        <v>11510</v>
      </c>
      <c r="J6" s="9" t="s">
        <v>11511</v>
      </c>
      <c r="K6" s="13">
        <v>1814</v>
      </c>
    </row>
    <row r="7" spans="1:11" ht="15" customHeight="1" x14ac:dyDescent="0.2">
      <c r="A7" s="13" t="s">
        <v>11523</v>
      </c>
      <c r="B7" s="13" t="s">
        <v>11524</v>
      </c>
      <c r="C7" s="13">
        <v>1991</v>
      </c>
      <c r="D7" s="13" t="s">
        <v>15</v>
      </c>
      <c r="E7" s="13" t="s">
        <v>531</v>
      </c>
      <c r="F7" s="13">
        <v>5.9</v>
      </c>
      <c r="G7" s="13" t="s">
        <v>46</v>
      </c>
      <c r="H7" s="13" t="s">
        <v>11525</v>
      </c>
      <c r="I7" s="13" t="s">
        <v>11526</v>
      </c>
      <c r="J7" s="9"/>
      <c r="K7" s="13">
        <v>8</v>
      </c>
    </row>
    <row r="8" spans="1:11" ht="15" customHeight="1" x14ac:dyDescent="0.2">
      <c r="A8" s="13" t="s">
        <v>11498</v>
      </c>
      <c r="B8" s="13" t="s">
        <v>11498</v>
      </c>
      <c r="C8" s="13">
        <v>1983</v>
      </c>
      <c r="D8" s="13" t="s">
        <v>939</v>
      </c>
      <c r="E8" s="13" t="s">
        <v>6333</v>
      </c>
      <c r="F8" s="13">
        <v>7.1</v>
      </c>
      <c r="G8" s="13" t="s">
        <v>18</v>
      </c>
      <c r="H8" s="13" t="s">
        <v>11599</v>
      </c>
      <c r="I8" s="13" t="s">
        <v>11600</v>
      </c>
      <c r="J8" s="9" t="s">
        <v>11601</v>
      </c>
      <c r="K8" s="13">
        <v>392</v>
      </c>
    </row>
    <row r="9" spans="1:11" ht="15" customHeight="1" x14ac:dyDescent="0.2">
      <c r="A9" s="13" t="s">
        <v>11534</v>
      </c>
      <c r="B9" s="13" t="s">
        <v>11535</v>
      </c>
      <c r="C9" s="13">
        <v>2025</v>
      </c>
      <c r="D9" s="13" t="s">
        <v>413</v>
      </c>
      <c r="E9" s="13" t="s">
        <v>11602</v>
      </c>
      <c r="F9" s="13">
        <v>6.4</v>
      </c>
      <c r="G9" s="13" t="s">
        <v>46</v>
      </c>
      <c r="H9" s="13" t="s">
        <v>11603</v>
      </c>
      <c r="I9" s="13" t="s">
        <v>11536</v>
      </c>
      <c r="J9" s="9" t="s">
        <v>11537</v>
      </c>
      <c r="K9" s="13">
        <v>39</v>
      </c>
    </row>
  </sheetData>
  <pageMargins left="0.75" right="0.75" top="1" bottom="1"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16</vt:i4>
      </vt:variant>
    </vt:vector>
  </HeadingPairs>
  <TitlesOfParts>
    <vt:vector size="16" baseType="lpstr">
      <vt:lpstr>Abenteuer</vt:lpstr>
      <vt:lpstr>Action</vt:lpstr>
      <vt:lpstr>Collection Schauspieler</vt:lpstr>
      <vt:lpstr>Disney</vt:lpstr>
      <vt:lpstr>DDR Schwank</vt:lpstr>
      <vt:lpstr>DDR Serien</vt:lpstr>
      <vt:lpstr>DDR Filme DEFA Synchro_Ostblock</vt:lpstr>
      <vt:lpstr>Drama</vt:lpstr>
      <vt:lpstr>Filmklassiker</vt:lpstr>
      <vt:lpstr>Komoedie</vt:lpstr>
      <vt:lpstr>Romanze</vt:lpstr>
      <vt:lpstr>Thriller</vt:lpstr>
      <vt:lpstr>TV Aufnahmen Rar</vt:lpstr>
      <vt:lpstr>Weihnachten</vt:lpstr>
      <vt:lpstr> usbshare1-2 01_NEU</vt:lpstr>
      <vt:lpstr>NEU_2025_USB Stick_1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Rosi Abdel-Mottalib</dc:creator>
  <cp:lastModifiedBy>Rosi Abdel-Mottalib</cp:lastModifiedBy>
  <cp:revision>43</cp:revision>
  <dcterms:created xsi:type="dcterms:W3CDTF">2025-11-04T11:36:17Z</dcterms:created>
  <dcterms:modified xsi:type="dcterms:W3CDTF">2025-12-29T21:44:23Z</dcterms:modified>
  <dc:language>de-DE</dc:language>
</cp:coreProperties>
</file>